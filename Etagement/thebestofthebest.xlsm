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6122" codeName="{8C4F1C90-05EB-6A55-5F09-09C24B55AC0B}"/>
  <workbookPr date1904="1" codeName="ThisWorkbook1" autoCompressPictures="0"/>
  <bookViews>
    <workbookView xWindow="9580" yWindow="-20" windowWidth="26020" windowHeight="20240" tabRatio="907" activeTab="1"/>
  </bookViews>
  <sheets>
    <sheet name="TODO" sheetId="11" r:id="rId1"/>
    <sheet name="Etagement" sheetId="1" r:id="rId2"/>
    <sheet name="Bilan Masse" sheetId="14" r:id="rId3"/>
    <sheet name="Moteur Etage 1" sheetId="2" r:id="rId4"/>
    <sheet name="Moteur Etage 2" sheetId="6" r:id="rId5"/>
    <sheet name="Moteur Etage 3" sheetId="5" r:id="rId6"/>
    <sheet name="Satellites" sheetId="4" r:id="rId7"/>
    <sheet name="Géométrie" sheetId="8" r:id="rId8"/>
    <sheet name="Aerodynamique" sheetId="12" r:id="rId9"/>
    <sheet name="Tableaux aéro" sheetId="10" r:id="rId10"/>
    <sheet name="{Calculs intermediaires}" sheetId="3" r:id="rId11"/>
    <sheet name="Feuil1" sheetId="15" r:id="rId12"/>
  </sheets>
  <externalReferences>
    <externalReference r:id="rId13"/>
    <externalReference r:id="rId14"/>
    <externalReference r:id="rId15"/>
    <externalReference r:id="rId16"/>
    <externalReference r:id="rId17"/>
  </externalReferenc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10" i="1" l="1"/>
  <c r="I11" i="1"/>
  <c r="I12" i="1"/>
  <c r="E12" i="1"/>
  <c r="E11" i="1"/>
  <c r="I15" i="1"/>
  <c r="E10" i="1"/>
  <c r="I14" i="1"/>
  <c r="C23" i="1"/>
  <c r="B23" i="1"/>
  <c r="A23" i="1"/>
  <c r="B4" i="1"/>
  <c r="A26" i="1"/>
  <c r="B26" i="1"/>
  <c r="C26" i="1"/>
  <c r="B5" i="2"/>
  <c r="B8" i="2"/>
  <c r="B13" i="2"/>
  <c r="B15" i="2"/>
  <c r="B28" i="2"/>
  <c r="B29" i="2"/>
  <c r="B31" i="2"/>
  <c r="B30" i="2"/>
  <c r="B33" i="2"/>
  <c r="B11" i="6"/>
  <c r="B23" i="6"/>
  <c r="B24" i="6"/>
  <c r="B26" i="6"/>
  <c r="B25" i="6"/>
  <c r="B28" i="6"/>
  <c r="B11" i="5"/>
  <c r="B10" i="5"/>
  <c r="B27" i="5"/>
  <c r="B28" i="5"/>
  <c r="B30" i="5"/>
  <c r="B29" i="5"/>
  <c r="B33" i="5"/>
  <c r="B35" i="5"/>
  <c r="B34" i="5"/>
  <c r="B36" i="5"/>
  <c r="C29" i="1"/>
  <c r="B25" i="2"/>
  <c r="B106" i="8"/>
  <c r="B115" i="8"/>
  <c r="B116" i="8"/>
  <c r="B107" i="8"/>
  <c r="B110" i="8"/>
  <c r="B111" i="8"/>
  <c r="B112" i="8"/>
  <c r="B109" i="8"/>
  <c r="B108" i="8"/>
  <c r="B120" i="8"/>
  <c r="B114" i="8"/>
  <c r="B121" i="8"/>
  <c r="B113" i="8"/>
  <c r="B122" i="8"/>
  <c r="B90" i="8"/>
  <c r="B91" i="8"/>
  <c r="B96" i="8"/>
  <c r="B125" i="8"/>
  <c r="B29" i="1"/>
  <c r="B19" i="6"/>
  <c r="B20" i="6"/>
  <c r="B85" i="8"/>
  <c r="B86" i="8"/>
  <c r="B77" i="8"/>
  <c r="B80" i="8"/>
  <c r="B81" i="8"/>
  <c r="B82" i="8"/>
  <c r="B79" i="8"/>
  <c r="B78" i="8"/>
  <c r="B83" i="8"/>
  <c r="B92" i="8"/>
  <c r="B24" i="5"/>
  <c r="B54" i="8"/>
  <c r="A29" i="1"/>
  <c r="B22" i="5"/>
  <c r="B38" i="5"/>
  <c r="B22" i="8"/>
  <c r="B25" i="8"/>
  <c r="B26" i="8"/>
  <c r="B27" i="8"/>
  <c r="B24" i="8"/>
  <c r="B23" i="8"/>
  <c r="G22" i="5"/>
  <c r="B30" i="8"/>
  <c r="B43" i="5"/>
  <c r="E47" i="5"/>
  <c r="B50" i="5"/>
  <c r="B56" i="5"/>
  <c r="B40" i="8"/>
  <c r="B55" i="8"/>
  <c r="B67" i="8"/>
  <c r="E59" i="8"/>
  <c r="B59" i="8"/>
  <c r="B66" i="8"/>
  <c r="B98" i="8"/>
  <c r="B70" i="8"/>
  <c r="I17" i="1"/>
  <c r="C3" i="4"/>
  <c r="C4" i="4"/>
  <c r="C5" i="4"/>
  <c r="C6" i="4"/>
  <c r="B6" i="8"/>
  <c r="B1" i="12"/>
  <c r="AF40" i="12"/>
  <c r="AF39" i="12"/>
  <c r="AF38" i="12"/>
  <c r="AF37" i="12"/>
  <c r="AF36" i="12"/>
  <c r="AF35" i="12"/>
  <c r="AF34" i="12"/>
  <c r="AF33" i="12"/>
  <c r="AF32" i="12"/>
  <c r="AF31" i="12"/>
  <c r="AF30" i="12"/>
  <c r="AF29" i="12"/>
  <c r="AF28" i="12"/>
  <c r="AF27" i="12"/>
  <c r="AF26" i="12"/>
  <c r="AF25" i="12"/>
  <c r="AF24" i="12"/>
  <c r="AF23" i="12"/>
  <c r="AF22" i="12"/>
  <c r="AF21" i="12"/>
  <c r="AF20" i="12"/>
  <c r="AF19" i="12"/>
  <c r="AF18" i="12"/>
  <c r="AF17" i="12"/>
  <c r="AF16" i="12"/>
  <c r="AF15" i="12"/>
  <c r="AF14" i="12"/>
  <c r="AF13" i="12"/>
  <c r="AF12" i="12"/>
  <c r="AF11" i="12"/>
  <c r="AF10" i="12"/>
  <c r="AF9" i="12"/>
  <c r="AF8" i="12"/>
  <c r="AF7" i="12"/>
  <c r="AB38" i="10"/>
  <c r="AB37" i="10"/>
  <c r="AB36" i="10"/>
  <c r="AB35" i="10"/>
  <c r="AB34" i="10"/>
  <c r="AB33" i="10"/>
  <c r="AB32" i="10"/>
  <c r="AB31" i="10"/>
  <c r="AB30" i="10"/>
  <c r="AB29" i="10"/>
  <c r="AB28" i="10"/>
  <c r="AB27" i="10"/>
  <c r="AB26" i="10"/>
  <c r="AB25" i="10"/>
  <c r="AB24" i="10"/>
  <c r="AB23" i="10"/>
  <c r="AB22" i="10"/>
  <c r="AB21" i="10"/>
  <c r="AB20" i="10"/>
  <c r="AB19" i="10"/>
  <c r="AB18" i="10"/>
  <c r="AB17" i="10"/>
  <c r="AB16" i="10"/>
  <c r="AB15" i="10"/>
  <c r="AB14" i="10"/>
  <c r="AB13" i="10"/>
  <c r="AB12" i="10"/>
  <c r="AB11" i="10"/>
  <c r="AB10" i="10"/>
  <c r="AB9" i="10"/>
  <c r="AB8" i="10"/>
  <c r="AB7" i="10"/>
  <c r="AB6" i="10"/>
  <c r="AB5" i="10"/>
  <c r="AA38" i="10"/>
  <c r="AA37" i="10"/>
  <c r="AA36" i="10"/>
  <c r="AA35" i="10"/>
  <c r="AA34" i="10"/>
  <c r="AA33" i="10"/>
  <c r="AA32" i="10"/>
  <c r="AA31" i="10"/>
  <c r="AA30" i="10"/>
  <c r="AA29" i="10"/>
  <c r="AA28" i="10"/>
  <c r="AA27" i="10"/>
  <c r="AA26" i="10"/>
  <c r="AA25" i="10"/>
  <c r="AA24" i="10"/>
  <c r="AA23" i="10"/>
  <c r="AA22" i="10"/>
  <c r="AA21" i="10"/>
  <c r="AA20" i="10"/>
  <c r="AA19" i="10"/>
  <c r="AA18" i="10"/>
  <c r="AA17" i="10"/>
  <c r="AA16" i="10"/>
  <c r="AA15" i="10"/>
  <c r="AA14" i="10"/>
  <c r="AA13" i="10"/>
  <c r="AA12" i="10"/>
  <c r="AA11" i="10"/>
  <c r="AA10" i="10"/>
  <c r="AA9" i="10"/>
  <c r="AA8" i="10"/>
  <c r="AA7" i="10"/>
  <c r="AA6" i="10"/>
  <c r="AA5" i="10"/>
  <c r="X38" i="10"/>
  <c r="X37" i="10"/>
  <c r="X36" i="10"/>
  <c r="X35" i="10"/>
  <c r="X34" i="10"/>
  <c r="X33" i="10"/>
  <c r="X32" i="10"/>
  <c r="X31" i="10"/>
  <c r="X30" i="10"/>
  <c r="X29" i="10"/>
  <c r="X28" i="10"/>
  <c r="X27" i="10"/>
  <c r="X26" i="10"/>
  <c r="X25" i="10"/>
  <c r="X24" i="10"/>
  <c r="X23" i="10"/>
  <c r="X22" i="10"/>
  <c r="X21" i="10"/>
  <c r="X20" i="10"/>
  <c r="X19" i="10"/>
  <c r="X18" i="10"/>
  <c r="X17" i="10"/>
  <c r="X16" i="10"/>
  <c r="X15" i="10"/>
  <c r="X14" i="10"/>
  <c r="X13" i="10"/>
  <c r="X12" i="10"/>
  <c r="X11" i="10"/>
  <c r="X10" i="10"/>
  <c r="X9" i="10"/>
  <c r="X8" i="10"/>
  <c r="X7" i="10"/>
  <c r="X6" i="10"/>
  <c r="X5" i="10"/>
  <c r="W38" i="10"/>
  <c r="W37" i="10"/>
  <c r="W36" i="10"/>
  <c r="W35" i="10"/>
  <c r="W34" i="10"/>
  <c r="W33" i="10"/>
  <c r="W32" i="10"/>
  <c r="W31" i="10"/>
  <c r="W30" i="10"/>
  <c r="W29" i="10"/>
  <c r="W28" i="10"/>
  <c r="W27" i="10"/>
  <c r="W26" i="10"/>
  <c r="W25" i="10"/>
  <c r="W24" i="10"/>
  <c r="W23" i="10"/>
  <c r="W22" i="10"/>
  <c r="W21" i="10"/>
  <c r="W20" i="10"/>
  <c r="W19" i="10"/>
  <c r="W18" i="10"/>
  <c r="W17" i="10"/>
  <c r="W16" i="10"/>
  <c r="W15" i="10"/>
  <c r="W14" i="10"/>
  <c r="W13" i="10"/>
  <c r="W12" i="10"/>
  <c r="W11" i="10"/>
  <c r="W10" i="10"/>
  <c r="W9" i="10"/>
  <c r="W8" i="10"/>
  <c r="W7" i="10"/>
  <c r="W6" i="10"/>
  <c r="W5" i="10"/>
  <c r="Q38" i="10"/>
  <c r="Q37" i="10"/>
  <c r="Q36" i="10"/>
  <c r="Q35" i="10"/>
  <c r="Q34" i="10"/>
  <c r="Q33" i="10"/>
  <c r="Q32" i="10"/>
  <c r="Q31" i="10"/>
  <c r="Q30" i="10"/>
  <c r="Q29" i="10"/>
  <c r="Q28" i="10"/>
  <c r="Q27" i="10"/>
  <c r="Q26" i="10"/>
  <c r="Q25" i="10"/>
  <c r="Q24" i="10"/>
  <c r="Q23" i="10"/>
  <c r="Q22" i="10"/>
  <c r="Q21" i="10"/>
  <c r="Q20" i="10"/>
  <c r="Q19" i="10"/>
  <c r="Q18" i="10"/>
  <c r="Q17" i="10"/>
  <c r="Q16" i="10"/>
  <c r="Q15" i="10"/>
  <c r="Q14" i="10"/>
  <c r="Q13" i="10"/>
  <c r="Q12" i="10"/>
  <c r="Q11" i="10"/>
  <c r="Q10" i="10"/>
  <c r="Q9" i="10"/>
  <c r="Q8" i="10"/>
  <c r="Q7" i="10"/>
  <c r="Q6" i="10"/>
  <c r="Q5" i="10"/>
  <c r="P38" i="10"/>
  <c r="P37" i="10"/>
  <c r="P36" i="10"/>
  <c r="P35" i="10"/>
  <c r="P34" i="10"/>
  <c r="P33" i="10"/>
  <c r="P32" i="10"/>
  <c r="P31" i="10"/>
  <c r="P30" i="10"/>
  <c r="P29" i="10"/>
  <c r="P28" i="10"/>
  <c r="P27" i="10"/>
  <c r="P26" i="10"/>
  <c r="P25" i="10"/>
  <c r="P24" i="10"/>
  <c r="P23" i="10"/>
  <c r="P22" i="10"/>
  <c r="P21" i="10"/>
  <c r="P20" i="10"/>
  <c r="P19" i="10"/>
  <c r="P18" i="10"/>
  <c r="P17" i="10"/>
  <c r="P16" i="10"/>
  <c r="P15" i="10"/>
  <c r="P14" i="10"/>
  <c r="P13" i="10"/>
  <c r="P12" i="10"/>
  <c r="P11" i="10"/>
  <c r="P10" i="10"/>
  <c r="P9" i="10"/>
  <c r="P8" i="10"/>
  <c r="P7" i="10"/>
  <c r="P6" i="10"/>
  <c r="P5" i="10"/>
  <c r="M38" i="10"/>
  <c r="M37" i="10"/>
  <c r="M36" i="10"/>
  <c r="M35" i="10"/>
  <c r="M34" i="10"/>
  <c r="M33" i="10"/>
  <c r="M32" i="10"/>
  <c r="M31" i="10"/>
  <c r="M30" i="10"/>
  <c r="M29" i="10"/>
  <c r="M28" i="10"/>
  <c r="M27" i="10"/>
  <c r="M26" i="10"/>
  <c r="M25" i="10"/>
  <c r="M24" i="10"/>
  <c r="M23" i="10"/>
  <c r="M22" i="10"/>
  <c r="M21" i="10"/>
  <c r="M20" i="10"/>
  <c r="M19" i="10"/>
  <c r="M18" i="10"/>
  <c r="M17" i="10"/>
  <c r="M16" i="10"/>
  <c r="M15" i="10"/>
  <c r="M14" i="10"/>
  <c r="M13" i="10"/>
  <c r="M12" i="10"/>
  <c r="M11" i="10"/>
  <c r="M10" i="10"/>
  <c r="M9" i="10"/>
  <c r="M8" i="10"/>
  <c r="M7" i="10"/>
  <c r="M6" i="10"/>
  <c r="M5" i="10"/>
  <c r="L38" i="10"/>
  <c r="L37" i="10"/>
  <c r="L36" i="10"/>
  <c r="L35" i="10"/>
  <c r="L34" i="10"/>
  <c r="L33" i="10"/>
  <c r="L32" i="10"/>
  <c r="L31" i="10"/>
  <c r="L30" i="10"/>
  <c r="L29" i="10"/>
  <c r="L28" i="10"/>
  <c r="L27" i="10"/>
  <c r="L26" i="10"/>
  <c r="L25" i="10"/>
  <c r="L24" i="10"/>
  <c r="L23" i="10"/>
  <c r="L22" i="10"/>
  <c r="L21" i="10"/>
  <c r="L20" i="10"/>
  <c r="L19" i="10"/>
  <c r="L18" i="10"/>
  <c r="L17" i="10"/>
  <c r="L16" i="10"/>
  <c r="L15" i="10"/>
  <c r="L14" i="10"/>
  <c r="L13" i="10"/>
  <c r="L12" i="10"/>
  <c r="L11" i="10"/>
  <c r="L10" i="10"/>
  <c r="L9" i="10"/>
  <c r="L8" i="10"/>
  <c r="L7" i="10"/>
  <c r="L6" i="10"/>
  <c r="L5" i="10"/>
  <c r="G38" i="10"/>
  <c r="G37" i="10"/>
  <c r="G36" i="10"/>
  <c r="G35" i="10"/>
  <c r="G34" i="10"/>
  <c r="G33" i="10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G5" i="10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8" i="10"/>
  <c r="F7" i="10"/>
  <c r="F6" i="10"/>
  <c r="F5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AO40" i="12"/>
  <c r="AO39" i="12"/>
  <c r="AO38" i="12"/>
  <c r="AO37" i="12"/>
  <c r="AO36" i="12"/>
  <c r="AO35" i="12"/>
  <c r="AO34" i="12"/>
  <c r="AO33" i="12"/>
  <c r="AO32" i="12"/>
  <c r="AO31" i="12"/>
  <c r="AO30" i="12"/>
  <c r="AO29" i="12"/>
  <c r="AO28" i="12"/>
  <c r="AO27" i="12"/>
  <c r="AO26" i="12"/>
  <c r="AO25" i="12"/>
  <c r="AO24" i="12"/>
  <c r="AO23" i="12"/>
  <c r="AO22" i="12"/>
  <c r="AO21" i="12"/>
  <c r="AO20" i="12"/>
  <c r="AO19" i="12"/>
  <c r="AO18" i="12"/>
  <c r="AO17" i="12"/>
  <c r="AO16" i="12"/>
  <c r="AO15" i="12"/>
  <c r="AO14" i="12"/>
  <c r="AO13" i="12"/>
  <c r="AO12" i="12"/>
  <c r="AO11" i="12"/>
  <c r="AO10" i="12"/>
  <c r="AO9" i="12"/>
  <c r="AO8" i="12"/>
  <c r="AO7" i="12"/>
  <c r="AG40" i="12"/>
  <c r="AG39" i="12"/>
  <c r="AG38" i="12"/>
  <c r="AG37" i="12"/>
  <c r="AG36" i="12"/>
  <c r="AG35" i="12"/>
  <c r="AG34" i="12"/>
  <c r="AG33" i="12"/>
  <c r="AG32" i="12"/>
  <c r="AG31" i="12"/>
  <c r="AG30" i="12"/>
  <c r="AG29" i="12"/>
  <c r="AG28" i="12"/>
  <c r="AG27" i="12"/>
  <c r="AG26" i="12"/>
  <c r="AG25" i="12"/>
  <c r="AG24" i="12"/>
  <c r="AG23" i="12"/>
  <c r="AG22" i="12"/>
  <c r="AG21" i="12"/>
  <c r="AG20" i="12"/>
  <c r="AG19" i="12"/>
  <c r="AG18" i="12"/>
  <c r="AG17" i="12"/>
  <c r="AG16" i="12"/>
  <c r="AG15" i="12"/>
  <c r="AG14" i="12"/>
  <c r="AG13" i="12"/>
  <c r="AG12" i="12"/>
  <c r="AG11" i="12"/>
  <c r="AG10" i="12"/>
  <c r="AG9" i="12"/>
  <c r="AG8" i="12"/>
  <c r="AG7" i="12"/>
  <c r="B3" i="8"/>
  <c r="Y40" i="12"/>
  <c r="Y39" i="12"/>
  <c r="Y38" i="12"/>
  <c r="Y37" i="12"/>
  <c r="Y36" i="12"/>
  <c r="Y35" i="12"/>
  <c r="Y34" i="12"/>
  <c r="Y33" i="12"/>
  <c r="Y32" i="12"/>
  <c r="Y31" i="12"/>
  <c r="Y30" i="12"/>
  <c r="Y29" i="12"/>
  <c r="Y28" i="12"/>
  <c r="Y27" i="12"/>
  <c r="Y26" i="12"/>
  <c r="Y25" i="12"/>
  <c r="Y24" i="12"/>
  <c r="Y23" i="12"/>
  <c r="Y22" i="12"/>
  <c r="Y21" i="12"/>
  <c r="Y20" i="12"/>
  <c r="Y19" i="12"/>
  <c r="Y18" i="12"/>
  <c r="Y17" i="12"/>
  <c r="Y16" i="12"/>
  <c r="Y15" i="12"/>
  <c r="Y14" i="12"/>
  <c r="Y13" i="12"/>
  <c r="Y12" i="12"/>
  <c r="Y11" i="12"/>
  <c r="Y10" i="12"/>
  <c r="Y9" i="12"/>
  <c r="Y8" i="12"/>
  <c r="Y7" i="12"/>
  <c r="B146" i="10"/>
  <c r="B145" i="10"/>
  <c r="B144" i="10"/>
  <c r="B143" i="10"/>
  <c r="B142" i="10"/>
  <c r="B141" i="10"/>
  <c r="B140" i="10"/>
  <c r="B139" i="10"/>
  <c r="B138" i="10"/>
  <c r="B137" i="10"/>
  <c r="B136" i="10"/>
  <c r="B135" i="10"/>
  <c r="B134" i="10"/>
  <c r="B133" i="10"/>
  <c r="B132" i="10"/>
  <c r="B131" i="10"/>
  <c r="B130" i="10"/>
  <c r="B129" i="10"/>
  <c r="B128" i="10"/>
  <c r="B127" i="10"/>
  <c r="B126" i="10"/>
  <c r="B125" i="10"/>
  <c r="B124" i="10"/>
  <c r="B123" i="10"/>
  <c r="B122" i="10"/>
  <c r="B121" i="10"/>
  <c r="B120" i="10"/>
  <c r="B119" i="10"/>
  <c r="B118" i="10"/>
  <c r="B117" i="10"/>
  <c r="B116" i="10"/>
  <c r="B115" i="10"/>
  <c r="B114" i="10"/>
  <c r="B113" i="10"/>
  <c r="L108" i="10"/>
  <c r="M108" i="10"/>
  <c r="L107" i="10"/>
  <c r="M107" i="10"/>
  <c r="L106" i="10"/>
  <c r="M106" i="10"/>
  <c r="L105" i="10"/>
  <c r="M105" i="10"/>
  <c r="L104" i="10"/>
  <c r="M104" i="10"/>
  <c r="L103" i="10"/>
  <c r="M103" i="10"/>
  <c r="L102" i="10"/>
  <c r="M102" i="10"/>
  <c r="L101" i="10"/>
  <c r="M101" i="10"/>
  <c r="L100" i="10"/>
  <c r="M100" i="10"/>
  <c r="L99" i="10"/>
  <c r="M99" i="10"/>
  <c r="L98" i="10"/>
  <c r="M98" i="10"/>
  <c r="L97" i="10"/>
  <c r="M97" i="10"/>
  <c r="L96" i="10"/>
  <c r="M96" i="10"/>
  <c r="L95" i="10"/>
  <c r="M95" i="10"/>
  <c r="L94" i="10"/>
  <c r="M94" i="10"/>
  <c r="L93" i="10"/>
  <c r="M93" i="10"/>
  <c r="L92" i="10"/>
  <c r="M92" i="10"/>
  <c r="L91" i="10"/>
  <c r="M91" i="10"/>
  <c r="L90" i="10"/>
  <c r="M90" i="10"/>
  <c r="L89" i="10"/>
  <c r="M89" i="10"/>
  <c r="L88" i="10"/>
  <c r="M88" i="10"/>
  <c r="L87" i="10"/>
  <c r="M87" i="10"/>
  <c r="L86" i="10"/>
  <c r="M86" i="10"/>
  <c r="L85" i="10"/>
  <c r="M85" i="10"/>
  <c r="L84" i="10"/>
  <c r="M84" i="10"/>
  <c r="L83" i="10"/>
  <c r="M83" i="10"/>
  <c r="L82" i="10"/>
  <c r="M82" i="10"/>
  <c r="L81" i="10"/>
  <c r="M81" i="10"/>
  <c r="L80" i="10"/>
  <c r="M80" i="10"/>
  <c r="L79" i="10"/>
  <c r="M79" i="10"/>
  <c r="L78" i="10"/>
  <c r="M78" i="10"/>
  <c r="L77" i="10"/>
  <c r="M77" i="10"/>
  <c r="L76" i="10"/>
  <c r="M76" i="10"/>
  <c r="L75" i="10"/>
  <c r="M75" i="10"/>
  <c r="K71" i="10"/>
  <c r="K70" i="10"/>
  <c r="K69" i="10"/>
  <c r="K68" i="10"/>
  <c r="K67" i="10"/>
  <c r="K66" i="10"/>
  <c r="K65" i="10"/>
  <c r="K64" i="10"/>
  <c r="K63" i="10"/>
  <c r="K62" i="10"/>
  <c r="K61" i="10"/>
  <c r="K60" i="10"/>
  <c r="K59" i="10"/>
  <c r="K58" i="10"/>
  <c r="K57" i="10"/>
  <c r="K56" i="10"/>
  <c r="K55" i="10"/>
  <c r="K54" i="10"/>
  <c r="K53" i="10"/>
  <c r="K52" i="10"/>
  <c r="K51" i="10"/>
  <c r="K50" i="10"/>
  <c r="K49" i="10"/>
  <c r="K48" i="10"/>
  <c r="K47" i="10"/>
  <c r="K46" i="10"/>
  <c r="K45" i="10"/>
  <c r="K44" i="10"/>
  <c r="K43" i="10"/>
  <c r="R38" i="10"/>
  <c r="N38" i="10"/>
  <c r="S38" i="10"/>
  <c r="U38" i="10"/>
  <c r="T38" i="10"/>
  <c r="H38" i="10"/>
  <c r="D38" i="10"/>
  <c r="I38" i="10"/>
  <c r="J38" i="10"/>
  <c r="R37" i="10"/>
  <c r="N37" i="10"/>
  <c r="S37" i="10"/>
  <c r="U37" i="10"/>
  <c r="T37" i="10"/>
  <c r="H37" i="10"/>
  <c r="D37" i="10"/>
  <c r="I37" i="10"/>
  <c r="J37" i="10"/>
  <c r="R36" i="10"/>
  <c r="N36" i="10"/>
  <c r="S36" i="10"/>
  <c r="U36" i="10"/>
  <c r="T36" i="10"/>
  <c r="H36" i="10"/>
  <c r="D36" i="10"/>
  <c r="I36" i="10"/>
  <c r="J36" i="10"/>
  <c r="R35" i="10"/>
  <c r="N35" i="10"/>
  <c r="S35" i="10"/>
  <c r="U35" i="10"/>
  <c r="T35" i="10"/>
  <c r="H35" i="10"/>
  <c r="D35" i="10"/>
  <c r="I35" i="10"/>
  <c r="J35" i="10"/>
  <c r="R34" i="10"/>
  <c r="N34" i="10"/>
  <c r="S34" i="10"/>
  <c r="U34" i="10"/>
  <c r="T34" i="10"/>
  <c r="H34" i="10"/>
  <c r="D34" i="10"/>
  <c r="I34" i="10"/>
  <c r="J34" i="10"/>
  <c r="R33" i="10"/>
  <c r="N33" i="10"/>
  <c r="S33" i="10"/>
  <c r="U33" i="10"/>
  <c r="T33" i="10"/>
  <c r="H33" i="10"/>
  <c r="D33" i="10"/>
  <c r="I33" i="10"/>
  <c r="J33" i="10"/>
  <c r="R32" i="10"/>
  <c r="N32" i="10"/>
  <c r="S32" i="10"/>
  <c r="U32" i="10"/>
  <c r="T32" i="10"/>
  <c r="H32" i="10"/>
  <c r="D32" i="10"/>
  <c r="I32" i="10"/>
  <c r="J32" i="10"/>
  <c r="R31" i="10"/>
  <c r="N31" i="10"/>
  <c r="S31" i="10"/>
  <c r="U31" i="10"/>
  <c r="T31" i="10"/>
  <c r="H31" i="10"/>
  <c r="D31" i="10"/>
  <c r="I31" i="10"/>
  <c r="J31" i="10"/>
  <c r="R30" i="10"/>
  <c r="N30" i="10"/>
  <c r="S30" i="10"/>
  <c r="U30" i="10"/>
  <c r="T30" i="10"/>
  <c r="H30" i="10"/>
  <c r="D30" i="10"/>
  <c r="I30" i="10"/>
  <c r="J30" i="10"/>
  <c r="R29" i="10"/>
  <c r="N29" i="10"/>
  <c r="S29" i="10"/>
  <c r="U29" i="10"/>
  <c r="T29" i="10"/>
  <c r="H29" i="10"/>
  <c r="D29" i="10"/>
  <c r="I29" i="10"/>
  <c r="J29" i="10"/>
  <c r="R28" i="10"/>
  <c r="N28" i="10"/>
  <c r="S28" i="10"/>
  <c r="U28" i="10"/>
  <c r="T28" i="10"/>
  <c r="H28" i="10"/>
  <c r="D28" i="10"/>
  <c r="I28" i="10"/>
  <c r="J28" i="10"/>
  <c r="R27" i="10"/>
  <c r="N27" i="10"/>
  <c r="S27" i="10"/>
  <c r="U27" i="10"/>
  <c r="T27" i="10"/>
  <c r="H27" i="10"/>
  <c r="D27" i="10"/>
  <c r="I27" i="10"/>
  <c r="J27" i="10"/>
  <c r="R26" i="10"/>
  <c r="N26" i="10"/>
  <c r="S26" i="10"/>
  <c r="U26" i="10"/>
  <c r="T26" i="10"/>
  <c r="H26" i="10"/>
  <c r="D26" i="10"/>
  <c r="I26" i="10"/>
  <c r="J26" i="10"/>
  <c r="R25" i="10"/>
  <c r="N25" i="10"/>
  <c r="S25" i="10"/>
  <c r="U25" i="10"/>
  <c r="T25" i="10"/>
  <c r="H25" i="10"/>
  <c r="D25" i="10"/>
  <c r="I25" i="10"/>
  <c r="J25" i="10"/>
  <c r="R24" i="10"/>
  <c r="N24" i="10"/>
  <c r="S24" i="10"/>
  <c r="U24" i="10"/>
  <c r="T24" i="10"/>
  <c r="H24" i="10"/>
  <c r="D24" i="10"/>
  <c r="I24" i="10"/>
  <c r="J24" i="10"/>
  <c r="R23" i="10"/>
  <c r="N23" i="10"/>
  <c r="S23" i="10"/>
  <c r="U23" i="10"/>
  <c r="T23" i="10"/>
  <c r="H23" i="10"/>
  <c r="D23" i="10"/>
  <c r="I23" i="10"/>
  <c r="J23" i="10"/>
  <c r="R22" i="10"/>
  <c r="N22" i="10"/>
  <c r="S22" i="10"/>
  <c r="U22" i="10"/>
  <c r="T22" i="10"/>
  <c r="H22" i="10"/>
  <c r="D22" i="10"/>
  <c r="I22" i="10"/>
  <c r="J22" i="10"/>
  <c r="R21" i="10"/>
  <c r="N21" i="10"/>
  <c r="S21" i="10"/>
  <c r="U21" i="10"/>
  <c r="T21" i="10"/>
  <c r="H21" i="10"/>
  <c r="D21" i="10"/>
  <c r="I21" i="10"/>
  <c r="J21" i="10"/>
  <c r="R20" i="10"/>
  <c r="N20" i="10"/>
  <c r="S20" i="10"/>
  <c r="U20" i="10"/>
  <c r="T20" i="10"/>
  <c r="H20" i="10"/>
  <c r="D20" i="10"/>
  <c r="I20" i="10"/>
  <c r="J20" i="10"/>
  <c r="R19" i="10"/>
  <c r="N19" i="10"/>
  <c r="S19" i="10"/>
  <c r="U19" i="10"/>
  <c r="T19" i="10"/>
  <c r="H19" i="10"/>
  <c r="D19" i="10"/>
  <c r="I19" i="10"/>
  <c r="J19" i="10"/>
  <c r="R18" i="10"/>
  <c r="N18" i="10"/>
  <c r="S18" i="10"/>
  <c r="U18" i="10"/>
  <c r="T18" i="10"/>
  <c r="H18" i="10"/>
  <c r="D18" i="10"/>
  <c r="I18" i="10"/>
  <c r="J18" i="10"/>
  <c r="R17" i="10"/>
  <c r="N17" i="10"/>
  <c r="S17" i="10"/>
  <c r="U17" i="10"/>
  <c r="T17" i="10"/>
  <c r="H17" i="10"/>
  <c r="D17" i="10"/>
  <c r="I17" i="10"/>
  <c r="J17" i="10"/>
  <c r="R16" i="10"/>
  <c r="N16" i="10"/>
  <c r="S16" i="10"/>
  <c r="U16" i="10"/>
  <c r="T16" i="10"/>
  <c r="H16" i="10"/>
  <c r="D16" i="10"/>
  <c r="I16" i="10"/>
  <c r="J16" i="10"/>
  <c r="R15" i="10"/>
  <c r="N15" i="10"/>
  <c r="S15" i="10"/>
  <c r="U15" i="10"/>
  <c r="T15" i="10"/>
  <c r="H15" i="10"/>
  <c r="D15" i="10"/>
  <c r="I15" i="10"/>
  <c r="J15" i="10"/>
  <c r="R14" i="10"/>
  <c r="N14" i="10"/>
  <c r="S14" i="10"/>
  <c r="U14" i="10"/>
  <c r="T14" i="10"/>
  <c r="H14" i="10"/>
  <c r="D14" i="10"/>
  <c r="I14" i="10"/>
  <c r="J14" i="10"/>
  <c r="R13" i="10"/>
  <c r="N13" i="10"/>
  <c r="S13" i="10"/>
  <c r="U13" i="10"/>
  <c r="T13" i="10"/>
  <c r="H13" i="10"/>
  <c r="D13" i="10"/>
  <c r="I13" i="10"/>
  <c r="J13" i="10"/>
  <c r="R12" i="10"/>
  <c r="N12" i="10"/>
  <c r="S12" i="10"/>
  <c r="U12" i="10"/>
  <c r="T12" i="10"/>
  <c r="H12" i="10"/>
  <c r="D12" i="10"/>
  <c r="I12" i="10"/>
  <c r="J12" i="10"/>
  <c r="R11" i="10"/>
  <c r="N11" i="10"/>
  <c r="S11" i="10"/>
  <c r="U11" i="10"/>
  <c r="T11" i="10"/>
  <c r="H11" i="10"/>
  <c r="D11" i="10"/>
  <c r="I11" i="10"/>
  <c r="J11" i="10"/>
  <c r="R10" i="10"/>
  <c r="N10" i="10"/>
  <c r="S10" i="10"/>
  <c r="U10" i="10"/>
  <c r="T10" i="10"/>
  <c r="H10" i="10"/>
  <c r="D10" i="10"/>
  <c r="I10" i="10"/>
  <c r="J10" i="10"/>
  <c r="R9" i="10"/>
  <c r="N9" i="10"/>
  <c r="S9" i="10"/>
  <c r="U9" i="10"/>
  <c r="T9" i="10"/>
  <c r="H9" i="10"/>
  <c r="D9" i="10"/>
  <c r="I9" i="10"/>
  <c r="J9" i="10"/>
  <c r="R8" i="10"/>
  <c r="N8" i="10"/>
  <c r="S8" i="10"/>
  <c r="U8" i="10"/>
  <c r="T8" i="10"/>
  <c r="H8" i="10"/>
  <c r="D8" i="10"/>
  <c r="I8" i="10"/>
  <c r="J8" i="10"/>
  <c r="R7" i="10"/>
  <c r="N7" i="10"/>
  <c r="S7" i="10"/>
  <c r="U7" i="10"/>
  <c r="T7" i="10"/>
  <c r="H7" i="10"/>
  <c r="D7" i="10"/>
  <c r="I7" i="10"/>
  <c r="J7" i="10"/>
  <c r="R6" i="10"/>
  <c r="N6" i="10"/>
  <c r="S6" i="10"/>
  <c r="U6" i="10"/>
  <c r="T6" i="10"/>
  <c r="H6" i="10"/>
  <c r="D6" i="10"/>
  <c r="I6" i="10"/>
  <c r="J6" i="10"/>
  <c r="R5" i="10"/>
  <c r="N5" i="10"/>
  <c r="S5" i="10"/>
  <c r="U5" i="10"/>
  <c r="T5" i="10"/>
  <c r="H5" i="10"/>
  <c r="D5" i="10"/>
  <c r="I5" i="10"/>
  <c r="J5" i="10"/>
  <c r="AC3" i="10"/>
  <c r="AC38" i="10"/>
  <c r="Y3" i="10"/>
  <c r="Y38" i="10"/>
  <c r="AD38" i="10"/>
  <c r="F5" i="8"/>
  <c r="F6" i="8"/>
  <c r="B8" i="8"/>
  <c r="J2" i="10"/>
  <c r="AE2" i="10"/>
  <c r="AE38" i="10"/>
  <c r="B40" i="12"/>
  <c r="E40" i="12"/>
  <c r="B6" i="4"/>
  <c r="B7" i="8"/>
  <c r="B2" i="12"/>
  <c r="F40" i="12"/>
  <c r="B128" i="8"/>
  <c r="B102" i="8"/>
  <c r="B72" i="8"/>
  <c r="B18" i="8"/>
  <c r="G40" i="12"/>
  <c r="J2" i="12"/>
  <c r="J40" i="12"/>
  <c r="BG40" i="12"/>
  <c r="B2" i="8"/>
  <c r="B131" i="8"/>
  <c r="BH40" i="12"/>
  <c r="BI40" i="12"/>
  <c r="BC40" i="12"/>
  <c r="BD40" i="12"/>
  <c r="BE40" i="12"/>
  <c r="AC37" i="10"/>
  <c r="Y37" i="10"/>
  <c r="AD37" i="10"/>
  <c r="AE37" i="10"/>
  <c r="B39" i="12"/>
  <c r="E39" i="12"/>
  <c r="F39" i="12"/>
  <c r="G39" i="12"/>
  <c r="J39" i="12"/>
  <c r="BG39" i="12"/>
  <c r="BH39" i="12"/>
  <c r="BI39" i="12"/>
  <c r="BC39" i="12"/>
  <c r="BD39" i="12"/>
  <c r="BE39" i="12"/>
  <c r="AC36" i="10"/>
  <c r="Y36" i="10"/>
  <c r="AD36" i="10"/>
  <c r="AE36" i="10"/>
  <c r="B38" i="12"/>
  <c r="E38" i="12"/>
  <c r="F38" i="12"/>
  <c r="G38" i="12"/>
  <c r="J38" i="12"/>
  <c r="BG38" i="12"/>
  <c r="BH38" i="12"/>
  <c r="BI38" i="12"/>
  <c r="BC38" i="12"/>
  <c r="BD38" i="12"/>
  <c r="BE38" i="12"/>
  <c r="AC35" i="10"/>
  <c r="Y35" i="10"/>
  <c r="AD35" i="10"/>
  <c r="AE35" i="10"/>
  <c r="B37" i="12"/>
  <c r="E37" i="12"/>
  <c r="F37" i="12"/>
  <c r="G37" i="12"/>
  <c r="J37" i="12"/>
  <c r="BG37" i="12"/>
  <c r="BH37" i="12"/>
  <c r="BI37" i="12"/>
  <c r="BC37" i="12"/>
  <c r="BD37" i="12"/>
  <c r="BE37" i="12"/>
  <c r="AC34" i="10"/>
  <c r="Y34" i="10"/>
  <c r="AD34" i="10"/>
  <c r="AE34" i="10"/>
  <c r="B36" i="12"/>
  <c r="E36" i="12"/>
  <c r="F36" i="12"/>
  <c r="G36" i="12"/>
  <c r="J36" i="12"/>
  <c r="BG36" i="12"/>
  <c r="BH36" i="12"/>
  <c r="BI36" i="12"/>
  <c r="BC36" i="12"/>
  <c r="BD36" i="12"/>
  <c r="BE36" i="12"/>
  <c r="AC33" i="10"/>
  <c r="Y33" i="10"/>
  <c r="AD33" i="10"/>
  <c r="AE33" i="10"/>
  <c r="B35" i="12"/>
  <c r="E35" i="12"/>
  <c r="F35" i="12"/>
  <c r="G35" i="12"/>
  <c r="J35" i="12"/>
  <c r="BG35" i="12"/>
  <c r="BH35" i="12"/>
  <c r="BI35" i="12"/>
  <c r="BC35" i="12"/>
  <c r="BD35" i="12"/>
  <c r="BE35" i="12"/>
  <c r="AC32" i="10"/>
  <c r="Y32" i="10"/>
  <c r="AD32" i="10"/>
  <c r="AE32" i="10"/>
  <c r="B34" i="12"/>
  <c r="E34" i="12"/>
  <c r="F34" i="12"/>
  <c r="G34" i="12"/>
  <c r="J34" i="12"/>
  <c r="BG34" i="12"/>
  <c r="BH34" i="12"/>
  <c r="BI34" i="12"/>
  <c r="BC34" i="12"/>
  <c r="BD34" i="12"/>
  <c r="BE34" i="12"/>
  <c r="AC31" i="10"/>
  <c r="Y31" i="10"/>
  <c r="AD31" i="10"/>
  <c r="AE31" i="10"/>
  <c r="B33" i="12"/>
  <c r="E33" i="12"/>
  <c r="F33" i="12"/>
  <c r="G33" i="12"/>
  <c r="J33" i="12"/>
  <c r="BG33" i="12"/>
  <c r="BH33" i="12"/>
  <c r="BI33" i="12"/>
  <c r="BC33" i="12"/>
  <c r="BD33" i="12"/>
  <c r="BE33" i="12"/>
  <c r="AC30" i="10"/>
  <c r="Y30" i="10"/>
  <c r="AD30" i="10"/>
  <c r="AE30" i="10"/>
  <c r="B32" i="12"/>
  <c r="E32" i="12"/>
  <c r="F32" i="12"/>
  <c r="G32" i="12"/>
  <c r="J32" i="12"/>
  <c r="BG32" i="12"/>
  <c r="BH32" i="12"/>
  <c r="BI32" i="12"/>
  <c r="BC32" i="12"/>
  <c r="BD32" i="12"/>
  <c r="BE32" i="12"/>
  <c r="AC29" i="10"/>
  <c r="Y29" i="10"/>
  <c r="AD29" i="10"/>
  <c r="AE29" i="10"/>
  <c r="B31" i="12"/>
  <c r="E31" i="12"/>
  <c r="F31" i="12"/>
  <c r="G31" i="12"/>
  <c r="J31" i="12"/>
  <c r="BG31" i="12"/>
  <c r="BH31" i="12"/>
  <c r="BI31" i="12"/>
  <c r="BC31" i="12"/>
  <c r="BD31" i="12"/>
  <c r="BE31" i="12"/>
  <c r="AC28" i="10"/>
  <c r="Y28" i="10"/>
  <c r="AD28" i="10"/>
  <c r="AE28" i="10"/>
  <c r="B30" i="12"/>
  <c r="E30" i="12"/>
  <c r="F30" i="12"/>
  <c r="G30" i="12"/>
  <c r="J30" i="12"/>
  <c r="BG30" i="12"/>
  <c r="BH30" i="12"/>
  <c r="BI30" i="12"/>
  <c r="BC30" i="12"/>
  <c r="BD30" i="12"/>
  <c r="BE30" i="12"/>
  <c r="AC27" i="10"/>
  <c r="Y27" i="10"/>
  <c r="AD27" i="10"/>
  <c r="AE27" i="10"/>
  <c r="B29" i="12"/>
  <c r="E29" i="12"/>
  <c r="F29" i="12"/>
  <c r="G29" i="12"/>
  <c r="J29" i="12"/>
  <c r="BG29" i="12"/>
  <c r="BH29" i="12"/>
  <c r="BI29" i="12"/>
  <c r="BC29" i="12"/>
  <c r="BD29" i="12"/>
  <c r="BE29" i="12"/>
  <c r="AC26" i="10"/>
  <c r="Y26" i="10"/>
  <c r="AD26" i="10"/>
  <c r="AE26" i="10"/>
  <c r="B28" i="12"/>
  <c r="E28" i="12"/>
  <c r="F28" i="12"/>
  <c r="G28" i="12"/>
  <c r="J28" i="12"/>
  <c r="BG28" i="12"/>
  <c r="BH28" i="12"/>
  <c r="BI28" i="12"/>
  <c r="BC28" i="12"/>
  <c r="BD28" i="12"/>
  <c r="BE28" i="12"/>
  <c r="AC25" i="10"/>
  <c r="Y25" i="10"/>
  <c r="AD25" i="10"/>
  <c r="AE25" i="10"/>
  <c r="B27" i="12"/>
  <c r="E27" i="12"/>
  <c r="F27" i="12"/>
  <c r="G27" i="12"/>
  <c r="J27" i="12"/>
  <c r="BG27" i="12"/>
  <c r="BH27" i="12"/>
  <c r="BI27" i="12"/>
  <c r="BC27" i="12"/>
  <c r="BD27" i="12"/>
  <c r="BE27" i="12"/>
  <c r="AC24" i="10"/>
  <c r="Y24" i="10"/>
  <c r="AD24" i="10"/>
  <c r="AE24" i="10"/>
  <c r="B26" i="12"/>
  <c r="E26" i="12"/>
  <c r="F26" i="12"/>
  <c r="G26" i="12"/>
  <c r="J26" i="12"/>
  <c r="BG26" i="12"/>
  <c r="BH26" i="12"/>
  <c r="BI26" i="12"/>
  <c r="BC26" i="12"/>
  <c r="BD26" i="12"/>
  <c r="BE26" i="12"/>
  <c r="AC23" i="10"/>
  <c r="Y23" i="10"/>
  <c r="AD23" i="10"/>
  <c r="AE23" i="10"/>
  <c r="B25" i="12"/>
  <c r="E25" i="12"/>
  <c r="F25" i="12"/>
  <c r="G25" i="12"/>
  <c r="J25" i="12"/>
  <c r="BG25" i="12"/>
  <c r="BH25" i="12"/>
  <c r="BI25" i="12"/>
  <c r="BC25" i="12"/>
  <c r="BD25" i="12"/>
  <c r="BE25" i="12"/>
  <c r="AC22" i="10"/>
  <c r="Y22" i="10"/>
  <c r="AD22" i="10"/>
  <c r="AE22" i="10"/>
  <c r="B24" i="12"/>
  <c r="E24" i="12"/>
  <c r="F24" i="12"/>
  <c r="G24" i="12"/>
  <c r="J24" i="12"/>
  <c r="BG24" i="12"/>
  <c r="BH24" i="12"/>
  <c r="BI24" i="12"/>
  <c r="BC24" i="12"/>
  <c r="BD24" i="12"/>
  <c r="BE24" i="12"/>
  <c r="AC21" i="10"/>
  <c r="Y21" i="10"/>
  <c r="AD21" i="10"/>
  <c r="AE21" i="10"/>
  <c r="B23" i="12"/>
  <c r="E23" i="12"/>
  <c r="F23" i="12"/>
  <c r="G23" i="12"/>
  <c r="J23" i="12"/>
  <c r="BG23" i="12"/>
  <c r="BH23" i="12"/>
  <c r="BI23" i="12"/>
  <c r="BC23" i="12"/>
  <c r="BD23" i="12"/>
  <c r="BE23" i="12"/>
  <c r="AC20" i="10"/>
  <c r="Y20" i="10"/>
  <c r="AD20" i="10"/>
  <c r="AE20" i="10"/>
  <c r="B22" i="12"/>
  <c r="E22" i="12"/>
  <c r="F22" i="12"/>
  <c r="G22" i="12"/>
  <c r="J22" i="12"/>
  <c r="BG22" i="12"/>
  <c r="BH22" i="12"/>
  <c r="BI22" i="12"/>
  <c r="BC22" i="12"/>
  <c r="BD22" i="12"/>
  <c r="BE22" i="12"/>
  <c r="AC19" i="10"/>
  <c r="Y19" i="10"/>
  <c r="AD19" i="10"/>
  <c r="AE19" i="10"/>
  <c r="B21" i="12"/>
  <c r="E21" i="12"/>
  <c r="F21" i="12"/>
  <c r="G21" i="12"/>
  <c r="J21" i="12"/>
  <c r="BG21" i="12"/>
  <c r="BH21" i="12"/>
  <c r="BI21" i="12"/>
  <c r="BC21" i="12"/>
  <c r="BD21" i="12"/>
  <c r="BE21" i="12"/>
  <c r="AC18" i="10"/>
  <c r="Y18" i="10"/>
  <c r="AD18" i="10"/>
  <c r="AE18" i="10"/>
  <c r="B20" i="12"/>
  <c r="E20" i="12"/>
  <c r="F20" i="12"/>
  <c r="G20" i="12"/>
  <c r="J20" i="12"/>
  <c r="BG20" i="12"/>
  <c r="BH20" i="12"/>
  <c r="BI20" i="12"/>
  <c r="BC20" i="12"/>
  <c r="BD20" i="12"/>
  <c r="BE20" i="12"/>
  <c r="AC17" i="10"/>
  <c r="Y17" i="10"/>
  <c r="AD17" i="10"/>
  <c r="AE17" i="10"/>
  <c r="B19" i="12"/>
  <c r="E19" i="12"/>
  <c r="F19" i="12"/>
  <c r="G19" i="12"/>
  <c r="J19" i="12"/>
  <c r="BG19" i="12"/>
  <c r="BH19" i="12"/>
  <c r="BI19" i="12"/>
  <c r="BC19" i="12"/>
  <c r="BD19" i="12"/>
  <c r="BE19" i="12"/>
  <c r="AC16" i="10"/>
  <c r="Y16" i="10"/>
  <c r="AD16" i="10"/>
  <c r="AE16" i="10"/>
  <c r="B18" i="12"/>
  <c r="E18" i="12"/>
  <c r="F18" i="12"/>
  <c r="G18" i="12"/>
  <c r="J18" i="12"/>
  <c r="BG18" i="12"/>
  <c r="BH18" i="12"/>
  <c r="BI18" i="12"/>
  <c r="BC18" i="12"/>
  <c r="BD18" i="12"/>
  <c r="BE18" i="12"/>
  <c r="AC15" i="10"/>
  <c r="Y15" i="10"/>
  <c r="AD15" i="10"/>
  <c r="AE15" i="10"/>
  <c r="B17" i="12"/>
  <c r="E17" i="12"/>
  <c r="F17" i="12"/>
  <c r="G17" i="12"/>
  <c r="J17" i="12"/>
  <c r="BG17" i="12"/>
  <c r="BH17" i="12"/>
  <c r="BI17" i="12"/>
  <c r="BC17" i="12"/>
  <c r="BD17" i="12"/>
  <c r="BE17" i="12"/>
  <c r="AC14" i="10"/>
  <c r="Y14" i="10"/>
  <c r="AD14" i="10"/>
  <c r="AE14" i="10"/>
  <c r="B16" i="12"/>
  <c r="E16" i="12"/>
  <c r="F16" i="12"/>
  <c r="G16" i="12"/>
  <c r="J16" i="12"/>
  <c r="BG16" i="12"/>
  <c r="BH16" i="12"/>
  <c r="BI16" i="12"/>
  <c r="BC16" i="12"/>
  <c r="BD16" i="12"/>
  <c r="BE16" i="12"/>
  <c r="AC13" i="10"/>
  <c r="Y13" i="10"/>
  <c r="AD13" i="10"/>
  <c r="AE13" i="10"/>
  <c r="B15" i="12"/>
  <c r="E15" i="12"/>
  <c r="F15" i="12"/>
  <c r="G15" i="12"/>
  <c r="J15" i="12"/>
  <c r="BG15" i="12"/>
  <c r="BH15" i="12"/>
  <c r="BI15" i="12"/>
  <c r="BC15" i="12"/>
  <c r="BD15" i="12"/>
  <c r="BE15" i="12"/>
  <c r="AC12" i="10"/>
  <c r="Y12" i="10"/>
  <c r="AD12" i="10"/>
  <c r="AE12" i="10"/>
  <c r="B14" i="12"/>
  <c r="E14" i="12"/>
  <c r="F14" i="12"/>
  <c r="G14" i="12"/>
  <c r="J14" i="12"/>
  <c r="BG14" i="12"/>
  <c r="BH14" i="12"/>
  <c r="BI14" i="12"/>
  <c r="BC14" i="12"/>
  <c r="BD14" i="12"/>
  <c r="BE14" i="12"/>
  <c r="AC11" i="10"/>
  <c r="Y11" i="10"/>
  <c r="AD11" i="10"/>
  <c r="AE11" i="10"/>
  <c r="B13" i="12"/>
  <c r="E13" i="12"/>
  <c r="F13" i="12"/>
  <c r="G13" i="12"/>
  <c r="J13" i="12"/>
  <c r="BG13" i="12"/>
  <c r="BH13" i="12"/>
  <c r="BI13" i="12"/>
  <c r="BC13" i="12"/>
  <c r="BD13" i="12"/>
  <c r="BE13" i="12"/>
  <c r="AC10" i="10"/>
  <c r="Y10" i="10"/>
  <c r="AD10" i="10"/>
  <c r="AE10" i="10"/>
  <c r="B12" i="12"/>
  <c r="E12" i="12"/>
  <c r="F12" i="12"/>
  <c r="G12" i="12"/>
  <c r="J12" i="12"/>
  <c r="BG12" i="12"/>
  <c r="BH12" i="12"/>
  <c r="BI12" i="12"/>
  <c r="BC12" i="12"/>
  <c r="BD12" i="12"/>
  <c r="BE12" i="12"/>
  <c r="AC9" i="10"/>
  <c r="Y9" i="10"/>
  <c r="AD9" i="10"/>
  <c r="AE9" i="10"/>
  <c r="B11" i="12"/>
  <c r="E11" i="12"/>
  <c r="F11" i="12"/>
  <c r="G11" i="12"/>
  <c r="J11" i="12"/>
  <c r="BG11" i="12"/>
  <c r="BH11" i="12"/>
  <c r="BI11" i="12"/>
  <c r="BC11" i="12"/>
  <c r="BD11" i="12"/>
  <c r="BE11" i="12"/>
  <c r="AC8" i="10"/>
  <c r="Y8" i="10"/>
  <c r="AD8" i="10"/>
  <c r="AE8" i="10"/>
  <c r="B10" i="12"/>
  <c r="E10" i="12"/>
  <c r="F10" i="12"/>
  <c r="G10" i="12"/>
  <c r="J10" i="12"/>
  <c r="BG10" i="12"/>
  <c r="BH10" i="12"/>
  <c r="BI10" i="12"/>
  <c r="BC10" i="12"/>
  <c r="BD10" i="12"/>
  <c r="BE10" i="12"/>
  <c r="AC7" i="10"/>
  <c r="Y7" i="10"/>
  <c r="AD7" i="10"/>
  <c r="AE7" i="10"/>
  <c r="B9" i="12"/>
  <c r="E9" i="12"/>
  <c r="F9" i="12"/>
  <c r="G9" i="12"/>
  <c r="J9" i="12"/>
  <c r="BG9" i="12"/>
  <c r="BH9" i="12"/>
  <c r="BI9" i="12"/>
  <c r="BC9" i="12"/>
  <c r="BD9" i="12"/>
  <c r="BE9" i="12"/>
  <c r="AC6" i="10"/>
  <c r="Y6" i="10"/>
  <c r="AD6" i="10"/>
  <c r="AE6" i="10"/>
  <c r="B8" i="12"/>
  <c r="E8" i="12"/>
  <c r="F8" i="12"/>
  <c r="G8" i="12"/>
  <c r="J8" i="12"/>
  <c r="BG8" i="12"/>
  <c r="BH8" i="12"/>
  <c r="BI8" i="12"/>
  <c r="BC8" i="12"/>
  <c r="BD8" i="12"/>
  <c r="BE8" i="12"/>
  <c r="AC5" i="10"/>
  <c r="Y5" i="10"/>
  <c r="AD5" i="10"/>
  <c r="AE5" i="10"/>
  <c r="B7" i="12"/>
  <c r="E7" i="12"/>
  <c r="F7" i="12"/>
  <c r="G7" i="12"/>
  <c r="J7" i="12"/>
  <c r="BG7" i="12"/>
  <c r="BH7" i="12"/>
  <c r="BI7" i="12"/>
  <c r="BC7" i="12"/>
  <c r="BD7" i="12"/>
  <c r="BE7" i="12"/>
  <c r="AJ40" i="12"/>
  <c r="AM2" i="12"/>
  <c r="AM40" i="12"/>
  <c r="AJ39" i="12"/>
  <c r="AM39" i="12"/>
  <c r="AJ38" i="12"/>
  <c r="AM38" i="12"/>
  <c r="AJ37" i="12"/>
  <c r="AM37" i="12"/>
  <c r="AJ36" i="12"/>
  <c r="AM36" i="12"/>
  <c r="AJ35" i="12"/>
  <c r="AM35" i="12"/>
  <c r="AJ34" i="12"/>
  <c r="AM34" i="12"/>
  <c r="AJ33" i="12"/>
  <c r="AM33" i="12"/>
  <c r="AJ32" i="12"/>
  <c r="AM32" i="12"/>
  <c r="AJ31" i="12"/>
  <c r="AM31" i="12"/>
  <c r="AJ30" i="12"/>
  <c r="AM30" i="12"/>
  <c r="AJ29" i="12"/>
  <c r="AM29" i="12"/>
  <c r="AJ28" i="12"/>
  <c r="AM28" i="12"/>
  <c r="AJ27" i="12"/>
  <c r="AM27" i="12"/>
  <c r="AJ26" i="12"/>
  <c r="AM26" i="12"/>
  <c r="AJ25" i="12"/>
  <c r="AM25" i="12"/>
  <c r="AJ24" i="12"/>
  <c r="AM24" i="12"/>
  <c r="AJ23" i="12"/>
  <c r="AM23" i="12"/>
  <c r="AJ22" i="12"/>
  <c r="AM22" i="12"/>
  <c r="AJ21" i="12"/>
  <c r="AM21" i="12"/>
  <c r="AJ20" i="12"/>
  <c r="AM20" i="12"/>
  <c r="AJ19" i="12"/>
  <c r="AM19" i="12"/>
  <c r="AJ18" i="12"/>
  <c r="AM18" i="12"/>
  <c r="AJ17" i="12"/>
  <c r="AM17" i="12"/>
  <c r="AJ16" i="12"/>
  <c r="AM16" i="12"/>
  <c r="AJ15" i="12"/>
  <c r="AM15" i="12"/>
  <c r="AJ14" i="12"/>
  <c r="AM14" i="12"/>
  <c r="AJ13" i="12"/>
  <c r="AM13" i="12"/>
  <c r="AJ12" i="12"/>
  <c r="AM12" i="12"/>
  <c r="AJ11" i="12"/>
  <c r="AM11" i="12"/>
  <c r="AJ10" i="12"/>
  <c r="AM10" i="12"/>
  <c r="AJ9" i="12"/>
  <c r="AM9" i="12"/>
  <c r="AJ8" i="12"/>
  <c r="AM8" i="12"/>
  <c r="B100" i="8"/>
  <c r="AJ7" i="12"/>
  <c r="AM7" i="12"/>
  <c r="S40" i="12"/>
  <c r="S39" i="12"/>
  <c r="S38" i="12"/>
  <c r="S37" i="12"/>
  <c r="S36" i="12"/>
  <c r="S35" i="12"/>
  <c r="S34" i="12"/>
  <c r="S33" i="12"/>
  <c r="S32" i="12"/>
  <c r="S31" i="12"/>
  <c r="S30" i="12"/>
  <c r="S29" i="12"/>
  <c r="S28" i="12"/>
  <c r="S27" i="12"/>
  <c r="S26" i="12"/>
  <c r="S25" i="12"/>
  <c r="S24" i="12"/>
  <c r="S23" i="12"/>
  <c r="S22" i="12"/>
  <c r="S21" i="12"/>
  <c r="S20" i="12"/>
  <c r="S19" i="12"/>
  <c r="S18" i="12"/>
  <c r="S17" i="12"/>
  <c r="S16" i="12"/>
  <c r="S15" i="12"/>
  <c r="S14" i="12"/>
  <c r="S13" i="12"/>
  <c r="S12" i="12"/>
  <c r="S11" i="12"/>
  <c r="S10" i="12"/>
  <c r="S9" i="12"/>
  <c r="S8" i="12"/>
  <c r="S7" i="12"/>
  <c r="O40" i="12"/>
  <c r="O39" i="12"/>
  <c r="O38" i="12"/>
  <c r="O37" i="12"/>
  <c r="O36" i="12"/>
  <c r="O35" i="12"/>
  <c r="O34" i="12"/>
  <c r="O33" i="12"/>
  <c r="O32" i="12"/>
  <c r="O31" i="12"/>
  <c r="O30" i="12"/>
  <c r="O29" i="12"/>
  <c r="O28" i="12"/>
  <c r="O27" i="12"/>
  <c r="O26" i="12"/>
  <c r="O25" i="12"/>
  <c r="O24" i="12"/>
  <c r="O23" i="12"/>
  <c r="O22" i="12"/>
  <c r="O21" i="12"/>
  <c r="O20" i="12"/>
  <c r="O19" i="12"/>
  <c r="O18" i="12"/>
  <c r="O17" i="12"/>
  <c r="O16" i="12"/>
  <c r="O15" i="12"/>
  <c r="O14" i="12"/>
  <c r="O13" i="12"/>
  <c r="O12" i="12"/>
  <c r="O11" i="12"/>
  <c r="O10" i="12"/>
  <c r="O9" i="12"/>
  <c r="O8" i="12"/>
  <c r="O7" i="12"/>
  <c r="J7" i="1"/>
  <c r="B17" i="1"/>
  <c r="J4" i="1"/>
  <c r="B18" i="1"/>
  <c r="B16" i="1"/>
  <c r="B20" i="1"/>
  <c r="C18" i="1"/>
  <c r="I91" i="8"/>
  <c r="E58" i="8"/>
  <c r="B58" i="8"/>
  <c r="B52" i="8"/>
  <c r="B51" i="8"/>
  <c r="B68" i="14"/>
  <c r="C53" i="15"/>
  <c r="B123" i="14"/>
  <c r="B124" i="14"/>
  <c r="B125" i="14"/>
  <c r="B126" i="14"/>
  <c r="C90" i="15"/>
  <c r="B122" i="14"/>
  <c r="B127" i="14"/>
  <c r="C91" i="15"/>
  <c r="E53" i="8"/>
  <c r="I8" i="12"/>
  <c r="BK8" i="12"/>
  <c r="I9" i="12"/>
  <c r="BK9" i="12"/>
  <c r="I10" i="12"/>
  <c r="BK10" i="12"/>
  <c r="I11" i="12"/>
  <c r="BK11" i="12"/>
  <c r="I12" i="12"/>
  <c r="BK12" i="12"/>
  <c r="I13" i="12"/>
  <c r="BK13" i="12"/>
  <c r="I14" i="12"/>
  <c r="BK14" i="12"/>
  <c r="I15" i="12"/>
  <c r="BK15" i="12"/>
  <c r="I16" i="12"/>
  <c r="BK16" i="12"/>
  <c r="I17" i="12"/>
  <c r="BK17" i="12"/>
  <c r="I18" i="12"/>
  <c r="BK18" i="12"/>
  <c r="I19" i="12"/>
  <c r="BK19" i="12"/>
  <c r="I20" i="12"/>
  <c r="BK20" i="12"/>
  <c r="I21" i="12"/>
  <c r="BK21" i="12"/>
  <c r="I22" i="12"/>
  <c r="BK22" i="12"/>
  <c r="I23" i="12"/>
  <c r="BK23" i="12"/>
  <c r="I24" i="12"/>
  <c r="BK24" i="12"/>
  <c r="I25" i="12"/>
  <c r="BK25" i="12"/>
  <c r="I26" i="12"/>
  <c r="BK26" i="12"/>
  <c r="I27" i="12"/>
  <c r="BK27" i="12"/>
  <c r="I28" i="12"/>
  <c r="BK28" i="12"/>
  <c r="I29" i="12"/>
  <c r="BK29" i="12"/>
  <c r="I30" i="12"/>
  <c r="BK30" i="12"/>
  <c r="I31" i="12"/>
  <c r="BK31" i="12"/>
  <c r="I32" i="12"/>
  <c r="BK32" i="12"/>
  <c r="I33" i="12"/>
  <c r="BK33" i="12"/>
  <c r="I34" i="12"/>
  <c r="BK34" i="12"/>
  <c r="I35" i="12"/>
  <c r="BK35" i="12"/>
  <c r="I36" i="12"/>
  <c r="BK36" i="12"/>
  <c r="I37" i="12"/>
  <c r="BK37" i="12"/>
  <c r="I38" i="12"/>
  <c r="BK38" i="12"/>
  <c r="I39" i="12"/>
  <c r="BK39" i="12"/>
  <c r="I40" i="12"/>
  <c r="BK40" i="12"/>
  <c r="I7" i="12"/>
  <c r="BK7" i="12"/>
  <c r="J54" i="12"/>
  <c r="I54" i="12"/>
  <c r="AF49" i="12"/>
  <c r="E55" i="12"/>
  <c r="I55" i="12"/>
  <c r="AB55" i="12"/>
  <c r="E56" i="12"/>
  <c r="I56" i="12"/>
  <c r="AB56" i="12"/>
  <c r="E57" i="12"/>
  <c r="I57" i="12"/>
  <c r="AB57" i="12"/>
  <c r="E58" i="12"/>
  <c r="I58" i="12"/>
  <c r="AB58" i="12"/>
  <c r="E59" i="12"/>
  <c r="I59" i="12"/>
  <c r="AB59" i="12"/>
  <c r="E60" i="12"/>
  <c r="I60" i="12"/>
  <c r="AB60" i="12"/>
  <c r="E61" i="12"/>
  <c r="I61" i="12"/>
  <c r="AB61" i="12"/>
  <c r="E62" i="12"/>
  <c r="I62" i="12"/>
  <c r="AB62" i="12"/>
  <c r="E63" i="12"/>
  <c r="I63" i="12"/>
  <c r="AB63" i="12"/>
  <c r="E64" i="12"/>
  <c r="I64" i="12"/>
  <c r="AB64" i="12"/>
  <c r="E65" i="12"/>
  <c r="I65" i="12"/>
  <c r="AB65" i="12"/>
  <c r="E66" i="12"/>
  <c r="I66" i="12"/>
  <c r="AB66" i="12"/>
  <c r="E67" i="12"/>
  <c r="I67" i="12"/>
  <c r="AB67" i="12"/>
  <c r="E68" i="12"/>
  <c r="I68" i="12"/>
  <c r="AB68" i="12"/>
  <c r="E69" i="12"/>
  <c r="I69" i="12"/>
  <c r="AB69" i="12"/>
  <c r="E70" i="12"/>
  <c r="I70" i="12"/>
  <c r="AB70" i="12"/>
  <c r="E71" i="12"/>
  <c r="I71" i="12"/>
  <c r="AB71" i="12"/>
  <c r="E72" i="12"/>
  <c r="I72" i="12"/>
  <c r="AB72" i="12"/>
  <c r="E73" i="12"/>
  <c r="I73" i="12"/>
  <c r="AB73" i="12"/>
  <c r="E74" i="12"/>
  <c r="I74" i="12"/>
  <c r="AB74" i="12"/>
  <c r="E75" i="12"/>
  <c r="I75" i="12"/>
  <c r="AB75" i="12"/>
  <c r="E76" i="12"/>
  <c r="I76" i="12"/>
  <c r="AB76" i="12"/>
  <c r="E77" i="12"/>
  <c r="I77" i="12"/>
  <c r="AB77" i="12"/>
  <c r="E78" i="12"/>
  <c r="I78" i="12"/>
  <c r="AB78" i="12"/>
  <c r="E79" i="12"/>
  <c r="I79" i="12"/>
  <c r="AB79" i="12"/>
  <c r="E80" i="12"/>
  <c r="I80" i="12"/>
  <c r="AB80" i="12"/>
  <c r="E81" i="12"/>
  <c r="I81" i="12"/>
  <c r="AB81" i="12"/>
  <c r="E82" i="12"/>
  <c r="I82" i="12"/>
  <c r="AB82" i="12"/>
  <c r="E83" i="12"/>
  <c r="I83" i="12"/>
  <c r="AB83" i="12"/>
  <c r="E84" i="12"/>
  <c r="I84" i="12"/>
  <c r="AB84" i="12"/>
  <c r="E85" i="12"/>
  <c r="I85" i="12"/>
  <c r="AB85" i="12"/>
  <c r="E86" i="12"/>
  <c r="I86" i="12"/>
  <c r="AB86" i="12"/>
  <c r="E87" i="12"/>
  <c r="I87" i="12"/>
  <c r="AB87" i="12"/>
  <c r="E54" i="12"/>
  <c r="AB54" i="12"/>
  <c r="N3" i="10"/>
  <c r="R3" i="10"/>
  <c r="U2" i="10"/>
  <c r="AI55" i="12"/>
  <c r="AI56" i="12"/>
  <c r="AI57" i="12"/>
  <c r="AI58" i="12"/>
  <c r="AI59" i="12"/>
  <c r="AI60" i="12"/>
  <c r="AI61" i="12"/>
  <c r="AI62" i="12"/>
  <c r="AI63" i="12"/>
  <c r="AI64" i="12"/>
  <c r="AI65" i="12"/>
  <c r="AI66" i="12"/>
  <c r="AI67" i="12"/>
  <c r="AI68" i="12"/>
  <c r="AI69" i="12"/>
  <c r="AI70" i="12"/>
  <c r="AI71" i="12"/>
  <c r="AI72" i="12"/>
  <c r="AI73" i="12"/>
  <c r="AI74" i="12"/>
  <c r="AI75" i="12"/>
  <c r="AI76" i="12"/>
  <c r="AI77" i="12"/>
  <c r="AI78" i="12"/>
  <c r="AI79" i="12"/>
  <c r="AI80" i="12"/>
  <c r="AI81" i="12"/>
  <c r="AI82" i="12"/>
  <c r="AI83" i="12"/>
  <c r="AI84" i="12"/>
  <c r="AI85" i="12"/>
  <c r="AI86" i="12"/>
  <c r="AI87" i="12"/>
  <c r="AH55" i="12"/>
  <c r="AH56" i="12"/>
  <c r="AH57" i="12"/>
  <c r="AH58" i="12"/>
  <c r="AH59" i="12"/>
  <c r="AH60" i="12"/>
  <c r="AH61" i="12"/>
  <c r="AH62" i="12"/>
  <c r="AH63" i="12"/>
  <c r="AH64" i="12"/>
  <c r="AH65" i="12"/>
  <c r="AH66" i="12"/>
  <c r="AH67" i="12"/>
  <c r="AH68" i="12"/>
  <c r="AH69" i="12"/>
  <c r="AH70" i="12"/>
  <c r="AH71" i="12"/>
  <c r="AH72" i="12"/>
  <c r="AH73" i="12"/>
  <c r="AH74" i="12"/>
  <c r="AH75" i="12"/>
  <c r="AH76" i="12"/>
  <c r="AH77" i="12"/>
  <c r="AH78" i="12"/>
  <c r="AH79" i="12"/>
  <c r="AH80" i="12"/>
  <c r="AH81" i="12"/>
  <c r="AH82" i="12"/>
  <c r="AH83" i="12"/>
  <c r="AH84" i="12"/>
  <c r="AH85" i="12"/>
  <c r="AH86" i="12"/>
  <c r="AH87" i="12"/>
  <c r="AA55" i="12"/>
  <c r="AA56" i="12"/>
  <c r="AA57" i="12"/>
  <c r="AA58" i="12"/>
  <c r="AA59" i="12"/>
  <c r="AA60" i="12"/>
  <c r="AA61" i="12"/>
  <c r="AA62" i="12"/>
  <c r="AA63" i="12"/>
  <c r="AA64" i="12"/>
  <c r="AA65" i="12"/>
  <c r="AA66" i="12"/>
  <c r="AA67" i="12"/>
  <c r="AA68" i="12"/>
  <c r="AA69" i="12"/>
  <c r="AA70" i="12"/>
  <c r="AA71" i="12"/>
  <c r="AA72" i="12"/>
  <c r="AA73" i="12"/>
  <c r="AA74" i="12"/>
  <c r="AA75" i="12"/>
  <c r="AA76" i="12"/>
  <c r="AA77" i="12"/>
  <c r="AA78" i="12"/>
  <c r="AA79" i="12"/>
  <c r="AA80" i="12"/>
  <c r="AA81" i="12"/>
  <c r="AA82" i="12"/>
  <c r="AA83" i="12"/>
  <c r="AA84" i="12"/>
  <c r="AA85" i="12"/>
  <c r="AA86" i="12"/>
  <c r="AA87" i="12"/>
  <c r="AG55" i="12"/>
  <c r="AG56" i="12"/>
  <c r="AG57" i="12"/>
  <c r="AG58" i="12"/>
  <c r="AG59" i="12"/>
  <c r="AG60" i="12"/>
  <c r="AG61" i="12"/>
  <c r="AG62" i="12"/>
  <c r="AG63" i="12"/>
  <c r="AG64" i="12"/>
  <c r="AG65" i="12"/>
  <c r="AG66" i="12"/>
  <c r="AG67" i="12"/>
  <c r="AG68" i="12"/>
  <c r="AG69" i="12"/>
  <c r="AG70" i="12"/>
  <c r="AG71" i="12"/>
  <c r="AG72" i="12"/>
  <c r="AG73" i="12"/>
  <c r="AG74" i="12"/>
  <c r="AG75" i="12"/>
  <c r="AG76" i="12"/>
  <c r="AG77" i="12"/>
  <c r="AG78" i="12"/>
  <c r="AG79" i="12"/>
  <c r="AG80" i="12"/>
  <c r="AG81" i="12"/>
  <c r="AG82" i="12"/>
  <c r="AG83" i="12"/>
  <c r="AG84" i="12"/>
  <c r="AG85" i="12"/>
  <c r="AG86" i="12"/>
  <c r="AG87" i="12"/>
  <c r="AF55" i="12"/>
  <c r="AF56" i="12"/>
  <c r="AF57" i="12"/>
  <c r="AF58" i="12"/>
  <c r="AF59" i="12"/>
  <c r="AF60" i="12"/>
  <c r="AF61" i="12"/>
  <c r="AF62" i="12"/>
  <c r="AF63" i="12"/>
  <c r="AF64" i="12"/>
  <c r="AF65" i="12"/>
  <c r="AF66" i="12"/>
  <c r="AF67" i="12"/>
  <c r="AF68" i="12"/>
  <c r="AF69" i="12"/>
  <c r="AF70" i="12"/>
  <c r="AF71" i="12"/>
  <c r="AF72" i="12"/>
  <c r="AF73" i="12"/>
  <c r="AF74" i="12"/>
  <c r="AF75" i="12"/>
  <c r="AF76" i="12"/>
  <c r="AF77" i="12"/>
  <c r="AF78" i="12"/>
  <c r="AF79" i="12"/>
  <c r="AF80" i="12"/>
  <c r="AF81" i="12"/>
  <c r="AF82" i="12"/>
  <c r="AF83" i="12"/>
  <c r="AF84" i="12"/>
  <c r="AF85" i="12"/>
  <c r="AF86" i="12"/>
  <c r="AF87" i="12"/>
  <c r="Z55" i="12"/>
  <c r="Z56" i="12"/>
  <c r="Z57" i="12"/>
  <c r="Z58" i="12"/>
  <c r="Z59" i="12"/>
  <c r="Z60" i="12"/>
  <c r="Z61" i="12"/>
  <c r="Z62" i="12"/>
  <c r="Z63" i="12"/>
  <c r="Z64" i="12"/>
  <c r="Z65" i="12"/>
  <c r="Z66" i="12"/>
  <c r="Z67" i="12"/>
  <c r="Z68" i="12"/>
  <c r="Z69" i="12"/>
  <c r="Z70" i="12"/>
  <c r="Z71" i="12"/>
  <c r="Z72" i="12"/>
  <c r="Z73" i="12"/>
  <c r="Z74" i="12"/>
  <c r="Z75" i="12"/>
  <c r="Z76" i="12"/>
  <c r="Z77" i="12"/>
  <c r="Z78" i="12"/>
  <c r="Z79" i="12"/>
  <c r="Z80" i="12"/>
  <c r="Z81" i="12"/>
  <c r="Z82" i="12"/>
  <c r="Z83" i="12"/>
  <c r="Z84" i="12"/>
  <c r="Z85" i="12"/>
  <c r="Z86" i="12"/>
  <c r="Z87" i="12"/>
  <c r="G100" i="10"/>
  <c r="G79" i="10"/>
  <c r="G75" i="10"/>
  <c r="N76" i="10"/>
  <c r="T76" i="10"/>
  <c r="G97" i="10"/>
  <c r="S76" i="10"/>
  <c r="H8" i="12"/>
  <c r="G86" i="10"/>
  <c r="R76" i="10"/>
  <c r="AC8" i="12"/>
  <c r="G90" i="10"/>
  <c r="W76" i="10"/>
  <c r="AK8" i="12"/>
  <c r="G94" i="10"/>
  <c r="Y76" i="10"/>
  <c r="AS8" i="12"/>
  <c r="D3" i="10"/>
  <c r="H3" i="10"/>
  <c r="D8" i="12"/>
  <c r="E113" i="10"/>
  <c r="E112" i="10"/>
  <c r="AV8" i="12"/>
  <c r="AY8" i="12"/>
  <c r="AW8" i="12"/>
  <c r="AZ8" i="12"/>
  <c r="BA8" i="12"/>
  <c r="AE55" i="12"/>
  <c r="N77" i="10"/>
  <c r="T77" i="10"/>
  <c r="S77" i="10"/>
  <c r="H9" i="12"/>
  <c r="R77" i="10"/>
  <c r="AC9" i="12"/>
  <c r="W77" i="10"/>
  <c r="AK9" i="12"/>
  <c r="Y77" i="10"/>
  <c r="AS9" i="12"/>
  <c r="D9" i="12"/>
  <c r="AV9" i="12"/>
  <c r="AY9" i="12"/>
  <c r="AW9" i="12"/>
  <c r="AZ9" i="12"/>
  <c r="BA9" i="12"/>
  <c r="AE56" i="12"/>
  <c r="N78" i="10"/>
  <c r="T78" i="10"/>
  <c r="S78" i="10"/>
  <c r="H10" i="12"/>
  <c r="R78" i="10"/>
  <c r="AC10" i="12"/>
  <c r="W78" i="10"/>
  <c r="AK10" i="12"/>
  <c r="Y78" i="10"/>
  <c r="AS10" i="12"/>
  <c r="D10" i="12"/>
  <c r="AV10" i="12"/>
  <c r="AY10" i="12"/>
  <c r="AW10" i="12"/>
  <c r="AZ10" i="12"/>
  <c r="BA10" i="12"/>
  <c r="AE57" i="12"/>
  <c r="N79" i="10"/>
  <c r="T79" i="10"/>
  <c r="S79" i="10"/>
  <c r="H11" i="12"/>
  <c r="R79" i="10"/>
  <c r="AC11" i="12"/>
  <c r="W79" i="10"/>
  <c r="AK11" i="12"/>
  <c r="Y79" i="10"/>
  <c r="AS11" i="12"/>
  <c r="D11" i="12"/>
  <c r="AV11" i="12"/>
  <c r="AY11" i="12"/>
  <c r="AW11" i="12"/>
  <c r="AZ11" i="12"/>
  <c r="BA11" i="12"/>
  <c r="AE58" i="12"/>
  <c r="N80" i="10"/>
  <c r="T80" i="10"/>
  <c r="S80" i="10"/>
  <c r="H12" i="12"/>
  <c r="R80" i="10"/>
  <c r="AC12" i="12"/>
  <c r="W80" i="10"/>
  <c r="AK12" i="12"/>
  <c r="Y80" i="10"/>
  <c r="AS12" i="12"/>
  <c r="D12" i="12"/>
  <c r="AV12" i="12"/>
  <c r="AY12" i="12"/>
  <c r="AW12" i="12"/>
  <c r="AZ12" i="12"/>
  <c r="BA12" i="12"/>
  <c r="AE59" i="12"/>
  <c r="N81" i="10"/>
  <c r="T81" i="10"/>
  <c r="S81" i="10"/>
  <c r="H13" i="12"/>
  <c r="R81" i="10"/>
  <c r="AC13" i="12"/>
  <c r="W81" i="10"/>
  <c r="AK13" i="12"/>
  <c r="Y81" i="10"/>
  <c r="AS13" i="12"/>
  <c r="D13" i="12"/>
  <c r="AV13" i="12"/>
  <c r="AY13" i="12"/>
  <c r="AW13" i="12"/>
  <c r="AZ13" i="12"/>
  <c r="BA13" i="12"/>
  <c r="AE60" i="12"/>
  <c r="N82" i="10"/>
  <c r="T82" i="10"/>
  <c r="S82" i="10"/>
  <c r="H14" i="12"/>
  <c r="R82" i="10"/>
  <c r="AC14" i="12"/>
  <c r="W82" i="10"/>
  <c r="AK14" i="12"/>
  <c r="Y82" i="10"/>
  <c r="AS14" i="12"/>
  <c r="D14" i="12"/>
  <c r="AV14" i="12"/>
  <c r="AY14" i="12"/>
  <c r="AW14" i="12"/>
  <c r="AZ14" i="12"/>
  <c r="BA14" i="12"/>
  <c r="AE61" i="12"/>
  <c r="N83" i="10"/>
  <c r="T83" i="10"/>
  <c r="S83" i="10"/>
  <c r="H15" i="12"/>
  <c r="R83" i="10"/>
  <c r="AC15" i="12"/>
  <c r="W83" i="10"/>
  <c r="AK15" i="12"/>
  <c r="Y83" i="10"/>
  <c r="AS15" i="12"/>
  <c r="D15" i="12"/>
  <c r="AV15" i="12"/>
  <c r="AY15" i="12"/>
  <c r="AW15" i="12"/>
  <c r="AZ15" i="12"/>
  <c r="BA15" i="12"/>
  <c r="AE62" i="12"/>
  <c r="N84" i="10"/>
  <c r="T84" i="10"/>
  <c r="S84" i="10"/>
  <c r="H16" i="12"/>
  <c r="R84" i="10"/>
  <c r="AC16" i="12"/>
  <c r="W84" i="10"/>
  <c r="AK16" i="12"/>
  <c r="Y84" i="10"/>
  <c r="AS16" i="12"/>
  <c r="D16" i="12"/>
  <c r="AV16" i="12"/>
  <c r="AY16" i="12"/>
  <c r="AW16" i="12"/>
  <c r="AZ16" i="12"/>
  <c r="BA16" i="12"/>
  <c r="AE63" i="12"/>
  <c r="N85" i="10"/>
  <c r="T85" i="10"/>
  <c r="S85" i="10"/>
  <c r="H17" i="12"/>
  <c r="R85" i="10"/>
  <c r="AC17" i="12"/>
  <c r="W85" i="10"/>
  <c r="AK17" i="12"/>
  <c r="Y85" i="10"/>
  <c r="AS17" i="12"/>
  <c r="D17" i="12"/>
  <c r="AV17" i="12"/>
  <c r="AY17" i="12"/>
  <c r="AW17" i="12"/>
  <c r="AZ17" i="12"/>
  <c r="BA17" i="12"/>
  <c r="AE64" i="12"/>
  <c r="N86" i="10"/>
  <c r="T86" i="10"/>
  <c r="S86" i="10"/>
  <c r="H18" i="12"/>
  <c r="R86" i="10"/>
  <c r="AC18" i="12"/>
  <c r="W86" i="10"/>
  <c r="AK18" i="12"/>
  <c r="Y86" i="10"/>
  <c r="AS18" i="12"/>
  <c r="D18" i="12"/>
  <c r="AV18" i="12"/>
  <c r="AY18" i="12"/>
  <c r="AW18" i="12"/>
  <c r="AZ18" i="12"/>
  <c r="BA18" i="12"/>
  <c r="AE65" i="12"/>
  <c r="N87" i="10"/>
  <c r="T87" i="10"/>
  <c r="S87" i="10"/>
  <c r="H19" i="12"/>
  <c r="R87" i="10"/>
  <c r="AC19" i="12"/>
  <c r="W87" i="10"/>
  <c r="AK19" i="12"/>
  <c r="Y87" i="10"/>
  <c r="AS19" i="12"/>
  <c r="D19" i="12"/>
  <c r="AV19" i="12"/>
  <c r="AY19" i="12"/>
  <c r="AW19" i="12"/>
  <c r="AZ19" i="12"/>
  <c r="BA19" i="12"/>
  <c r="AE66" i="12"/>
  <c r="N88" i="10"/>
  <c r="T88" i="10"/>
  <c r="S88" i="10"/>
  <c r="H20" i="12"/>
  <c r="R88" i="10"/>
  <c r="AC20" i="12"/>
  <c r="W88" i="10"/>
  <c r="AK20" i="12"/>
  <c r="Y88" i="10"/>
  <c r="AS20" i="12"/>
  <c r="D20" i="12"/>
  <c r="AV20" i="12"/>
  <c r="AY20" i="12"/>
  <c r="AW20" i="12"/>
  <c r="AZ20" i="12"/>
  <c r="BA20" i="12"/>
  <c r="AE67" i="12"/>
  <c r="N89" i="10"/>
  <c r="T89" i="10"/>
  <c r="S89" i="10"/>
  <c r="H21" i="12"/>
  <c r="R89" i="10"/>
  <c r="AC21" i="12"/>
  <c r="W89" i="10"/>
  <c r="AK21" i="12"/>
  <c r="Y89" i="10"/>
  <c r="AS21" i="12"/>
  <c r="D21" i="12"/>
  <c r="AV21" i="12"/>
  <c r="AY21" i="12"/>
  <c r="AW21" i="12"/>
  <c r="AZ21" i="12"/>
  <c r="BA21" i="12"/>
  <c r="AE68" i="12"/>
  <c r="N90" i="10"/>
  <c r="T90" i="10"/>
  <c r="S90" i="10"/>
  <c r="H22" i="12"/>
  <c r="R90" i="10"/>
  <c r="AC22" i="12"/>
  <c r="W90" i="10"/>
  <c r="AK22" i="12"/>
  <c r="Y90" i="10"/>
  <c r="AS22" i="12"/>
  <c r="D22" i="12"/>
  <c r="AV22" i="12"/>
  <c r="AY22" i="12"/>
  <c r="AW22" i="12"/>
  <c r="AZ22" i="12"/>
  <c r="BA22" i="12"/>
  <c r="AE69" i="12"/>
  <c r="N91" i="10"/>
  <c r="T91" i="10"/>
  <c r="S91" i="10"/>
  <c r="H23" i="12"/>
  <c r="R91" i="10"/>
  <c r="AC23" i="12"/>
  <c r="W91" i="10"/>
  <c r="AK23" i="12"/>
  <c r="Y91" i="10"/>
  <c r="AS23" i="12"/>
  <c r="D23" i="12"/>
  <c r="AV23" i="12"/>
  <c r="AY23" i="12"/>
  <c r="AW23" i="12"/>
  <c r="AZ23" i="12"/>
  <c r="BA23" i="12"/>
  <c r="AE70" i="12"/>
  <c r="N92" i="10"/>
  <c r="T92" i="10"/>
  <c r="S92" i="10"/>
  <c r="H24" i="12"/>
  <c r="R92" i="10"/>
  <c r="AC24" i="12"/>
  <c r="W92" i="10"/>
  <c r="AK24" i="12"/>
  <c r="Y92" i="10"/>
  <c r="AS24" i="12"/>
  <c r="D24" i="12"/>
  <c r="AV24" i="12"/>
  <c r="AY24" i="12"/>
  <c r="AW24" i="12"/>
  <c r="AZ24" i="12"/>
  <c r="BA24" i="12"/>
  <c r="AE71" i="12"/>
  <c r="N93" i="10"/>
  <c r="T93" i="10"/>
  <c r="S93" i="10"/>
  <c r="H25" i="12"/>
  <c r="R93" i="10"/>
  <c r="AC25" i="12"/>
  <c r="W93" i="10"/>
  <c r="AK25" i="12"/>
  <c r="Y93" i="10"/>
  <c r="AS25" i="12"/>
  <c r="D25" i="12"/>
  <c r="AV25" i="12"/>
  <c r="AY25" i="12"/>
  <c r="AW25" i="12"/>
  <c r="AZ25" i="12"/>
  <c r="BA25" i="12"/>
  <c r="AE72" i="12"/>
  <c r="N94" i="10"/>
  <c r="T94" i="10"/>
  <c r="S94" i="10"/>
  <c r="H26" i="12"/>
  <c r="R94" i="10"/>
  <c r="AC26" i="12"/>
  <c r="W94" i="10"/>
  <c r="AK26" i="12"/>
  <c r="Y94" i="10"/>
  <c r="AS26" i="12"/>
  <c r="D26" i="12"/>
  <c r="AV26" i="12"/>
  <c r="AY26" i="12"/>
  <c r="AW26" i="12"/>
  <c r="AZ26" i="12"/>
  <c r="BA26" i="12"/>
  <c r="AE73" i="12"/>
  <c r="N95" i="10"/>
  <c r="T95" i="10"/>
  <c r="S95" i="10"/>
  <c r="H27" i="12"/>
  <c r="R95" i="10"/>
  <c r="AC27" i="12"/>
  <c r="W95" i="10"/>
  <c r="AK27" i="12"/>
  <c r="Y95" i="10"/>
  <c r="AS27" i="12"/>
  <c r="D27" i="12"/>
  <c r="AV27" i="12"/>
  <c r="AY27" i="12"/>
  <c r="AW27" i="12"/>
  <c r="AZ27" i="12"/>
  <c r="BA27" i="12"/>
  <c r="AE74" i="12"/>
  <c r="N96" i="10"/>
  <c r="T96" i="10"/>
  <c r="S96" i="10"/>
  <c r="H28" i="12"/>
  <c r="R96" i="10"/>
  <c r="AC28" i="12"/>
  <c r="W96" i="10"/>
  <c r="AK28" i="12"/>
  <c r="Y96" i="10"/>
  <c r="AS28" i="12"/>
  <c r="D28" i="12"/>
  <c r="AV28" i="12"/>
  <c r="AY28" i="12"/>
  <c r="AW28" i="12"/>
  <c r="AZ28" i="12"/>
  <c r="BA28" i="12"/>
  <c r="AE75" i="12"/>
  <c r="N97" i="10"/>
  <c r="T97" i="10"/>
  <c r="S97" i="10"/>
  <c r="H29" i="12"/>
  <c r="R97" i="10"/>
  <c r="AC29" i="12"/>
  <c r="W97" i="10"/>
  <c r="AK29" i="12"/>
  <c r="Y97" i="10"/>
  <c r="AS29" i="12"/>
  <c r="D29" i="12"/>
  <c r="AV29" i="12"/>
  <c r="AY29" i="12"/>
  <c r="AW29" i="12"/>
  <c r="AZ29" i="12"/>
  <c r="BA29" i="12"/>
  <c r="AE76" i="12"/>
  <c r="N98" i="10"/>
  <c r="T98" i="10"/>
  <c r="S98" i="10"/>
  <c r="H30" i="12"/>
  <c r="R98" i="10"/>
  <c r="AC30" i="12"/>
  <c r="W98" i="10"/>
  <c r="AK30" i="12"/>
  <c r="Y98" i="10"/>
  <c r="AS30" i="12"/>
  <c r="D30" i="12"/>
  <c r="AV30" i="12"/>
  <c r="AY30" i="12"/>
  <c r="AW30" i="12"/>
  <c r="AZ30" i="12"/>
  <c r="BA30" i="12"/>
  <c r="AE77" i="12"/>
  <c r="N99" i="10"/>
  <c r="T99" i="10"/>
  <c r="S99" i="10"/>
  <c r="H31" i="12"/>
  <c r="R99" i="10"/>
  <c r="AC31" i="12"/>
  <c r="W99" i="10"/>
  <c r="AK31" i="12"/>
  <c r="Y99" i="10"/>
  <c r="AS31" i="12"/>
  <c r="D31" i="12"/>
  <c r="AV31" i="12"/>
  <c r="AY31" i="12"/>
  <c r="AW31" i="12"/>
  <c r="AZ31" i="12"/>
  <c r="BA31" i="12"/>
  <c r="AE78" i="12"/>
  <c r="N100" i="10"/>
  <c r="T100" i="10"/>
  <c r="S100" i="10"/>
  <c r="H32" i="12"/>
  <c r="R100" i="10"/>
  <c r="AC32" i="12"/>
  <c r="W100" i="10"/>
  <c r="AK32" i="12"/>
  <c r="Y100" i="10"/>
  <c r="AS32" i="12"/>
  <c r="D32" i="12"/>
  <c r="AV32" i="12"/>
  <c r="AY32" i="12"/>
  <c r="AW32" i="12"/>
  <c r="AZ32" i="12"/>
  <c r="BA32" i="12"/>
  <c r="AE79" i="12"/>
  <c r="N101" i="10"/>
  <c r="T101" i="10"/>
  <c r="S101" i="10"/>
  <c r="H33" i="12"/>
  <c r="R101" i="10"/>
  <c r="AC33" i="12"/>
  <c r="W101" i="10"/>
  <c r="AK33" i="12"/>
  <c r="Y101" i="10"/>
  <c r="AS33" i="12"/>
  <c r="D33" i="12"/>
  <c r="AV33" i="12"/>
  <c r="AY33" i="12"/>
  <c r="AW33" i="12"/>
  <c r="AZ33" i="12"/>
  <c r="BA33" i="12"/>
  <c r="AE80" i="12"/>
  <c r="N102" i="10"/>
  <c r="T102" i="10"/>
  <c r="S102" i="10"/>
  <c r="H34" i="12"/>
  <c r="R102" i="10"/>
  <c r="AC34" i="12"/>
  <c r="W102" i="10"/>
  <c r="AK34" i="12"/>
  <c r="Y102" i="10"/>
  <c r="AS34" i="12"/>
  <c r="D34" i="12"/>
  <c r="AV34" i="12"/>
  <c r="AY34" i="12"/>
  <c r="AW34" i="12"/>
  <c r="AZ34" i="12"/>
  <c r="BA34" i="12"/>
  <c r="AE81" i="12"/>
  <c r="N103" i="10"/>
  <c r="T103" i="10"/>
  <c r="S103" i="10"/>
  <c r="H35" i="12"/>
  <c r="R103" i="10"/>
  <c r="AC35" i="12"/>
  <c r="W103" i="10"/>
  <c r="AK35" i="12"/>
  <c r="Y103" i="10"/>
  <c r="AS35" i="12"/>
  <c r="D35" i="12"/>
  <c r="AV35" i="12"/>
  <c r="AY35" i="12"/>
  <c r="AW35" i="12"/>
  <c r="AZ35" i="12"/>
  <c r="BA35" i="12"/>
  <c r="AE82" i="12"/>
  <c r="N104" i="10"/>
  <c r="T104" i="10"/>
  <c r="S104" i="10"/>
  <c r="H36" i="12"/>
  <c r="R104" i="10"/>
  <c r="AC36" i="12"/>
  <c r="W104" i="10"/>
  <c r="AK36" i="12"/>
  <c r="Y104" i="10"/>
  <c r="AS36" i="12"/>
  <c r="D36" i="12"/>
  <c r="AV36" i="12"/>
  <c r="AY36" i="12"/>
  <c r="AW36" i="12"/>
  <c r="AZ36" i="12"/>
  <c r="BA36" i="12"/>
  <c r="AE83" i="12"/>
  <c r="N105" i="10"/>
  <c r="T105" i="10"/>
  <c r="S105" i="10"/>
  <c r="H37" i="12"/>
  <c r="R105" i="10"/>
  <c r="AC37" i="12"/>
  <c r="W105" i="10"/>
  <c r="AK37" i="12"/>
  <c r="Y105" i="10"/>
  <c r="AS37" i="12"/>
  <c r="D37" i="12"/>
  <c r="AV37" i="12"/>
  <c r="AY37" i="12"/>
  <c r="AW37" i="12"/>
  <c r="AZ37" i="12"/>
  <c r="BA37" i="12"/>
  <c r="AE84" i="12"/>
  <c r="N106" i="10"/>
  <c r="T106" i="10"/>
  <c r="S106" i="10"/>
  <c r="H38" i="12"/>
  <c r="R106" i="10"/>
  <c r="AC38" i="12"/>
  <c r="W106" i="10"/>
  <c r="AK38" i="12"/>
  <c r="Y106" i="10"/>
  <c r="AS38" i="12"/>
  <c r="D38" i="12"/>
  <c r="AV38" i="12"/>
  <c r="AY38" i="12"/>
  <c r="AW38" i="12"/>
  <c r="AZ38" i="12"/>
  <c r="BA38" i="12"/>
  <c r="AE85" i="12"/>
  <c r="N107" i="10"/>
  <c r="T107" i="10"/>
  <c r="S107" i="10"/>
  <c r="H39" i="12"/>
  <c r="R107" i="10"/>
  <c r="AC39" i="12"/>
  <c r="W107" i="10"/>
  <c r="AK39" i="12"/>
  <c r="Y107" i="10"/>
  <c r="AS39" i="12"/>
  <c r="D39" i="12"/>
  <c r="AV39" i="12"/>
  <c r="AY39" i="12"/>
  <c r="AW39" i="12"/>
  <c r="AZ39" i="12"/>
  <c r="BA39" i="12"/>
  <c r="AE86" i="12"/>
  <c r="N108" i="10"/>
  <c r="T108" i="10"/>
  <c r="S108" i="10"/>
  <c r="H40" i="12"/>
  <c r="R108" i="10"/>
  <c r="AC40" i="12"/>
  <c r="W108" i="10"/>
  <c r="AK40" i="12"/>
  <c r="Y108" i="10"/>
  <c r="AS40" i="12"/>
  <c r="D40" i="12"/>
  <c r="AV40" i="12"/>
  <c r="AY40" i="12"/>
  <c r="AW40" i="12"/>
  <c r="AZ40" i="12"/>
  <c r="BA40" i="12"/>
  <c r="AE87" i="12"/>
  <c r="AD55" i="12"/>
  <c r="AD56" i="12"/>
  <c r="AD57" i="12"/>
  <c r="AD58" i="12"/>
  <c r="AD59" i="12"/>
  <c r="AD60" i="12"/>
  <c r="AD61" i="12"/>
  <c r="AD62" i="12"/>
  <c r="AD63" i="12"/>
  <c r="AD64" i="12"/>
  <c r="AD65" i="12"/>
  <c r="AD66" i="12"/>
  <c r="AD67" i="12"/>
  <c r="AD68" i="12"/>
  <c r="AD69" i="12"/>
  <c r="AD70" i="12"/>
  <c r="AD71" i="12"/>
  <c r="AD72" i="12"/>
  <c r="AD73" i="12"/>
  <c r="AD74" i="12"/>
  <c r="AD75" i="12"/>
  <c r="AD76" i="12"/>
  <c r="AD77" i="12"/>
  <c r="AD78" i="12"/>
  <c r="AD79" i="12"/>
  <c r="AD80" i="12"/>
  <c r="AD81" i="12"/>
  <c r="AD82" i="12"/>
  <c r="AD83" i="12"/>
  <c r="AD84" i="12"/>
  <c r="AD85" i="12"/>
  <c r="AD86" i="12"/>
  <c r="AD87" i="12"/>
  <c r="AI54" i="12"/>
  <c r="AH54" i="12"/>
  <c r="AA54" i="12"/>
  <c r="AG54" i="12"/>
  <c r="AF54" i="12"/>
  <c r="Z54" i="12"/>
  <c r="N75" i="10"/>
  <c r="T75" i="10"/>
  <c r="S75" i="10"/>
  <c r="H7" i="12"/>
  <c r="R75" i="10"/>
  <c r="AC7" i="12"/>
  <c r="W75" i="10"/>
  <c r="AK7" i="12"/>
  <c r="Y75" i="10"/>
  <c r="AS7" i="12"/>
  <c r="D7" i="12"/>
  <c r="AV7" i="12"/>
  <c r="AY7" i="12"/>
  <c r="AW7" i="12"/>
  <c r="AZ7" i="12"/>
  <c r="BA7" i="12"/>
  <c r="AE54" i="12"/>
  <c r="AD54" i="12"/>
  <c r="AC95" i="12"/>
  <c r="AC96" i="12"/>
  <c r="AC97" i="12"/>
  <c r="AC98" i="12"/>
  <c r="AC99" i="12"/>
  <c r="AC100" i="12"/>
  <c r="AC101" i="12"/>
  <c r="AC102" i="12"/>
  <c r="AC103" i="12"/>
  <c r="AC104" i="12"/>
  <c r="AC105" i="12"/>
  <c r="AC106" i="12"/>
  <c r="AC107" i="12"/>
  <c r="AC108" i="12"/>
  <c r="AC109" i="12"/>
  <c r="AC110" i="12"/>
  <c r="AC111" i="12"/>
  <c r="AC112" i="12"/>
  <c r="AC113" i="12"/>
  <c r="AC114" i="12"/>
  <c r="AC115" i="12"/>
  <c r="AC116" i="12"/>
  <c r="AC117" i="12"/>
  <c r="AC118" i="12"/>
  <c r="AC119" i="12"/>
  <c r="AC120" i="12"/>
  <c r="AC121" i="12"/>
  <c r="AC122" i="12"/>
  <c r="AC123" i="12"/>
  <c r="AC124" i="12"/>
  <c r="AC125" i="12"/>
  <c r="AC126" i="12"/>
  <c r="AC127" i="12"/>
  <c r="AC94" i="12"/>
  <c r="Y55" i="12"/>
  <c r="Y56" i="12"/>
  <c r="Y57" i="12"/>
  <c r="Y58" i="12"/>
  <c r="Y59" i="12"/>
  <c r="Y60" i="12"/>
  <c r="Y61" i="12"/>
  <c r="Y62" i="12"/>
  <c r="Y63" i="12"/>
  <c r="Y64" i="12"/>
  <c r="Y65" i="12"/>
  <c r="Y66" i="12"/>
  <c r="Y67" i="12"/>
  <c r="Y68" i="12"/>
  <c r="Y69" i="12"/>
  <c r="Y70" i="12"/>
  <c r="Y71" i="12"/>
  <c r="Y72" i="12"/>
  <c r="Y73" i="12"/>
  <c r="Y74" i="12"/>
  <c r="Y75" i="12"/>
  <c r="Y76" i="12"/>
  <c r="Y77" i="12"/>
  <c r="Y78" i="12"/>
  <c r="Y79" i="12"/>
  <c r="Y80" i="12"/>
  <c r="Y81" i="12"/>
  <c r="Y82" i="12"/>
  <c r="Y83" i="12"/>
  <c r="Y84" i="12"/>
  <c r="Y85" i="12"/>
  <c r="Y86" i="12"/>
  <c r="Y87" i="12"/>
  <c r="Y54" i="12"/>
  <c r="W55" i="12"/>
  <c r="W56" i="12"/>
  <c r="W57" i="12"/>
  <c r="W58" i="12"/>
  <c r="W59" i="12"/>
  <c r="W60" i="12"/>
  <c r="W61" i="12"/>
  <c r="W62" i="12"/>
  <c r="W63" i="12"/>
  <c r="W64" i="12"/>
  <c r="W65" i="12"/>
  <c r="W66" i="12"/>
  <c r="W67" i="12"/>
  <c r="W68" i="12"/>
  <c r="W69" i="12"/>
  <c r="W70" i="12"/>
  <c r="W71" i="12"/>
  <c r="W72" i="12"/>
  <c r="W73" i="12"/>
  <c r="W74" i="12"/>
  <c r="W75" i="12"/>
  <c r="W76" i="12"/>
  <c r="W77" i="12"/>
  <c r="W78" i="12"/>
  <c r="W79" i="12"/>
  <c r="W80" i="12"/>
  <c r="W81" i="12"/>
  <c r="W82" i="12"/>
  <c r="W83" i="12"/>
  <c r="W84" i="12"/>
  <c r="W85" i="12"/>
  <c r="W86" i="12"/>
  <c r="W87" i="12"/>
  <c r="W54" i="12"/>
  <c r="T55" i="12"/>
  <c r="T56" i="12"/>
  <c r="T57" i="12"/>
  <c r="T58" i="12"/>
  <c r="T59" i="12"/>
  <c r="T60" i="12"/>
  <c r="T61" i="12"/>
  <c r="T62" i="12"/>
  <c r="T63" i="12"/>
  <c r="T64" i="12"/>
  <c r="T65" i="12"/>
  <c r="T66" i="12"/>
  <c r="T67" i="12"/>
  <c r="T68" i="12"/>
  <c r="T69" i="12"/>
  <c r="T70" i="12"/>
  <c r="T71" i="12"/>
  <c r="T72" i="12"/>
  <c r="T73" i="12"/>
  <c r="T74" i="12"/>
  <c r="T75" i="12"/>
  <c r="T76" i="12"/>
  <c r="T77" i="12"/>
  <c r="T78" i="12"/>
  <c r="T79" i="12"/>
  <c r="T80" i="12"/>
  <c r="T81" i="12"/>
  <c r="T82" i="12"/>
  <c r="T83" i="12"/>
  <c r="T84" i="12"/>
  <c r="T85" i="12"/>
  <c r="T86" i="12"/>
  <c r="T87" i="12"/>
  <c r="T54" i="12"/>
  <c r="P85" i="12"/>
  <c r="P86" i="12"/>
  <c r="P87" i="12"/>
  <c r="P55" i="12"/>
  <c r="P56" i="12"/>
  <c r="P57" i="12"/>
  <c r="P58" i="12"/>
  <c r="P59" i="12"/>
  <c r="P60" i="12"/>
  <c r="P61" i="12"/>
  <c r="P62" i="12"/>
  <c r="P63" i="12"/>
  <c r="P64" i="12"/>
  <c r="P65" i="12"/>
  <c r="P66" i="12"/>
  <c r="P67" i="12"/>
  <c r="P68" i="12"/>
  <c r="P69" i="12"/>
  <c r="P70" i="12"/>
  <c r="P71" i="12"/>
  <c r="P72" i="12"/>
  <c r="P73" i="12"/>
  <c r="P74" i="12"/>
  <c r="P75" i="12"/>
  <c r="P76" i="12"/>
  <c r="P77" i="12"/>
  <c r="P78" i="12"/>
  <c r="P79" i="12"/>
  <c r="P80" i="12"/>
  <c r="P81" i="12"/>
  <c r="P82" i="12"/>
  <c r="P83" i="12"/>
  <c r="P84" i="12"/>
  <c r="P54" i="12"/>
  <c r="L55" i="12"/>
  <c r="L56" i="12"/>
  <c r="L57" i="12"/>
  <c r="L58" i="12"/>
  <c r="L59" i="12"/>
  <c r="L60" i="12"/>
  <c r="L61" i="12"/>
  <c r="L62" i="12"/>
  <c r="L63" i="12"/>
  <c r="L64" i="12"/>
  <c r="L65" i="12"/>
  <c r="L66" i="12"/>
  <c r="L67" i="12"/>
  <c r="L68" i="12"/>
  <c r="L69" i="12"/>
  <c r="L70" i="12"/>
  <c r="L71" i="12"/>
  <c r="L72" i="12"/>
  <c r="L73" i="12"/>
  <c r="L74" i="12"/>
  <c r="L75" i="12"/>
  <c r="L76" i="12"/>
  <c r="L77" i="12"/>
  <c r="L78" i="12"/>
  <c r="L79" i="12"/>
  <c r="L80" i="12"/>
  <c r="L81" i="12"/>
  <c r="L82" i="12"/>
  <c r="L83" i="12"/>
  <c r="L84" i="12"/>
  <c r="L85" i="12"/>
  <c r="L86" i="12"/>
  <c r="L87" i="12"/>
  <c r="L54" i="12"/>
  <c r="H55" i="12"/>
  <c r="H56" i="12"/>
  <c r="H57" i="12"/>
  <c r="H58" i="12"/>
  <c r="H59" i="12"/>
  <c r="H60" i="12"/>
  <c r="H61" i="12"/>
  <c r="H62" i="12"/>
  <c r="H63" i="12"/>
  <c r="H64" i="12"/>
  <c r="H65" i="12"/>
  <c r="H66" i="12"/>
  <c r="H67" i="12"/>
  <c r="H68" i="12"/>
  <c r="H69" i="12"/>
  <c r="H70" i="12"/>
  <c r="H71" i="12"/>
  <c r="H72" i="12"/>
  <c r="H73" i="12"/>
  <c r="H74" i="12"/>
  <c r="H75" i="12"/>
  <c r="H76" i="12"/>
  <c r="H77" i="12"/>
  <c r="H78" i="12"/>
  <c r="H79" i="12"/>
  <c r="H80" i="12"/>
  <c r="H81" i="12"/>
  <c r="H82" i="12"/>
  <c r="H83" i="12"/>
  <c r="H84" i="12"/>
  <c r="H85" i="12"/>
  <c r="H86" i="12"/>
  <c r="H87" i="12"/>
  <c r="H54" i="12"/>
  <c r="J55" i="12"/>
  <c r="J56" i="12"/>
  <c r="J57" i="12"/>
  <c r="J58" i="12"/>
  <c r="J59" i="12"/>
  <c r="J60" i="12"/>
  <c r="J61" i="12"/>
  <c r="J62" i="12"/>
  <c r="J63" i="12"/>
  <c r="J64" i="12"/>
  <c r="J65" i="12"/>
  <c r="J66" i="12"/>
  <c r="J67" i="12"/>
  <c r="J68" i="12"/>
  <c r="J69" i="12"/>
  <c r="J70" i="12"/>
  <c r="J71" i="12"/>
  <c r="J72" i="12"/>
  <c r="J73" i="12"/>
  <c r="J74" i="12"/>
  <c r="J75" i="12"/>
  <c r="J76" i="12"/>
  <c r="J77" i="12"/>
  <c r="J78" i="12"/>
  <c r="J79" i="12"/>
  <c r="J80" i="12"/>
  <c r="J81" i="12"/>
  <c r="J82" i="12"/>
  <c r="J83" i="12"/>
  <c r="J84" i="12"/>
  <c r="J85" i="12"/>
  <c r="J86" i="12"/>
  <c r="J87" i="12"/>
  <c r="G55" i="12"/>
  <c r="G56" i="12"/>
  <c r="G57" i="12"/>
  <c r="G58" i="12"/>
  <c r="G59" i="12"/>
  <c r="G60" i="12"/>
  <c r="G61" i="12"/>
  <c r="G62" i="12"/>
  <c r="G63" i="12"/>
  <c r="G64" i="12"/>
  <c r="G65" i="12"/>
  <c r="G66" i="12"/>
  <c r="G67" i="12"/>
  <c r="G68" i="12"/>
  <c r="G69" i="12"/>
  <c r="G70" i="12"/>
  <c r="G71" i="12"/>
  <c r="G72" i="12"/>
  <c r="G73" i="12"/>
  <c r="G74" i="12"/>
  <c r="G75" i="12"/>
  <c r="G76" i="12"/>
  <c r="G77" i="12"/>
  <c r="G78" i="12"/>
  <c r="G79" i="12"/>
  <c r="G80" i="12"/>
  <c r="G81" i="12"/>
  <c r="G82" i="12"/>
  <c r="G83" i="12"/>
  <c r="G84" i="12"/>
  <c r="G85" i="12"/>
  <c r="G86" i="12"/>
  <c r="G87" i="12"/>
  <c r="G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54" i="12"/>
  <c r="D55" i="12"/>
  <c r="D56" i="12"/>
  <c r="D57" i="12"/>
  <c r="D58" i="12"/>
  <c r="D59" i="12"/>
  <c r="D60" i="12"/>
  <c r="D61" i="12"/>
  <c r="D62" i="12"/>
  <c r="D63" i="12"/>
  <c r="D64" i="12"/>
  <c r="D65" i="12"/>
  <c r="D66" i="12"/>
  <c r="D67" i="12"/>
  <c r="D68" i="12"/>
  <c r="D69" i="12"/>
  <c r="D70" i="12"/>
  <c r="D71" i="12"/>
  <c r="D72" i="12"/>
  <c r="D73" i="12"/>
  <c r="D74" i="12"/>
  <c r="D75" i="12"/>
  <c r="D76" i="12"/>
  <c r="D77" i="12"/>
  <c r="D78" i="12"/>
  <c r="D79" i="12"/>
  <c r="D80" i="12"/>
  <c r="D81" i="12"/>
  <c r="D82" i="12"/>
  <c r="D83" i="12"/>
  <c r="D84" i="12"/>
  <c r="D85" i="12"/>
  <c r="D86" i="12"/>
  <c r="D87" i="12"/>
  <c r="D54" i="12"/>
  <c r="B5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B69" i="12"/>
  <c r="B70" i="12"/>
  <c r="B71" i="12"/>
  <c r="B72" i="12"/>
  <c r="B73" i="12"/>
  <c r="B74" i="12"/>
  <c r="B75" i="12"/>
  <c r="B76" i="12"/>
  <c r="B77" i="12"/>
  <c r="B78" i="12"/>
  <c r="B79" i="12"/>
  <c r="B80" i="12"/>
  <c r="B81" i="12"/>
  <c r="B82" i="12"/>
  <c r="B83" i="12"/>
  <c r="B84" i="12"/>
  <c r="B85" i="12"/>
  <c r="B86" i="12"/>
  <c r="B87" i="12"/>
  <c r="B54" i="12"/>
  <c r="L79" i="5"/>
  <c r="L78" i="5"/>
  <c r="L77" i="5"/>
  <c r="L76" i="5"/>
  <c r="L75" i="5"/>
  <c r="J36" i="8"/>
  <c r="J37" i="8"/>
  <c r="J38" i="8"/>
  <c r="J35" i="8"/>
  <c r="J33" i="8"/>
  <c r="Q45" i="8"/>
  <c r="I53" i="8"/>
  <c r="H49" i="8"/>
  <c r="B58" i="5"/>
  <c r="B41" i="15"/>
  <c r="B38" i="15"/>
  <c r="C42" i="15"/>
  <c r="C73" i="15"/>
  <c r="B25" i="15"/>
  <c r="B26" i="15"/>
  <c r="B27" i="15"/>
  <c r="B28" i="15"/>
  <c r="C29" i="15"/>
  <c r="C72" i="15"/>
  <c r="L69" i="15"/>
  <c r="L68" i="15"/>
  <c r="B68" i="15"/>
  <c r="C69" i="15"/>
  <c r="B64" i="15"/>
  <c r="L61" i="15"/>
  <c r="L60" i="15"/>
  <c r="C65" i="15"/>
  <c r="C59" i="15"/>
  <c r="B20" i="5"/>
  <c r="B19" i="5"/>
  <c r="G20" i="5"/>
  <c r="G19" i="5"/>
  <c r="C45" i="15"/>
  <c r="B33" i="15"/>
  <c r="B32" i="15"/>
  <c r="B34" i="15"/>
  <c r="B35" i="15"/>
  <c r="C36" i="15"/>
  <c r="L40" i="15"/>
  <c r="E61" i="8"/>
  <c r="E60" i="8"/>
  <c r="B60" i="8"/>
  <c r="B46" i="8"/>
  <c r="C55" i="15"/>
  <c r="B50" i="8"/>
  <c r="B49" i="8"/>
  <c r="C52" i="15"/>
  <c r="B62" i="15"/>
  <c r="C63" i="15"/>
  <c r="B45" i="8"/>
  <c r="C54" i="15"/>
  <c r="L72" i="15"/>
  <c r="L73" i="15"/>
  <c r="L78" i="15"/>
  <c r="B56" i="15"/>
  <c r="C58" i="15"/>
  <c r="C57" i="15"/>
  <c r="B21" i="15"/>
  <c r="C22" i="15"/>
  <c r="C79" i="15"/>
  <c r="C78" i="15"/>
  <c r="C77" i="15"/>
  <c r="D81" i="15"/>
  <c r="C85" i="15"/>
  <c r="C88" i="15"/>
  <c r="C100" i="15"/>
  <c r="B12" i="6"/>
  <c r="C94" i="15"/>
  <c r="C97" i="15"/>
  <c r="B89" i="15"/>
  <c r="L109" i="15"/>
  <c r="B146" i="14"/>
  <c r="B105" i="15"/>
  <c r="L103" i="15"/>
  <c r="L102" i="15"/>
  <c r="C106" i="15"/>
  <c r="B144" i="14"/>
  <c r="B103" i="15"/>
  <c r="C104" i="15"/>
  <c r="B109" i="15"/>
  <c r="C110" i="15"/>
  <c r="B18" i="2"/>
  <c r="C116" i="15"/>
  <c r="B12" i="2"/>
  <c r="C125" i="15"/>
  <c r="C119" i="15"/>
  <c r="C128" i="15"/>
  <c r="B120" i="15"/>
  <c r="L120" i="15"/>
  <c r="L121" i="15"/>
  <c r="C121" i="15"/>
  <c r="C122" i="15"/>
  <c r="C131" i="15"/>
  <c r="K143" i="15"/>
  <c r="B136" i="15"/>
  <c r="K133" i="15"/>
  <c r="C137" i="15"/>
  <c r="B190" i="14"/>
  <c r="B134" i="15"/>
  <c r="K134" i="15"/>
  <c r="C135" i="15"/>
  <c r="B140" i="15"/>
  <c r="C141" i="15"/>
  <c r="D143" i="15"/>
  <c r="B135" i="8"/>
  <c r="I73" i="8"/>
  <c r="I74" i="8"/>
  <c r="I92" i="8"/>
  <c r="G82" i="10"/>
  <c r="B132" i="8"/>
  <c r="K41" i="10"/>
  <c r="T2" i="10"/>
  <c r="G88" i="10"/>
  <c r="G84" i="10"/>
  <c r="B170" i="14"/>
  <c r="B169" i="14"/>
  <c r="B171" i="14"/>
  <c r="B172" i="14"/>
  <c r="B193" i="14"/>
  <c r="B179" i="14"/>
  <c r="I76" i="8"/>
  <c r="I94" i="8"/>
  <c r="I95" i="8"/>
  <c r="B133" i="14"/>
  <c r="B164" i="14"/>
  <c r="B176" i="14"/>
  <c r="I172" i="14"/>
  <c r="I171" i="14"/>
  <c r="I170" i="14"/>
  <c r="B118" i="14"/>
  <c r="B130" i="14"/>
  <c r="B168" i="14"/>
  <c r="B173" i="14"/>
  <c r="B182" i="14"/>
  <c r="B197" i="14"/>
  <c r="B185" i="14"/>
  <c r="B194" i="14"/>
  <c r="B186" i="14"/>
  <c r="B191" i="14"/>
  <c r="B204" i="14"/>
  <c r="B205" i="14"/>
  <c r="B207" i="14"/>
  <c r="I207" i="14"/>
  <c r="I206" i="14"/>
  <c r="B136" i="14"/>
  <c r="B150" i="14"/>
  <c r="B140" i="14"/>
  <c r="B139" i="14"/>
  <c r="B147" i="14"/>
  <c r="B145" i="14"/>
  <c r="B157" i="14"/>
  <c r="B158" i="14"/>
  <c r="B160" i="14"/>
  <c r="I160" i="14"/>
  <c r="I159" i="14"/>
  <c r="B56" i="14"/>
  <c r="B53" i="14"/>
  <c r="B57" i="14"/>
  <c r="B106" i="14"/>
  <c r="B35" i="14"/>
  <c r="B38" i="14"/>
  <c r="B36" i="14"/>
  <c r="B39" i="14"/>
  <c r="B40" i="14"/>
  <c r="B105" i="14"/>
  <c r="B89" i="14"/>
  <c r="B90" i="14"/>
  <c r="B92" i="14"/>
  <c r="B93" i="14"/>
  <c r="B84" i="14"/>
  <c r="B78" i="14"/>
  <c r="B77" i="14"/>
  <c r="B85" i="14"/>
  <c r="B82" i="14"/>
  <c r="B83" i="14"/>
  <c r="B74" i="14"/>
  <c r="B71" i="14"/>
  <c r="B73" i="14"/>
  <c r="B72" i="14"/>
  <c r="B60" i="14"/>
  <c r="F44" i="14"/>
  <c r="F45" i="14"/>
  <c r="F48" i="14"/>
  <c r="F49" i="14"/>
  <c r="F50" i="14"/>
  <c r="B51" i="14"/>
  <c r="B25" i="14"/>
  <c r="B26" i="14"/>
  <c r="B70" i="14"/>
  <c r="B69" i="14"/>
  <c r="B67" i="14"/>
  <c r="B96" i="14"/>
  <c r="B97" i="14"/>
  <c r="B102" i="14"/>
  <c r="B112" i="14"/>
  <c r="B111" i="14"/>
  <c r="B110" i="14"/>
  <c r="B114" i="14"/>
  <c r="I114" i="14"/>
  <c r="I113" i="14"/>
  <c r="I211" i="14"/>
  <c r="E46" i="5"/>
  <c r="B48" i="14"/>
  <c r="B45" i="14"/>
  <c r="B42" i="5"/>
  <c r="B44" i="14"/>
  <c r="B5" i="14"/>
  <c r="B201" i="14"/>
  <c r="B154" i="14"/>
  <c r="H43" i="8"/>
  <c r="H44" i="8"/>
  <c r="H45" i="8"/>
  <c r="I82" i="14"/>
  <c r="B17" i="14"/>
  <c r="B13" i="14"/>
  <c r="F1" i="8"/>
  <c r="F8" i="8"/>
  <c r="F9" i="8"/>
  <c r="F3" i="8"/>
  <c r="B10" i="8"/>
  <c r="B2" i="14"/>
  <c r="B210" i="14"/>
  <c r="B213" i="14"/>
  <c r="B214" i="14"/>
  <c r="B211" i="14"/>
  <c r="L206" i="14"/>
  <c r="B198" i="14"/>
  <c r="I173" i="14"/>
  <c r="L159" i="14"/>
  <c r="B151" i="14"/>
  <c r="L113" i="14"/>
  <c r="B54" i="14"/>
  <c r="B49" i="14"/>
  <c r="B50" i="14"/>
  <c r="B18" i="14"/>
  <c r="B8" i="14"/>
  <c r="B9" i="14"/>
  <c r="B14" i="14"/>
  <c r="D20" i="14"/>
  <c r="L88" i="15"/>
  <c r="L89" i="15"/>
  <c r="D112" i="15"/>
  <c r="D146" i="15"/>
  <c r="B158" i="15"/>
  <c r="B159" i="15"/>
  <c r="I143" i="15"/>
  <c r="I142" i="15"/>
  <c r="I147" i="15"/>
  <c r="D147" i="15"/>
  <c r="H144" i="15"/>
  <c r="K147" i="15"/>
  <c r="K144" i="15"/>
  <c r="K122" i="15"/>
  <c r="K123" i="15"/>
  <c r="K124" i="15"/>
  <c r="K125" i="15"/>
  <c r="I112" i="15"/>
  <c r="I111" i="15"/>
  <c r="H113" i="15"/>
  <c r="L113" i="15"/>
  <c r="L110" i="15"/>
  <c r="M82" i="15"/>
  <c r="M81" i="15"/>
  <c r="L83" i="15"/>
  <c r="I62" i="15"/>
  <c r="B39" i="15"/>
  <c r="L33" i="15"/>
  <c r="L34" i="15"/>
  <c r="L37" i="15"/>
  <c r="L38" i="15"/>
  <c r="L39" i="15"/>
  <c r="C13" i="15"/>
  <c r="C14" i="15"/>
  <c r="C2" i="15"/>
  <c r="L8" i="15"/>
  <c r="L9" i="15"/>
  <c r="B9" i="15"/>
  <c r="C10" i="15"/>
  <c r="C6" i="15"/>
  <c r="G16" i="15"/>
  <c r="B36" i="2"/>
  <c r="B37" i="2"/>
  <c r="O34" i="2"/>
  <c r="O33" i="2"/>
  <c r="O32" i="2"/>
  <c r="O31" i="2"/>
  <c r="B26" i="2"/>
  <c r="O30" i="2"/>
  <c r="O29" i="2"/>
  <c r="B20" i="2"/>
  <c r="O28" i="2"/>
  <c r="O27" i="2"/>
  <c r="B16" i="2"/>
  <c r="B19" i="2"/>
  <c r="O26" i="2"/>
  <c r="O25" i="2"/>
  <c r="O24" i="2"/>
  <c r="J27" i="6"/>
  <c r="J26" i="6"/>
  <c r="J25" i="6"/>
  <c r="J24" i="6"/>
  <c r="J23" i="6"/>
  <c r="J22" i="6"/>
  <c r="B31" i="6"/>
  <c r="B32" i="6"/>
  <c r="J29" i="6"/>
  <c r="J28" i="6"/>
  <c r="G41" i="8"/>
  <c r="Q40" i="8"/>
  <c r="Q41" i="8"/>
  <c r="Q44" i="8"/>
  <c r="J39" i="8"/>
  <c r="Q50" i="8"/>
  <c r="Q49" i="8"/>
  <c r="Q48" i="8"/>
  <c r="Q47" i="8"/>
  <c r="Q46" i="8"/>
  <c r="B55" i="5"/>
  <c r="B59" i="5"/>
  <c r="B52" i="5"/>
  <c r="B53" i="5"/>
  <c r="T72" i="5"/>
  <c r="T71" i="5"/>
  <c r="P73" i="5"/>
  <c r="P72" i="5"/>
  <c r="P71" i="5"/>
  <c r="G18" i="5"/>
  <c r="P70" i="5"/>
  <c r="L73" i="5"/>
  <c r="L72" i="5"/>
  <c r="L71" i="5"/>
  <c r="B18" i="5"/>
  <c r="L70" i="5"/>
  <c r="D26" i="1"/>
  <c r="I50" i="8"/>
  <c r="O75" i="10"/>
  <c r="G92" i="10"/>
  <c r="M42" i="10"/>
  <c r="M41" i="10"/>
  <c r="M43" i="10"/>
  <c r="N71" i="10"/>
  <c r="N70" i="10"/>
  <c r="N69" i="10"/>
  <c r="N68" i="10"/>
  <c r="N67" i="10"/>
  <c r="N66" i="10"/>
  <c r="N65" i="10"/>
  <c r="N64" i="10"/>
  <c r="N63" i="10"/>
  <c r="N62" i="10"/>
  <c r="N61" i="10"/>
  <c r="N60" i="10"/>
  <c r="N59" i="10"/>
  <c r="N58" i="10"/>
  <c r="N57" i="10"/>
  <c r="N56" i="10"/>
  <c r="N55" i="10"/>
  <c r="N54" i="10"/>
  <c r="N53" i="10"/>
  <c r="N52" i="10"/>
  <c r="N51" i="10"/>
  <c r="N50" i="10"/>
  <c r="N49" i="10"/>
  <c r="N48" i="10"/>
  <c r="N47" i="10"/>
  <c r="N46" i="10"/>
  <c r="N45" i="10"/>
  <c r="N44" i="10"/>
  <c r="N43" i="10"/>
  <c r="P108" i="10"/>
  <c r="P107" i="10"/>
  <c r="P106" i="10"/>
  <c r="P105" i="10"/>
  <c r="P104" i="10"/>
  <c r="P103" i="10"/>
  <c r="P102" i="10"/>
  <c r="P101" i="10"/>
  <c r="P100" i="10"/>
  <c r="P99" i="10"/>
  <c r="P98" i="10"/>
  <c r="P97" i="10"/>
  <c r="P96" i="10"/>
  <c r="P95" i="10"/>
  <c r="P94" i="10"/>
  <c r="P93" i="10"/>
  <c r="P92" i="10"/>
  <c r="P91" i="10"/>
  <c r="P90" i="10"/>
  <c r="P89" i="10"/>
  <c r="P88" i="10"/>
  <c r="P87" i="10"/>
  <c r="P86" i="10"/>
  <c r="P85" i="10"/>
  <c r="P84" i="10"/>
  <c r="P83" i="10"/>
  <c r="P82" i="10"/>
  <c r="P81" i="10"/>
  <c r="P80" i="10"/>
  <c r="P79" i="10"/>
  <c r="P78" i="10"/>
  <c r="P77" i="10"/>
  <c r="P76" i="10"/>
  <c r="P75" i="10"/>
  <c r="AH40" i="12"/>
  <c r="AI40" i="12"/>
  <c r="AH39" i="12"/>
  <c r="AI39" i="12"/>
  <c r="AH38" i="12"/>
  <c r="AI38" i="12"/>
  <c r="AH37" i="12"/>
  <c r="AI37" i="12"/>
  <c r="AH36" i="12"/>
  <c r="AI36" i="12"/>
  <c r="AH35" i="12"/>
  <c r="AI35" i="12"/>
  <c r="AH34" i="12"/>
  <c r="AI34" i="12"/>
  <c r="AH33" i="12"/>
  <c r="AI33" i="12"/>
  <c r="AH32" i="12"/>
  <c r="AI32" i="12"/>
  <c r="AH31" i="12"/>
  <c r="AI31" i="12"/>
  <c r="AH30" i="12"/>
  <c r="AI30" i="12"/>
  <c r="AH29" i="12"/>
  <c r="AI29" i="12"/>
  <c r="AH28" i="12"/>
  <c r="AI28" i="12"/>
  <c r="AH27" i="12"/>
  <c r="AI27" i="12"/>
  <c r="AH26" i="12"/>
  <c r="AI26" i="12"/>
  <c r="AH25" i="12"/>
  <c r="AI25" i="12"/>
  <c r="AH24" i="12"/>
  <c r="AI24" i="12"/>
  <c r="AH23" i="12"/>
  <c r="AI23" i="12"/>
  <c r="AH22" i="12"/>
  <c r="AI22" i="12"/>
  <c r="AH21" i="12"/>
  <c r="AI21" i="12"/>
  <c r="AH20" i="12"/>
  <c r="AI20" i="12"/>
  <c r="AH19" i="12"/>
  <c r="AI19" i="12"/>
  <c r="AH18" i="12"/>
  <c r="AI18" i="12"/>
  <c r="AH17" i="12"/>
  <c r="AI17" i="12"/>
  <c r="AH16" i="12"/>
  <c r="AI16" i="12"/>
  <c r="AH15" i="12"/>
  <c r="AI15" i="12"/>
  <c r="AH14" i="12"/>
  <c r="AI14" i="12"/>
  <c r="AH13" i="12"/>
  <c r="AI13" i="12"/>
  <c r="AH12" i="12"/>
  <c r="AI12" i="12"/>
  <c r="AH11" i="12"/>
  <c r="AI11" i="12"/>
  <c r="AH10" i="12"/>
  <c r="AI10" i="12"/>
  <c r="AH9" i="12"/>
  <c r="AI9" i="12"/>
  <c r="AH8" i="12"/>
  <c r="AI8" i="12"/>
  <c r="AH7" i="12"/>
  <c r="AI7" i="12"/>
  <c r="AP40" i="12"/>
  <c r="AP39" i="12"/>
  <c r="AP38" i="12"/>
  <c r="AP37" i="12"/>
  <c r="AP36" i="12"/>
  <c r="AP35" i="12"/>
  <c r="AP34" i="12"/>
  <c r="AP33" i="12"/>
  <c r="AP32" i="12"/>
  <c r="AP31" i="12"/>
  <c r="AP30" i="12"/>
  <c r="AP29" i="12"/>
  <c r="AP28" i="12"/>
  <c r="AP27" i="12"/>
  <c r="AP26" i="12"/>
  <c r="AP25" i="12"/>
  <c r="AP24" i="12"/>
  <c r="AP23" i="12"/>
  <c r="AP22" i="12"/>
  <c r="AP21" i="12"/>
  <c r="AP20" i="12"/>
  <c r="AP19" i="12"/>
  <c r="AP18" i="12"/>
  <c r="AP17" i="12"/>
  <c r="AP16" i="12"/>
  <c r="AP15" i="12"/>
  <c r="AP14" i="12"/>
  <c r="AP13" i="12"/>
  <c r="AP12" i="12"/>
  <c r="AP11" i="12"/>
  <c r="AP10" i="12"/>
  <c r="AP9" i="12"/>
  <c r="AP8" i="12"/>
  <c r="AP7" i="12"/>
  <c r="Z40" i="12"/>
  <c r="Z39" i="12"/>
  <c r="Z38" i="12"/>
  <c r="Z37" i="12"/>
  <c r="Z36" i="12"/>
  <c r="Z35" i="12"/>
  <c r="Z34" i="12"/>
  <c r="Z33" i="12"/>
  <c r="Z32" i="12"/>
  <c r="Z31" i="12"/>
  <c r="Z30" i="12"/>
  <c r="Z29" i="12"/>
  <c r="Z28" i="12"/>
  <c r="Z27" i="12"/>
  <c r="Z26" i="12"/>
  <c r="Z25" i="12"/>
  <c r="Z24" i="12"/>
  <c r="Z23" i="12"/>
  <c r="Z22" i="12"/>
  <c r="Z21" i="12"/>
  <c r="Z20" i="12"/>
  <c r="Z19" i="12"/>
  <c r="Z18" i="12"/>
  <c r="Z17" i="12"/>
  <c r="Z16" i="12"/>
  <c r="Z15" i="12"/>
  <c r="Z14" i="12"/>
  <c r="Z13" i="12"/>
  <c r="Z12" i="12"/>
  <c r="Z11" i="12"/>
  <c r="Z10" i="12"/>
  <c r="Z9" i="12"/>
  <c r="Z8" i="12"/>
  <c r="Z7" i="12"/>
  <c r="P40" i="12"/>
  <c r="Q40" i="12"/>
  <c r="K40" i="12"/>
  <c r="M40" i="12"/>
  <c r="N40" i="12"/>
  <c r="L40" i="12"/>
  <c r="C40" i="12"/>
  <c r="P39" i="12"/>
  <c r="Q39" i="12"/>
  <c r="K39" i="12"/>
  <c r="M39" i="12"/>
  <c r="N39" i="12"/>
  <c r="L39" i="12"/>
  <c r="C39" i="12"/>
  <c r="P38" i="12"/>
  <c r="Q38" i="12"/>
  <c r="K38" i="12"/>
  <c r="M38" i="12"/>
  <c r="N38" i="12"/>
  <c r="L38" i="12"/>
  <c r="C38" i="12"/>
  <c r="P37" i="12"/>
  <c r="Q37" i="12"/>
  <c r="K37" i="12"/>
  <c r="M37" i="12"/>
  <c r="N37" i="12"/>
  <c r="L37" i="12"/>
  <c r="C37" i="12"/>
  <c r="P36" i="12"/>
  <c r="Q36" i="12"/>
  <c r="K36" i="12"/>
  <c r="M36" i="12"/>
  <c r="N36" i="12"/>
  <c r="L36" i="12"/>
  <c r="C36" i="12"/>
  <c r="P35" i="12"/>
  <c r="Q35" i="12"/>
  <c r="K35" i="12"/>
  <c r="M35" i="12"/>
  <c r="N35" i="12"/>
  <c r="L35" i="12"/>
  <c r="C35" i="12"/>
  <c r="P34" i="12"/>
  <c r="Q34" i="12"/>
  <c r="K34" i="12"/>
  <c r="M34" i="12"/>
  <c r="N34" i="12"/>
  <c r="L34" i="12"/>
  <c r="C34" i="12"/>
  <c r="P33" i="12"/>
  <c r="Q33" i="12"/>
  <c r="K33" i="12"/>
  <c r="M33" i="12"/>
  <c r="N33" i="12"/>
  <c r="L33" i="12"/>
  <c r="C33" i="12"/>
  <c r="P32" i="12"/>
  <c r="Q32" i="12"/>
  <c r="K32" i="12"/>
  <c r="M32" i="12"/>
  <c r="N32" i="12"/>
  <c r="L32" i="12"/>
  <c r="C32" i="12"/>
  <c r="P31" i="12"/>
  <c r="Q31" i="12"/>
  <c r="K31" i="12"/>
  <c r="M31" i="12"/>
  <c r="N31" i="12"/>
  <c r="L31" i="12"/>
  <c r="C31" i="12"/>
  <c r="P30" i="12"/>
  <c r="Q30" i="12"/>
  <c r="K30" i="12"/>
  <c r="M30" i="12"/>
  <c r="N30" i="12"/>
  <c r="L30" i="12"/>
  <c r="C30" i="12"/>
  <c r="P29" i="12"/>
  <c r="Q29" i="12"/>
  <c r="K29" i="12"/>
  <c r="M29" i="12"/>
  <c r="N29" i="12"/>
  <c r="L29" i="12"/>
  <c r="C29" i="12"/>
  <c r="P28" i="12"/>
  <c r="Q28" i="12"/>
  <c r="K28" i="12"/>
  <c r="M28" i="12"/>
  <c r="N28" i="12"/>
  <c r="L28" i="12"/>
  <c r="C28" i="12"/>
  <c r="P27" i="12"/>
  <c r="Q27" i="12"/>
  <c r="K27" i="12"/>
  <c r="M27" i="12"/>
  <c r="N27" i="12"/>
  <c r="L27" i="12"/>
  <c r="C27" i="12"/>
  <c r="P26" i="12"/>
  <c r="Q26" i="12"/>
  <c r="K26" i="12"/>
  <c r="M26" i="12"/>
  <c r="N26" i="12"/>
  <c r="L26" i="12"/>
  <c r="C26" i="12"/>
  <c r="P25" i="12"/>
  <c r="Q25" i="12"/>
  <c r="K25" i="12"/>
  <c r="M25" i="12"/>
  <c r="N25" i="12"/>
  <c r="L25" i="12"/>
  <c r="C25" i="12"/>
  <c r="P24" i="12"/>
  <c r="Q24" i="12"/>
  <c r="K24" i="12"/>
  <c r="M24" i="12"/>
  <c r="N24" i="12"/>
  <c r="L24" i="12"/>
  <c r="C24" i="12"/>
  <c r="P23" i="12"/>
  <c r="Q23" i="12"/>
  <c r="K23" i="12"/>
  <c r="M23" i="12"/>
  <c r="N23" i="12"/>
  <c r="L23" i="12"/>
  <c r="C23" i="12"/>
  <c r="P22" i="12"/>
  <c r="Q22" i="12"/>
  <c r="K22" i="12"/>
  <c r="M22" i="12"/>
  <c r="N22" i="12"/>
  <c r="L22" i="12"/>
  <c r="C22" i="12"/>
  <c r="P21" i="12"/>
  <c r="Q21" i="12"/>
  <c r="K21" i="12"/>
  <c r="M21" i="12"/>
  <c r="N21" i="12"/>
  <c r="L21" i="12"/>
  <c r="C21" i="12"/>
  <c r="P20" i="12"/>
  <c r="Q20" i="12"/>
  <c r="K20" i="12"/>
  <c r="M20" i="12"/>
  <c r="N20" i="12"/>
  <c r="L20" i="12"/>
  <c r="C20" i="12"/>
  <c r="P19" i="12"/>
  <c r="Q19" i="12"/>
  <c r="K19" i="12"/>
  <c r="M19" i="12"/>
  <c r="N19" i="12"/>
  <c r="L19" i="12"/>
  <c r="C19" i="12"/>
  <c r="P18" i="12"/>
  <c r="Q18" i="12"/>
  <c r="K18" i="12"/>
  <c r="M18" i="12"/>
  <c r="N18" i="12"/>
  <c r="L18" i="12"/>
  <c r="C18" i="12"/>
  <c r="P17" i="12"/>
  <c r="Q17" i="12"/>
  <c r="K17" i="12"/>
  <c r="M17" i="12"/>
  <c r="N17" i="12"/>
  <c r="L17" i="12"/>
  <c r="C17" i="12"/>
  <c r="P16" i="12"/>
  <c r="Q16" i="12"/>
  <c r="K16" i="12"/>
  <c r="M16" i="12"/>
  <c r="N16" i="12"/>
  <c r="L16" i="12"/>
  <c r="C16" i="12"/>
  <c r="P15" i="12"/>
  <c r="Q15" i="12"/>
  <c r="K15" i="12"/>
  <c r="M15" i="12"/>
  <c r="N15" i="12"/>
  <c r="L15" i="12"/>
  <c r="C15" i="12"/>
  <c r="P14" i="12"/>
  <c r="Q14" i="12"/>
  <c r="K14" i="12"/>
  <c r="M14" i="12"/>
  <c r="N14" i="12"/>
  <c r="L14" i="12"/>
  <c r="C14" i="12"/>
  <c r="P13" i="12"/>
  <c r="Q13" i="12"/>
  <c r="K13" i="12"/>
  <c r="M13" i="12"/>
  <c r="N13" i="12"/>
  <c r="L13" i="12"/>
  <c r="C13" i="12"/>
  <c r="P12" i="12"/>
  <c r="Q12" i="12"/>
  <c r="K12" i="12"/>
  <c r="M12" i="12"/>
  <c r="N12" i="12"/>
  <c r="L12" i="12"/>
  <c r="C12" i="12"/>
  <c r="P11" i="12"/>
  <c r="Q11" i="12"/>
  <c r="K11" i="12"/>
  <c r="M11" i="12"/>
  <c r="N11" i="12"/>
  <c r="L11" i="12"/>
  <c r="C11" i="12"/>
  <c r="P10" i="12"/>
  <c r="Q10" i="12"/>
  <c r="K10" i="12"/>
  <c r="M10" i="12"/>
  <c r="N10" i="12"/>
  <c r="L10" i="12"/>
  <c r="C10" i="12"/>
  <c r="P9" i="12"/>
  <c r="Q9" i="12"/>
  <c r="K9" i="12"/>
  <c r="M9" i="12"/>
  <c r="N9" i="12"/>
  <c r="L9" i="12"/>
  <c r="C9" i="12"/>
  <c r="P8" i="12"/>
  <c r="Q8" i="12"/>
  <c r="K8" i="12"/>
  <c r="M8" i="12"/>
  <c r="N8" i="12"/>
  <c r="L8" i="12"/>
  <c r="C8" i="12"/>
  <c r="P7" i="12"/>
  <c r="Q7" i="12"/>
  <c r="K7" i="12"/>
  <c r="M7" i="12"/>
  <c r="N7" i="12"/>
  <c r="L7" i="12"/>
  <c r="C7" i="12"/>
  <c r="B4" i="12"/>
  <c r="O108" i="10"/>
  <c r="O107" i="10"/>
  <c r="O106" i="10"/>
  <c r="O105" i="10"/>
  <c r="O104" i="10"/>
  <c r="O103" i="10"/>
  <c r="O102" i="10"/>
  <c r="O101" i="10"/>
  <c r="O100" i="10"/>
  <c r="O99" i="10"/>
  <c r="O98" i="10"/>
  <c r="O97" i="10"/>
  <c r="O96" i="10"/>
  <c r="O95" i="10"/>
  <c r="O94" i="10"/>
  <c r="O93" i="10"/>
  <c r="O92" i="10"/>
  <c r="O91" i="10"/>
  <c r="O90" i="10"/>
  <c r="O89" i="10"/>
  <c r="O88" i="10"/>
  <c r="O87" i="10"/>
  <c r="O86" i="10"/>
  <c r="O85" i="10"/>
  <c r="O84" i="10"/>
  <c r="O83" i="10"/>
  <c r="O82" i="10"/>
  <c r="O81" i="10"/>
  <c r="O80" i="10"/>
  <c r="O79" i="10"/>
  <c r="O78" i="10"/>
  <c r="O77" i="10"/>
  <c r="O76" i="10"/>
  <c r="P46" i="10"/>
  <c r="P43" i="10"/>
  <c r="AF3" i="10"/>
  <c r="T3" i="10"/>
  <c r="I3" i="10"/>
  <c r="AT40" i="12"/>
  <c r="AL40" i="12"/>
  <c r="AD40" i="12"/>
  <c r="AT39" i="12"/>
  <c r="AL39" i="12"/>
  <c r="AD39" i="12"/>
  <c r="AT38" i="12"/>
  <c r="AL38" i="12"/>
  <c r="AD38" i="12"/>
  <c r="AT37" i="12"/>
  <c r="AL37" i="12"/>
  <c r="AD37" i="12"/>
  <c r="AT36" i="12"/>
  <c r="AL36" i="12"/>
  <c r="AD36" i="12"/>
  <c r="AT35" i="12"/>
  <c r="AL35" i="12"/>
  <c r="AD35" i="12"/>
  <c r="AT34" i="12"/>
  <c r="AL34" i="12"/>
  <c r="AD34" i="12"/>
  <c r="AT33" i="12"/>
  <c r="AL33" i="12"/>
  <c r="AD33" i="12"/>
  <c r="AT32" i="12"/>
  <c r="AL32" i="12"/>
  <c r="AD32" i="12"/>
  <c r="AT31" i="12"/>
  <c r="AL31" i="12"/>
  <c r="AD31" i="12"/>
  <c r="AT30" i="12"/>
  <c r="AL30" i="12"/>
  <c r="AD30" i="12"/>
  <c r="AT29" i="12"/>
  <c r="AL29" i="12"/>
  <c r="AD29" i="12"/>
  <c r="AT28" i="12"/>
  <c r="AL28" i="12"/>
  <c r="AD28" i="12"/>
  <c r="AT27" i="12"/>
  <c r="AL27" i="12"/>
  <c r="AD27" i="12"/>
  <c r="AT26" i="12"/>
  <c r="AL26" i="12"/>
  <c r="AD26" i="12"/>
  <c r="AT25" i="12"/>
  <c r="AL25" i="12"/>
  <c r="AD25" i="12"/>
  <c r="AT24" i="12"/>
  <c r="AL24" i="12"/>
  <c r="AD24" i="12"/>
  <c r="AT23" i="12"/>
  <c r="AL23" i="12"/>
  <c r="AD23" i="12"/>
  <c r="AT22" i="12"/>
  <c r="AL22" i="12"/>
  <c r="AD22" i="12"/>
  <c r="AT21" i="12"/>
  <c r="AL21" i="12"/>
  <c r="AD21" i="12"/>
  <c r="AT20" i="12"/>
  <c r="AL20" i="12"/>
  <c r="AD20" i="12"/>
  <c r="AT19" i="12"/>
  <c r="AL19" i="12"/>
  <c r="AD19" i="12"/>
  <c r="AT18" i="12"/>
  <c r="AL18" i="12"/>
  <c r="AD18" i="12"/>
  <c r="AT17" i="12"/>
  <c r="AL17" i="12"/>
  <c r="AD17" i="12"/>
  <c r="AT16" i="12"/>
  <c r="AL16" i="12"/>
  <c r="AD16" i="12"/>
  <c r="AT15" i="12"/>
  <c r="AL15" i="12"/>
  <c r="AD15" i="12"/>
  <c r="AT14" i="12"/>
  <c r="AL14" i="12"/>
  <c r="AD14" i="12"/>
  <c r="AT13" i="12"/>
  <c r="AL13" i="12"/>
  <c r="AD13" i="12"/>
  <c r="AT12" i="12"/>
  <c r="AL12" i="12"/>
  <c r="AD12" i="12"/>
  <c r="AT11" i="12"/>
  <c r="AL11" i="12"/>
  <c r="AD11" i="12"/>
  <c r="AT10" i="12"/>
  <c r="AL10" i="12"/>
  <c r="AD10" i="12"/>
  <c r="AT9" i="12"/>
  <c r="AL9" i="12"/>
  <c r="AD9" i="12"/>
  <c r="AT8" i="12"/>
  <c r="AL8" i="12"/>
  <c r="AD8" i="12"/>
  <c r="AT7" i="12"/>
  <c r="AL7" i="12"/>
  <c r="AD7" i="12"/>
  <c r="X108" i="10"/>
  <c r="V108" i="10"/>
  <c r="Q108" i="10"/>
  <c r="X107" i="10"/>
  <c r="V107" i="10"/>
  <c r="Q107" i="10"/>
  <c r="X106" i="10"/>
  <c r="V106" i="10"/>
  <c r="Q106" i="10"/>
  <c r="X105" i="10"/>
  <c r="V105" i="10"/>
  <c r="Q105" i="10"/>
  <c r="X104" i="10"/>
  <c r="V104" i="10"/>
  <c r="Q104" i="10"/>
  <c r="X103" i="10"/>
  <c r="V103" i="10"/>
  <c r="Q103" i="10"/>
  <c r="X102" i="10"/>
  <c r="V102" i="10"/>
  <c r="Q102" i="10"/>
  <c r="X101" i="10"/>
  <c r="V101" i="10"/>
  <c r="Q101" i="10"/>
  <c r="X100" i="10"/>
  <c r="V100" i="10"/>
  <c r="Q100" i="10"/>
  <c r="X99" i="10"/>
  <c r="V99" i="10"/>
  <c r="Q99" i="10"/>
  <c r="X98" i="10"/>
  <c r="V98" i="10"/>
  <c r="Q98" i="10"/>
  <c r="X97" i="10"/>
  <c r="V97" i="10"/>
  <c r="Q97" i="10"/>
  <c r="X96" i="10"/>
  <c r="V96" i="10"/>
  <c r="Q96" i="10"/>
  <c r="X95" i="10"/>
  <c r="V95" i="10"/>
  <c r="Q95" i="10"/>
  <c r="X94" i="10"/>
  <c r="V94" i="10"/>
  <c r="Q94" i="10"/>
  <c r="X93" i="10"/>
  <c r="V93" i="10"/>
  <c r="Q93" i="10"/>
  <c r="X92" i="10"/>
  <c r="V92" i="10"/>
  <c r="Q92" i="10"/>
  <c r="X91" i="10"/>
  <c r="V91" i="10"/>
  <c r="Q91" i="10"/>
  <c r="X90" i="10"/>
  <c r="V90" i="10"/>
  <c r="Q90" i="10"/>
  <c r="X89" i="10"/>
  <c r="V89" i="10"/>
  <c r="Q89" i="10"/>
  <c r="X88" i="10"/>
  <c r="V88" i="10"/>
  <c r="Q88" i="10"/>
  <c r="X87" i="10"/>
  <c r="V87" i="10"/>
  <c r="Q87" i="10"/>
  <c r="X86" i="10"/>
  <c r="V86" i="10"/>
  <c r="Q86" i="10"/>
  <c r="X85" i="10"/>
  <c r="V85" i="10"/>
  <c r="Q85" i="10"/>
  <c r="X84" i="10"/>
  <c r="V84" i="10"/>
  <c r="Q84" i="10"/>
  <c r="X83" i="10"/>
  <c r="V83" i="10"/>
  <c r="Q83" i="10"/>
  <c r="X82" i="10"/>
  <c r="V82" i="10"/>
  <c r="Q82" i="10"/>
  <c r="X81" i="10"/>
  <c r="V81" i="10"/>
  <c r="Q81" i="10"/>
  <c r="X80" i="10"/>
  <c r="V80" i="10"/>
  <c r="Q80" i="10"/>
  <c r="X79" i="10"/>
  <c r="V79" i="10"/>
  <c r="Q79" i="10"/>
  <c r="X78" i="10"/>
  <c r="V78" i="10"/>
  <c r="Q78" i="10"/>
  <c r="X77" i="10"/>
  <c r="V77" i="10"/>
  <c r="Q77" i="10"/>
  <c r="X76" i="10"/>
  <c r="V76" i="10"/>
  <c r="Q76" i="10"/>
  <c r="X75" i="10"/>
  <c r="V75" i="10"/>
  <c r="Q75" i="10"/>
  <c r="AF38" i="10"/>
  <c r="AF37" i="10"/>
  <c r="AF36" i="10"/>
  <c r="AF35" i="10"/>
  <c r="AF34" i="10"/>
  <c r="AF33" i="10"/>
  <c r="AF32" i="10"/>
  <c r="AF31" i="10"/>
  <c r="AF30" i="10"/>
  <c r="AF29" i="10"/>
  <c r="AF28" i="10"/>
  <c r="AF27" i="10"/>
  <c r="AF26" i="10"/>
  <c r="AF25" i="10"/>
  <c r="AF24" i="10"/>
  <c r="AF23" i="10"/>
  <c r="AF22" i="10"/>
  <c r="AF21" i="10"/>
  <c r="AF20" i="10"/>
  <c r="AF19" i="10"/>
  <c r="AF18" i="10"/>
  <c r="AF17" i="10"/>
  <c r="AF16" i="10"/>
  <c r="AF15" i="10"/>
  <c r="AF14" i="10"/>
  <c r="AF13" i="10"/>
  <c r="AF12" i="10"/>
  <c r="AF11" i="10"/>
  <c r="AF10" i="10"/>
  <c r="AF9" i="10"/>
  <c r="AF8" i="10"/>
  <c r="AF7" i="10"/>
  <c r="AF6" i="10"/>
  <c r="AF5" i="10"/>
  <c r="AD3" i="10"/>
  <c r="AE3" i="10"/>
  <c r="J3" i="10"/>
  <c r="U3" i="10"/>
  <c r="S3" i="10"/>
  <c r="C4" i="1"/>
  <c r="D27" i="11"/>
  <c r="H33" i="11"/>
  <c r="E35" i="11"/>
  <c r="D35" i="11"/>
  <c r="C35" i="11"/>
  <c r="E34" i="11"/>
  <c r="D34" i="11"/>
  <c r="C34" i="11"/>
  <c r="B12" i="5"/>
  <c r="E33" i="11"/>
  <c r="D33" i="11"/>
  <c r="C33" i="11"/>
  <c r="E32" i="11"/>
  <c r="D32" i="11"/>
  <c r="C32" i="11"/>
  <c r="A32" i="1"/>
  <c r="E31" i="11"/>
  <c r="B32" i="1"/>
  <c r="D31" i="11"/>
  <c r="C32" i="1"/>
  <c r="C31" i="11"/>
  <c r="E30" i="11"/>
  <c r="D30" i="11"/>
  <c r="C30" i="11"/>
  <c r="B117" i="8"/>
  <c r="B87" i="8"/>
  <c r="B63" i="8"/>
  <c r="B36" i="8"/>
  <c r="B34" i="8"/>
  <c r="E62" i="8"/>
  <c r="B62" i="8"/>
  <c r="B23" i="5"/>
  <c r="B71" i="8"/>
  <c r="F19" i="2"/>
  <c r="F18" i="2"/>
  <c r="F20" i="2"/>
  <c r="D73" i="8"/>
  <c r="D29" i="1"/>
  <c r="B7" i="2"/>
  <c r="B93" i="8"/>
  <c r="L12" i="1"/>
  <c r="L11" i="1"/>
  <c r="L10" i="1"/>
  <c r="B76" i="8"/>
  <c r="B42" i="8"/>
  <c r="G36" i="8"/>
  <c r="G37" i="8"/>
  <c r="G38" i="8"/>
  <c r="G35" i="8"/>
  <c r="M24" i="8"/>
  <c r="M27" i="8"/>
  <c r="M28" i="8"/>
  <c r="M29" i="8"/>
  <c r="M26" i="8"/>
  <c r="G27" i="8"/>
  <c r="G24" i="8"/>
  <c r="B25" i="5"/>
  <c r="B61" i="5"/>
  <c r="F111" i="8"/>
  <c r="F79" i="8"/>
  <c r="B61" i="8"/>
  <c r="J41" i="8"/>
  <c r="G33" i="8"/>
  <c r="G29" i="8"/>
  <c r="B28" i="8"/>
  <c r="M25" i="8"/>
  <c r="F20" i="8"/>
  <c r="F10" i="8"/>
  <c r="F16" i="8"/>
  <c r="F19" i="8"/>
  <c r="B9" i="8"/>
  <c r="F4" i="8"/>
  <c r="F7" i="8"/>
  <c r="F2" i="8"/>
  <c r="B9" i="5"/>
  <c r="B30" i="6"/>
  <c r="B21" i="6"/>
  <c r="B35" i="2"/>
  <c r="D32" i="1"/>
  <c r="D3" i="3"/>
  <c r="B4" i="3"/>
  <c r="D4" i="3"/>
  <c r="A5" i="3"/>
  <c r="B5" i="3"/>
  <c r="D5" i="3"/>
  <c r="A6" i="3"/>
  <c r="B6" i="3"/>
  <c r="A7" i="3"/>
  <c r="B7" i="3"/>
  <c r="D7" i="3"/>
  <c r="C7" i="3"/>
  <c r="E7" i="3"/>
  <c r="D21" i="3"/>
  <c r="D8" i="3"/>
  <c r="C8" i="3"/>
  <c r="E8" i="3"/>
  <c r="D9" i="3"/>
  <c r="C9" i="3"/>
  <c r="E9" i="3"/>
  <c r="D10" i="3"/>
  <c r="C10" i="3"/>
  <c r="E10" i="3"/>
  <c r="D11" i="3"/>
  <c r="C11" i="3"/>
  <c r="E11" i="3"/>
  <c r="D12" i="3"/>
  <c r="C12" i="3"/>
  <c r="E12" i="3"/>
  <c r="D13" i="3"/>
  <c r="C13" i="3"/>
  <c r="E13" i="3"/>
  <c r="D14" i="3"/>
  <c r="C14" i="3"/>
  <c r="E14" i="3"/>
  <c r="D15" i="3"/>
  <c r="C15" i="3"/>
  <c r="E15" i="3"/>
  <c r="D16" i="3"/>
  <c r="C16" i="3"/>
  <c r="E16" i="3"/>
  <c r="D17" i="3"/>
  <c r="C17" i="3"/>
  <c r="E17" i="3"/>
  <c r="D18" i="3"/>
  <c r="C18" i="3"/>
  <c r="E18" i="3"/>
  <c r="D19" i="3"/>
  <c r="C19" i="3"/>
  <c r="E19" i="3"/>
  <c r="D20" i="3"/>
  <c r="C20" i="3"/>
  <c r="E20" i="3"/>
  <c r="C21" i="3"/>
  <c r="E21" i="3"/>
  <c r="B33" i="1"/>
  <c r="B64" i="8"/>
  <c r="B65" i="8"/>
  <c r="I93" i="8"/>
  <c r="E96" i="8"/>
  <c r="B103" i="8"/>
  <c r="B129" i="8"/>
  <c r="B14" i="6"/>
  <c r="B32" i="8"/>
  <c r="B33" i="8"/>
  <c r="I77" i="8"/>
  <c r="I75" i="8"/>
</calcChain>
</file>

<file path=xl/sharedStrings.xml><?xml version="1.0" encoding="utf-8"?>
<sst xmlns="http://schemas.openxmlformats.org/spreadsheetml/2006/main" count="1924" uniqueCount="713">
  <si>
    <t>Optimisation d'étagement</t>
  </si>
  <si>
    <t>CU (kg)</t>
  </si>
  <si>
    <t>Terre</t>
  </si>
  <si>
    <t>Apogée (km)</t>
  </si>
  <si>
    <t>Puls. Sidérale (rad/s)</t>
  </si>
  <si>
    <t>Périgée (km)</t>
  </si>
  <si>
    <t>Re (m)</t>
  </si>
  <si>
    <t>Inclinaison (°)</t>
  </si>
  <si>
    <t>Rp (m)</t>
  </si>
  <si>
    <t>mu (m^3/s^2)</t>
  </si>
  <si>
    <t>Isp* (s)</t>
  </si>
  <si>
    <t>k (%)</t>
  </si>
  <si>
    <t>g0 (m/s^2)</t>
  </si>
  <si>
    <t>Tir de Kourou</t>
  </si>
  <si>
    <t>Latitude (°)</t>
  </si>
  <si>
    <t>Vi (m/s)</t>
  </si>
  <si>
    <t>Vf (m/s)</t>
  </si>
  <si>
    <t>Azimut de tir (°)</t>
  </si>
  <si>
    <t>Pertes (m/s)</t>
  </si>
  <si>
    <t>DV requis (m/s)</t>
  </si>
  <si>
    <t>b3</t>
  </si>
  <si>
    <t>Omega3</t>
  </si>
  <si>
    <t>Omega2</t>
  </si>
  <si>
    <t>Omega1</t>
  </si>
  <si>
    <t>b2</t>
  </si>
  <si>
    <t>b1</t>
  </si>
  <si>
    <t>a3</t>
  </si>
  <si>
    <t>a2</t>
  </si>
  <si>
    <t>a1</t>
  </si>
  <si>
    <t>Cahier des charges</t>
  </si>
  <si>
    <t>DV (m/s)</t>
  </si>
  <si>
    <t>Mi3 (kg)</t>
  </si>
  <si>
    <t>Mi2 (kg)</t>
  </si>
  <si>
    <t>Mi1 (kg)</t>
  </si>
  <si>
    <t>me3 (kg)</t>
  </si>
  <si>
    <t>me2 (kg)</t>
  </si>
  <si>
    <t>me1 (kg)</t>
  </si>
  <si>
    <t>ms3 (kg)</t>
  </si>
  <si>
    <t>ms2 (kg)</t>
  </si>
  <si>
    <t>ms1 (kg)</t>
  </si>
  <si>
    <t>Total (T)</t>
  </si>
  <si>
    <t>Masses au décollage</t>
  </si>
  <si>
    <t>Masses d'ergols</t>
  </si>
  <si>
    <t>Etage</t>
  </si>
  <si>
    <t>1 (P)</t>
  </si>
  <si>
    <t>2 (P)</t>
  </si>
  <si>
    <t>3 (H)</t>
  </si>
  <si>
    <t>Isp(sol) (s)</t>
  </si>
  <si>
    <t>Isp(vide) (s)</t>
  </si>
  <si>
    <t>Envoyer résultats à</t>
  </si>
  <si>
    <t>alain.dufour@astrium.eads.net</t>
  </si>
  <si>
    <t>Masses de structure</t>
  </si>
  <si>
    <t>Coeff de rendement</t>
  </si>
  <si>
    <t xml:space="preserve"> </t>
  </si>
  <si>
    <t>Indice</t>
  </si>
  <si>
    <t>Dimensionnement moteur</t>
  </si>
  <si>
    <t>Accélération au décollage</t>
  </si>
  <si>
    <t>m/s^2</t>
  </si>
  <si>
    <t>Accélération max</t>
  </si>
  <si>
    <t>g</t>
  </si>
  <si>
    <t>Force au décollage</t>
  </si>
  <si>
    <t>N</t>
  </si>
  <si>
    <t>Sigma</t>
  </si>
  <si>
    <t>p. 82</t>
  </si>
  <si>
    <t>-</t>
  </si>
  <si>
    <t>Section tuyère/Section col (As/Ac)</t>
  </si>
  <si>
    <t>C*</t>
  </si>
  <si>
    <t>m/s</t>
  </si>
  <si>
    <t>Q</t>
  </si>
  <si>
    <t>kg/s</t>
  </si>
  <si>
    <t>Pc</t>
  </si>
  <si>
    <t>Pa</t>
  </si>
  <si>
    <t>Rendement C*</t>
  </si>
  <si>
    <t>Tcu</t>
  </si>
  <si>
    <t>s</t>
  </si>
  <si>
    <t>Débit au décollage</t>
  </si>
  <si>
    <t>kg</t>
  </si>
  <si>
    <t>Q2</t>
  </si>
  <si>
    <t>fabrice.martin@astrium.eads.net</t>
  </si>
  <si>
    <t>Vitesse de combustion</t>
  </si>
  <si>
    <t>Masse volumique combustible</t>
  </si>
  <si>
    <t>kg/m^3</t>
  </si>
  <si>
    <t>Volume de combustible</t>
  </si>
  <si>
    <t>m^3</t>
  </si>
  <si>
    <t>Hauteur</t>
  </si>
  <si>
    <t>m</t>
  </si>
  <si>
    <t>Diamètre</t>
  </si>
  <si>
    <t>mm/s</t>
  </si>
  <si>
    <t>Doit être compris entre 7 et 20</t>
  </si>
  <si>
    <t>s. 34</t>
  </si>
  <si>
    <t>t</t>
  </si>
  <si>
    <t>q</t>
  </si>
  <si>
    <t>Dessin de la tuyère</t>
  </si>
  <si>
    <t>Premier étage</t>
  </si>
  <si>
    <t>Loi de débit</t>
  </si>
  <si>
    <t>y+</t>
  </si>
  <si>
    <t>y-</t>
  </si>
  <si>
    <t>Angle divergent</t>
  </si>
  <si>
    <t>°</t>
  </si>
  <si>
    <t>p. 17</t>
  </si>
  <si>
    <t>Eb/D</t>
  </si>
  <si>
    <t>Cr</t>
  </si>
  <si>
    <t>Entre 0,6 et 0,9</t>
  </si>
  <si>
    <t>Entre 0,85 et 0,95</t>
  </si>
  <si>
    <t>Entre 1780 et 1820</t>
  </si>
  <si>
    <t>p. 15</t>
  </si>
  <si>
    <t>Volume du propulseur</t>
  </si>
  <si>
    <t>Diamètre du col</t>
  </si>
  <si>
    <t>s. 35</t>
  </si>
  <si>
    <t>Entre 16 et 22</t>
  </si>
  <si>
    <t>Diamètre sortie tuyère</t>
  </si>
  <si>
    <t>Section col</t>
  </si>
  <si>
    <t>m^2</t>
  </si>
  <si>
    <t>Section sortie tuyère</t>
  </si>
  <si>
    <t>Longueur tuyère</t>
  </si>
  <si>
    <t>x (suivant l'axe)</t>
  </si>
  <si>
    <t>Rc</t>
  </si>
  <si>
    <t>Rs</t>
  </si>
  <si>
    <t>L</t>
  </si>
  <si>
    <t>Rayon col</t>
  </si>
  <si>
    <t>Rayon sortie</t>
  </si>
  <si>
    <t>Hauteur cylindre</t>
  </si>
  <si>
    <t>Q a dimensionner pour avoir entre 5 et 10 m/s</t>
  </si>
  <si>
    <t>Acceleration</t>
  </si>
  <si>
    <t>entre 5 et 10</t>
  </si>
  <si>
    <t>m/s²</t>
  </si>
  <si>
    <t>Pression au col (entre 50 et 100)</t>
  </si>
  <si>
    <t>s. 13</t>
  </si>
  <si>
    <t>Entre 20 et 25</t>
  </si>
  <si>
    <t>Section col Ac</t>
  </si>
  <si>
    <t>Diamètre du col Dc</t>
  </si>
  <si>
    <t>Longeur caratéristique L*</t>
  </si>
  <si>
    <t>Longueur chambre Lch</t>
  </si>
  <si>
    <t>Entre 0,76 et 1,02</t>
  </si>
  <si>
    <t>s.27</t>
  </si>
  <si>
    <t>Entre 25 et 30</t>
  </si>
  <si>
    <t>s. 28</t>
  </si>
  <si>
    <t>entre 20 et 25 s.35…</t>
  </si>
  <si>
    <t>Tfin</t>
  </si>
  <si>
    <t>Entre 22 et 92</t>
  </si>
  <si>
    <t>s.31</t>
  </si>
  <si>
    <t>Lch=L*. Ac/Ach</t>
  </si>
  <si>
    <t>Etage 3: Bloc liquide (Cryogénique) = LOX/LH2</t>
  </si>
  <si>
    <t>gamma</t>
  </si>
  <si>
    <t>Fluide He</t>
  </si>
  <si>
    <t>p.43</t>
  </si>
  <si>
    <t>Section chambre Ach</t>
  </si>
  <si>
    <t>Informations p.50</t>
  </si>
  <si>
    <t xml:space="preserve">Accélération </t>
  </si>
  <si>
    <t>s. 26</t>
  </si>
  <si>
    <t>p. 92</t>
  </si>
  <si>
    <t>Temps de fonctionnement</t>
  </si>
  <si>
    <t>Section sortie tuyère As</t>
  </si>
  <si>
    <t>COMBURANT      O²</t>
  </si>
  <si>
    <t>COMBUSTIBLE   H²</t>
  </si>
  <si>
    <t>Masse</t>
  </si>
  <si>
    <t xml:space="preserve">Masse volumique </t>
  </si>
  <si>
    <t>Masse volumique</t>
  </si>
  <si>
    <t>Rm</t>
  </si>
  <si>
    <t>Volume liquide</t>
  </si>
  <si>
    <t>Volume de réservoir</t>
  </si>
  <si>
    <t xml:space="preserve">Volume des équipements dans le res. </t>
  </si>
  <si>
    <t>Négligeable</t>
  </si>
  <si>
    <t>Volume du reservoir</t>
  </si>
  <si>
    <t>ARBITRAIRE</t>
  </si>
  <si>
    <t>Etage 1 : Bloc solide (Finocyl)</t>
  </si>
  <si>
    <t>Forme du reservoir à revoir</t>
  </si>
  <si>
    <t>Cylindre</t>
  </si>
  <si>
    <t>Tcu calculé en fct de Q</t>
  </si>
  <si>
    <t>Q en fct de l'acc</t>
  </si>
  <si>
    <t>calcul à tcu/3, Verif: &lt;5g</t>
  </si>
  <si>
    <t>Lien coiffe</t>
  </si>
  <si>
    <t>Forme reservoir à determiner.</t>
  </si>
  <si>
    <t>Etage 2: Bloc solide (Asymétrique)</t>
  </si>
  <si>
    <t>Type choisi:  Asymétrique ( Plus économique)</t>
  </si>
  <si>
    <t>Loi de surface variable.</t>
  </si>
  <si>
    <t>Hauteur totale</t>
  </si>
  <si>
    <t>Rayon nez</t>
  </si>
  <si>
    <t>Dvolume</t>
  </si>
  <si>
    <t>Hvolume</t>
  </si>
  <si>
    <t>Angle du cône (epsilon)</t>
  </si>
  <si>
    <t>Etage 2</t>
  </si>
  <si>
    <t>Même que la coiffe</t>
  </si>
  <si>
    <t>Coefficient de remplissage Entre 0,85 et 0,95</t>
  </si>
  <si>
    <t>Volume de propulseur</t>
  </si>
  <si>
    <t>Angle de déboitement au décollage</t>
  </si>
  <si>
    <t>p. 56, poly 3</t>
  </si>
  <si>
    <t>Distance plan de séparation / Plan de sortie tuyère</t>
  </si>
  <si>
    <t>Longueur jupe</t>
  </si>
  <si>
    <t>Distance plan de séparation / Reservoir</t>
  </si>
  <si>
    <t>Etage 1</t>
  </si>
  <si>
    <t>d</t>
  </si>
  <si>
    <t>TODO</t>
  </si>
  <si>
    <t>Avoir lu le poly en détail</t>
  </si>
  <si>
    <t>Théorie des coeff transverses</t>
  </si>
  <si>
    <t>NB</t>
  </si>
  <si>
    <t>Sommation des coeff aero possible ssi:</t>
  </si>
  <si>
    <t>même surface de ref</t>
  </si>
  <si>
    <t>Géométrie externe</t>
  </si>
  <si>
    <t>même longueurs de ref (pour les moments)</t>
  </si>
  <si>
    <t>Calcul des coeff de force axials</t>
  </si>
  <si>
    <t>même point de ref (pour les moments)</t>
  </si>
  <si>
    <t>Pour les moments,</t>
  </si>
  <si>
    <t>ATTENTION aux points où sont calculés les moments dans les abaques</t>
  </si>
  <si>
    <t>Avoir l'œil critique</t>
  </si>
  <si>
    <t>Epsilon</t>
  </si>
  <si>
    <t>Répondre à la mission</t>
  </si>
  <si>
    <t>CA</t>
  </si>
  <si>
    <t>CN</t>
  </si>
  <si>
    <t>Hypothèses</t>
  </si>
  <si>
    <t>Centre de pousse = Foyer</t>
  </si>
  <si>
    <t>Les abaques pour les cones ne sont donnees que pour le cone</t>
  </si>
  <si>
    <t>Sref : base du  cone</t>
  </si>
  <si>
    <t>Point des moments : nez du cone</t>
  </si>
  <si>
    <t>Mach</t>
  </si>
  <si>
    <t>Satellites</t>
  </si>
  <si>
    <t>ASTRA 3A</t>
  </si>
  <si>
    <t>NSS-9</t>
  </si>
  <si>
    <t>AMC21</t>
  </si>
  <si>
    <t>Diamètre équivalent (m)</t>
  </si>
  <si>
    <t>Hauteur (m)</t>
  </si>
  <si>
    <t>MAX</t>
  </si>
  <si>
    <t>DB</t>
  </si>
  <si>
    <t>PB</t>
  </si>
  <si>
    <t>OC</t>
  </si>
  <si>
    <t>tan(epsilon)</t>
  </si>
  <si>
    <t>OT</t>
  </si>
  <si>
    <t>OB</t>
  </si>
  <si>
    <t>OP</t>
  </si>
  <si>
    <t>PC</t>
  </si>
  <si>
    <t>CB</t>
  </si>
  <si>
    <t>Rapport Hauteur/Diametre</t>
  </si>
  <si>
    <t>Hauteur de réservoir</t>
  </si>
  <si>
    <t>Hauteur de structure</t>
  </si>
  <si>
    <t>Hauteur structure</t>
  </si>
  <si>
    <t>CA, Cna, Cma, XCP en fonction de M</t>
  </si>
  <si>
    <t>p.12/36 poly dimensionnement aéro</t>
  </si>
  <si>
    <t>Doit être utilisable par des vrais gens de l'aéro</t>
  </si>
  <si>
    <t>Contact aéro</t>
  </si>
  <si>
    <t>ronan</t>
  </si>
  <si>
    <t>guillaume</t>
  </si>
  <si>
    <t>Justification coiffe</t>
  </si>
  <si>
    <t>Indiquer clairement points et surfaces de référence</t>
  </si>
  <si>
    <t>Xcp</t>
  </si>
  <si>
    <t>Jupe</t>
  </si>
  <si>
    <t>Kp</t>
  </si>
  <si>
    <t>r</t>
  </si>
  <si>
    <t>R</t>
  </si>
  <si>
    <t>Sref</t>
  </si>
  <si>
    <t>altitude (km)</t>
  </si>
  <si>
    <t>Re*/l</t>
  </si>
  <si>
    <t>mach</t>
  </si>
  <si>
    <t>altitude (m)</t>
  </si>
  <si>
    <t>Re</t>
  </si>
  <si>
    <t>Altitude</t>
  </si>
  <si>
    <t>Lfrot</t>
  </si>
  <si>
    <t>Cône + Cylindre</t>
  </si>
  <si>
    <t>x/D</t>
  </si>
  <si>
    <t>d/D</t>
  </si>
  <si>
    <t>Cône émoussé</t>
  </si>
  <si>
    <t>Etage 3</t>
  </si>
  <si>
    <t>Point de référence des moments</t>
  </si>
  <si>
    <t>Bout de la coiffe</t>
  </si>
  <si>
    <t>Hauteur cône (SB)</t>
  </si>
  <si>
    <t>Lref</t>
  </si>
  <si>
    <t>Cmα</t>
  </si>
  <si>
    <t>CNα</t>
  </si>
  <si>
    <t>Coiffe</t>
  </si>
  <si>
    <t>Cone et Cylindre</t>
  </si>
  <si>
    <t>Cone seul (d/D=0 et theta=10)</t>
  </si>
  <si>
    <t>Entre 12 et 20</t>
  </si>
  <si>
    <t xml:space="preserve">Rapport </t>
  </si>
  <si>
    <t>Pression chambre</t>
  </si>
  <si>
    <t>Pression col</t>
  </si>
  <si>
    <t xml:space="preserve">LOX/LH2 </t>
  </si>
  <si>
    <t>m3</t>
  </si>
  <si>
    <t xml:space="preserve">Pourcentage </t>
  </si>
  <si>
    <t>Rayon reel</t>
  </si>
  <si>
    <t xml:space="preserve">Rayon virtuel </t>
  </si>
  <si>
    <t>Valeur cible</t>
  </si>
  <si>
    <t xml:space="preserve">Rayon cylindre  </t>
  </si>
  <si>
    <t xml:space="preserve">Hauteur cylindre </t>
  </si>
  <si>
    <t xml:space="preserve">Volume cylindre </t>
  </si>
  <si>
    <t xml:space="preserve">Rayon fond </t>
  </si>
  <si>
    <t xml:space="preserve">Hauteur fond </t>
  </si>
  <si>
    <t xml:space="preserve">Volume fond </t>
  </si>
  <si>
    <t>Réservoir sphérique LOX (supérieur)</t>
  </si>
  <si>
    <t>nbre de reservoirs</t>
  </si>
  <si>
    <t>Rayon d'une sphère</t>
  </si>
  <si>
    <t>X réservoirs sphériques LH2(inf)</t>
  </si>
  <si>
    <t xml:space="preserve">Réservoir cylindrique LOX (sup) </t>
  </si>
  <si>
    <t>Réservoir cylindrique LOX (sup)</t>
  </si>
  <si>
    <t>Sm    (Surface mouillée)</t>
  </si>
  <si>
    <t>Rayon interne tore ( r )</t>
  </si>
  <si>
    <t>Rayon du tore ( R)</t>
  </si>
  <si>
    <t>Jupe arrière</t>
  </si>
  <si>
    <t>D3</t>
  </si>
  <si>
    <t>D1</t>
  </si>
  <si>
    <t>D4</t>
  </si>
  <si>
    <t>D5</t>
  </si>
  <si>
    <t>D6</t>
  </si>
  <si>
    <t>Ratio L/D</t>
  </si>
  <si>
    <t>entre 10 et 14</t>
  </si>
  <si>
    <t>D5'</t>
  </si>
  <si>
    <t>D4'</t>
  </si>
  <si>
    <t>D3'</t>
  </si>
  <si>
    <t>D1'</t>
  </si>
  <si>
    <t>D6'</t>
  </si>
  <si>
    <t>Rayon chambre</t>
  </si>
  <si>
    <t>Vérif angle de déboitement (Détage fixé)</t>
  </si>
  <si>
    <t>Vérif Détage (Angle déboit. 15°)</t>
  </si>
  <si>
    <t>Jupe avant</t>
  </si>
  <si>
    <t>Etage 3   - LOX/LH2</t>
  </si>
  <si>
    <t>Valeurs initiales (boucle)</t>
  </si>
  <si>
    <t>Hauteur totale étage avec jupes</t>
  </si>
  <si>
    <t>Diametre étage 3</t>
  </si>
  <si>
    <t>Hauteur totale reservoirs liquides</t>
  </si>
  <si>
    <t>Etage 1 - Solide</t>
  </si>
  <si>
    <t>Etage 2 - Solide</t>
  </si>
  <si>
    <t>Rayon sphère</t>
  </si>
  <si>
    <t>Hauteur res</t>
  </si>
  <si>
    <t xml:space="preserve">Hauteur tot </t>
  </si>
  <si>
    <t>p. 56/124, poly 3</t>
  </si>
  <si>
    <t>Solution 4 reservoirs cylindriques LH2 (inf) (avec LOX cylindrique au milieu)</t>
  </si>
  <si>
    <t>SOLUTIONS NON RETENUES:</t>
  </si>
  <si>
    <t>Chargement</t>
  </si>
  <si>
    <t>Corps de propulseur</t>
  </si>
  <si>
    <t>Propulseur mécanique</t>
  </si>
  <si>
    <t>Masse d'ergols</t>
  </si>
  <si>
    <t xml:space="preserve">kg </t>
  </si>
  <si>
    <t>Masse jupe arrière</t>
  </si>
  <si>
    <t>Ensemble arrière</t>
  </si>
  <si>
    <t>Mp</t>
  </si>
  <si>
    <t>Mt</t>
  </si>
  <si>
    <t>Aménagements internes</t>
  </si>
  <si>
    <t>Mai</t>
  </si>
  <si>
    <t>Allumeur</t>
  </si>
  <si>
    <t>Mdall</t>
  </si>
  <si>
    <t>Jupes</t>
  </si>
  <si>
    <t>Kmat</t>
  </si>
  <si>
    <t>Aluminium</t>
  </si>
  <si>
    <t>Kouv</t>
  </si>
  <si>
    <t>Kchg1</t>
  </si>
  <si>
    <t>Charge ordinaire</t>
  </si>
  <si>
    <t>Kchg2</t>
  </si>
  <si>
    <t>Pas d'effort concentré</t>
  </si>
  <si>
    <t>Sjupe avant</t>
  </si>
  <si>
    <t>Masse jupe avant</t>
  </si>
  <si>
    <t>m2</t>
  </si>
  <si>
    <t>Sjupe arrière</t>
  </si>
  <si>
    <t>Kconcept1</t>
  </si>
  <si>
    <t>Conception actuelle ou plus ancienne</t>
  </si>
  <si>
    <t>Supports</t>
  </si>
  <si>
    <t>Membasse</t>
  </si>
  <si>
    <t>Equipements</t>
  </si>
  <si>
    <t>Mavionique</t>
  </si>
  <si>
    <t>TVC</t>
  </si>
  <si>
    <r>
      <t>M</t>
    </r>
    <r>
      <rPr>
        <sz val="8"/>
        <rFont val="Verdana"/>
        <family val="2"/>
      </rPr>
      <t>TVC</t>
    </r>
  </si>
  <si>
    <t>Indice de performance</t>
  </si>
  <si>
    <t>km</t>
  </si>
  <si>
    <t>Pression de dimensionnement=Pression chambre????</t>
  </si>
  <si>
    <t>Epaisseur jupettes</t>
  </si>
  <si>
    <t>Longeur jupette</t>
  </si>
  <si>
    <t>Pc: Pression de combustion= Pression chambre?</t>
  </si>
  <si>
    <t>D: diametre du propulseur</t>
  </si>
  <si>
    <t>masse jupette</t>
  </si>
  <si>
    <t>Moteur</t>
  </si>
  <si>
    <t>Etage 3 - LOX/LH2</t>
  </si>
  <si>
    <t>F</t>
  </si>
  <si>
    <t>kN</t>
  </si>
  <si>
    <t>f</t>
  </si>
  <si>
    <t>Reservoirs</t>
  </si>
  <si>
    <t>Kamen</t>
  </si>
  <si>
    <t>Mres</t>
  </si>
  <si>
    <t>Structure ordinaire</t>
  </si>
  <si>
    <t>Conception actuelle</t>
  </si>
  <si>
    <t>Pressurisation</t>
  </si>
  <si>
    <t>Pt</t>
  </si>
  <si>
    <t>Vt</t>
  </si>
  <si>
    <t>Mmol</t>
  </si>
  <si>
    <t>Tg</t>
  </si>
  <si>
    <t>Pr</t>
  </si>
  <si>
    <t>Tr</t>
  </si>
  <si>
    <t>Ms</t>
  </si>
  <si>
    <t>Ergols</t>
  </si>
  <si>
    <t>M ergols</t>
  </si>
  <si>
    <t>Systèmes d'alimentation</t>
  </si>
  <si>
    <t>kg/m</t>
  </si>
  <si>
    <t>Mlinéique pres oxydant</t>
  </si>
  <si>
    <t>Mlinéique pres reducteur</t>
  </si>
  <si>
    <t>Mlinéque alim oxydant</t>
  </si>
  <si>
    <t>Mlinéique alim réducteur</t>
  </si>
  <si>
    <t>Mvannes</t>
  </si>
  <si>
    <t>Mantipogo</t>
  </si>
  <si>
    <t>Msupplémentaire</t>
  </si>
  <si>
    <t>Longueur</t>
  </si>
  <si>
    <t>Bati moteur</t>
  </si>
  <si>
    <t>Kmat-la</t>
  </si>
  <si>
    <t>Tvide</t>
  </si>
  <si>
    <t>Phi</t>
  </si>
  <si>
    <t>Concept actuel</t>
  </si>
  <si>
    <t>Mbm (non équipé)</t>
  </si>
  <si>
    <t>g=go??????</t>
  </si>
  <si>
    <t>Mbm (équipé)</t>
  </si>
  <si>
    <t>Inter-reservoirs</t>
  </si>
  <si>
    <t>Sjupe inter-reservoir</t>
  </si>
  <si>
    <t>Masse jupe inter-res</t>
  </si>
  <si>
    <t>Pas d'ouvertur pour la jupe arrière</t>
  </si>
  <si>
    <t>Mequipements</t>
  </si>
  <si>
    <t>Supports réservoirs et/ou sphères pressurisation + équipements</t>
  </si>
  <si>
    <t>Msupports réservoirs</t>
  </si>
  <si>
    <t>Msupports sphères de pres</t>
  </si>
  <si>
    <t>Thrust Vector Control</t>
  </si>
  <si>
    <t>Reservoir verins</t>
  </si>
  <si>
    <t>Nbrs de moteurs</t>
  </si>
  <si>
    <t>Vérins</t>
  </si>
  <si>
    <t>Accessoires associés</t>
  </si>
  <si>
    <t>Mcoiffe</t>
  </si>
  <si>
    <t>ACU</t>
  </si>
  <si>
    <r>
      <t>M</t>
    </r>
    <r>
      <rPr>
        <sz val="8"/>
        <rFont val="Verdana"/>
        <family val="2"/>
      </rPr>
      <t>ACU</t>
    </r>
  </si>
  <si>
    <t>Case à équipements</t>
  </si>
  <si>
    <t>Mcase</t>
  </si>
  <si>
    <t>Scase</t>
  </si>
  <si>
    <t>TOTAL Etage 2</t>
  </si>
  <si>
    <t>TOTAL Etage 1</t>
  </si>
  <si>
    <t>Mlanceur sans marge</t>
  </si>
  <si>
    <t>Mlanceur avec marge</t>
  </si>
  <si>
    <t>Pression interne Combustible LH2</t>
  </si>
  <si>
    <t>Pression interne Comburant  LOX</t>
  </si>
  <si>
    <t>Ti H2</t>
  </si>
  <si>
    <t>K</t>
  </si>
  <si>
    <t>Ti GOX</t>
  </si>
  <si>
    <t>Te H2</t>
  </si>
  <si>
    <t>Te GOX</t>
  </si>
  <si>
    <t>T H2</t>
  </si>
  <si>
    <t>T GOX</t>
  </si>
  <si>
    <t>Mhélium pressurisé pour LH2</t>
  </si>
  <si>
    <t>Mhélium pressurisé pour LOX</t>
  </si>
  <si>
    <t>Vres_hélium pour LH2</t>
  </si>
  <si>
    <t>Vres_hélium pour LOX</t>
  </si>
  <si>
    <t>Vres_hélium total</t>
  </si>
  <si>
    <t>Mhélium totale</t>
  </si>
  <si>
    <r>
      <t xml:space="preserve">PRESSURISATION </t>
    </r>
    <r>
      <rPr>
        <i/>
        <sz val="10"/>
        <rFont val="Verdana"/>
        <family val="2"/>
      </rPr>
      <t>par l'Hélium</t>
    </r>
  </si>
  <si>
    <t>p. 40</t>
  </si>
  <si>
    <t>LH2</t>
  </si>
  <si>
    <t>LOX</t>
  </si>
  <si>
    <t>g/mol</t>
  </si>
  <si>
    <t>mgp non majorée</t>
  </si>
  <si>
    <t>mgp majorée</t>
  </si>
  <si>
    <t>M=VresLH2*massevolumiqueH</t>
  </si>
  <si>
    <t>X reservoirs cylindriques (inf)</t>
  </si>
  <si>
    <t>Nbre reservoirs</t>
  </si>
  <si>
    <r>
      <t>J mol</t>
    </r>
    <r>
      <rPr>
        <vertAlign val="superscript"/>
        <sz val="10"/>
        <rFont val="Verdana"/>
        <family val="2"/>
      </rPr>
      <t>-1</t>
    </r>
    <r>
      <rPr>
        <sz val="10"/>
        <rFont val="Verdana"/>
        <family val="2"/>
      </rPr>
      <t xml:space="preserve"> K</t>
    </r>
    <r>
      <rPr>
        <vertAlign val="superscript"/>
        <sz val="10"/>
        <rFont val="Verdana"/>
        <family val="2"/>
      </rPr>
      <t>-1</t>
    </r>
  </si>
  <si>
    <t>Identique à  mgp</t>
  </si>
  <si>
    <t>Mtotal Hélium</t>
  </si>
  <si>
    <t>cs</t>
  </si>
  <si>
    <t>Vsphère</t>
  </si>
  <si>
    <t>Efforts généraux</t>
  </si>
  <si>
    <t>Trajectoire</t>
  </si>
  <si>
    <t>Soutenances</t>
  </si>
  <si>
    <t>45min/grp</t>
  </si>
  <si>
    <t>20min exposé</t>
  </si>
  <si>
    <t>20min de questions</t>
  </si>
  <si>
    <t>5min délibération</t>
  </si>
  <si>
    <t>Rapport : pdf par mail &lt; minuit Environ 30pages Envoyer éventuellement Matlab</t>
  </si>
  <si>
    <t>Sommaire Rapport</t>
  </si>
  <si>
    <t>1. Cahier des charges</t>
  </si>
  <si>
    <t>Configuration proposée</t>
  </si>
  <si>
    <t>2. Etagement</t>
  </si>
  <si>
    <t>Justif des choix</t>
  </si>
  <si>
    <t>3. Propulsion</t>
  </si>
  <si>
    <t>EP1</t>
  </si>
  <si>
    <t>EP2</t>
  </si>
  <si>
    <t>EP3</t>
  </si>
  <si>
    <t>me</t>
  </si>
  <si>
    <t>ms</t>
  </si>
  <si>
    <t>tc</t>
  </si>
  <si>
    <t>Isv</t>
  </si>
  <si>
    <t>Section sortie</t>
  </si>
  <si>
    <t>5. Aérodynamique</t>
  </si>
  <si>
    <t>4. Architecture/Bilan de masses</t>
  </si>
  <si>
    <r>
      <t>Annexes (</t>
    </r>
    <r>
      <rPr>
        <b/>
        <sz val="10"/>
        <rFont val="Verdana"/>
        <family val="2"/>
      </rPr>
      <t>pas besoin de 8 chiffres après la virgule!!!</t>
    </r>
    <r>
      <rPr>
        <sz val="10"/>
        <rFont val="Verdana"/>
        <family val="2"/>
      </rPr>
      <t>)</t>
    </r>
  </si>
  <si>
    <t>6. Trajectoire/Perfo/Pertes</t>
  </si>
  <si>
    <t>CNα (/deg)</t>
  </si>
  <si>
    <t>Cmα (/deg)</t>
  </si>
  <si>
    <t xml:space="preserve">Nombreuses ouvertures </t>
  </si>
  <si>
    <t>Dimension case à équipement: 1m de hauteur</t>
  </si>
  <si>
    <t>TOTAL Partie supérieure</t>
  </si>
  <si>
    <t>Poussée étage 3</t>
  </si>
  <si>
    <t>Mmoteur</t>
  </si>
  <si>
    <t>Kouv LOX</t>
  </si>
  <si>
    <t>Pas d'ouverture car reservoir petit</t>
  </si>
  <si>
    <t>Kouv LH2</t>
  </si>
  <si>
    <t>Nombreuses ouvertures</t>
  </si>
  <si>
    <t>Vres LOX</t>
  </si>
  <si>
    <t>Vres LH2</t>
  </si>
  <si>
    <t>Mres LOX</t>
  </si>
  <si>
    <t>Mres LH2</t>
  </si>
  <si>
    <t>Non considéré</t>
  </si>
  <si>
    <t>auto regénérescence</t>
  </si>
  <si>
    <t>Pression de stockage</t>
  </si>
  <si>
    <t>Pas besoin de réchauffer</t>
  </si>
  <si>
    <t>Mligne  pres oxydant LOX</t>
  </si>
  <si>
    <t>Mligne  pres réducteur LH2</t>
  </si>
  <si>
    <t>Mligne alim oxydant LOX</t>
  </si>
  <si>
    <t>Mligne alim reducteur LH2</t>
  </si>
  <si>
    <t>Nombre de lignes</t>
  </si>
  <si>
    <t>Anti-vortex, anti ballottements …</t>
  </si>
  <si>
    <t>Ouverture homme</t>
  </si>
  <si>
    <t>Surface mouillée</t>
  </si>
  <si>
    <t>Pousse à vide</t>
  </si>
  <si>
    <t>Interétage</t>
  </si>
  <si>
    <t>du LOX uniqument car pas structural</t>
  </si>
  <si>
    <t xml:space="preserve">avec L: Hauteur totale du lanceur. </t>
  </si>
  <si>
    <t>Avionique totALE DU LANCEUR!!!</t>
  </si>
  <si>
    <t>Masse ergols</t>
  </si>
  <si>
    <t>TOTAL Etage 3</t>
  </si>
  <si>
    <t>Masse seche étage 3</t>
  </si>
  <si>
    <t>Capacité métallique</t>
  </si>
  <si>
    <t>Mpropulseur</t>
  </si>
  <si>
    <t>Pression de dimensionnement=Pression chambre????/ sortie tuyère et col</t>
  </si>
  <si>
    <t>Densité matériau</t>
  </si>
  <si>
    <t>kg/m3</t>
  </si>
  <si>
    <t>Composite graphite/epoxy</t>
  </si>
  <si>
    <t>Masse jupette</t>
  </si>
  <si>
    <t>D: Diametre du propulseur=Diametre de l'étage car structural</t>
  </si>
  <si>
    <t>L: Longueur du propulseur</t>
  </si>
  <si>
    <t xml:space="preserve"> égal à Etage car reservoir structuraux</t>
  </si>
  <si>
    <t>Nombreuse ouvertures</t>
  </si>
  <si>
    <t>enlever tout support</t>
  </si>
  <si>
    <t>Msuportée</t>
  </si>
  <si>
    <t>Masse supportée = Mcorps propulseur + Mchargement + Mallumeur + Maménagement interne + Mensemble arrière + Mequipements + Membases</t>
  </si>
  <si>
    <t>Msupports</t>
  </si>
  <si>
    <t>Masse de l'étage</t>
  </si>
  <si>
    <t>Masse seche étage 2</t>
  </si>
  <si>
    <t>densité matériau</t>
  </si>
  <si>
    <t>D diametre propulseur</t>
  </si>
  <si>
    <t>Membase</t>
  </si>
  <si>
    <t xml:space="preserve"> masse capacité = masse propulseur</t>
  </si>
  <si>
    <t>Kouv jupes avant</t>
  </si>
  <si>
    <t>Kouv jupes arrière</t>
  </si>
  <si>
    <t>Msupportée</t>
  </si>
  <si>
    <t>Masse seche étage 1</t>
  </si>
  <si>
    <t>tonnes</t>
  </si>
  <si>
    <t>Tstockage</t>
  </si>
  <si>
    <t>Pstockage</t>
  </si>
  <si>
    <t>Jupe inter coiffe-case à équipements</t>
  </si>
  <si>
    <t>CATIA</t>
  </si>
  <si>
    <t>Hauteur cone émoussé</t>
  </si>
  <si>
    <t>Réservoir cylindrique LH2 (superieur) RETENUE</t>
  </si>
  <si>
    <t>Réservoir torique LOX (inférieur) RETENUE</t>
  </si>
  <si>
    <t>Rayon cylindre</t>
  </si>
  <si>
    <t>Volume cyclindre</t>
  </si>
  <si>
    <t>Sphères de pressurisation</t>
  </si>
  <si>
    <t>Volume fond</t>
  </si>
  <si>
    <t>Nombre de sphères pres LOX</t>
  </si>
  <si>
    <t>Rayon d'une sphère pres LOX</t>
  </si>
  <si>
    <t>Nombre de sphères pres LH2</t>
  </si>
  <si>
    <t>Plus pris en compte</t>
  </si>
  <si>
    <t>Rayon d'une sphère pres LH2</t>
  </si>
  <si>
    <t xml:space="preserve">Choix regénérescence. </t>
  </si>
  <si>
    <t>Différence interd-étage</t>
  </si>
  <si>
    <t>Lignes d'alimentation</t>
  </si>
  <si>
    <t>Angle inter-etage</t>
  </si>
  <si>
    <t>Longueur ligne LOX</t>
  </si>
  <si>
    <t>Longueur 3-coiffe oblique</t>
  </si>
  <si>
    <t>Longueur d'une ligne LH2</t>
  </si>
  <si>
    <t>Lignes de pressurisation</t>
  </si>
  <si>
    <t>Nombre de ligne LOX</t>
  </si>
  <si>
    <t>Nombre de ligne LH2</t>
  </si>
  <si>
    <t>Verif D3 (angle deboit 15 et Detage fixé)</t>
  </si>
  <si>
    <t>Longueur jupe arrière</t>
  </si>
  <si>
    <t>Longueur Inter-reservoir</t>
  </si>
  <si>
    <t>Longueur jupe avant</t>
  </si>
  <si>
    <t>Hauteur totale propulseur</t>
  </si>
  <si>
    <t>Longueur tuyère sortie du propulseur</t>
  </si>
  <si>
    <t>Volume de la tuyère à l'interieur</t>
  </si>
  <si>
    <t>Différence inter-étage</t>
  </si>
  <si>
    <t>angle inter-étage</t>
  </si>
  <si>
    <t>Diametre au plan de séparation</t>
  </si>
  <si>
    <t>Diametre au plan sortie tuyère</t>
  </si>
  <si>
    <t>Hauteur oblique jupe arrière</t>
  </si>
  <si>
    <t>Hauteur oblique jupe avant 1</t>
  </si>
  <si>
    <t>Interface jupe intérétage/res+400mm</t>
  </si>
  <si>
    <t>Qtot</t>
  </si>
  <si>
    <t>0,256*10^(-4)*((B164*'Moteur Etage 1'!B10)^(1,2)*'Moteur Etage 1'!B9^0,3/(('Moteur Etage 1'!B12/10^6)^0,8*'Moteur Etage 1'!B16^0,6*TAN('Moteur Etage 1'!B31)^0,4))^0,917</t>
  </si>
  <si>
    <t>k1 initial</t>
  </si>
  <si>
    <t>k2 initial</t>
  </si>
  <si>
    <t>k3 initial</t>
  </si>
  <si>
    <t>nouveau k3</t>
  </si>
  <si>
    <t>Nouveau k1</t>
  </si>
  <si>
    <t>Nouveau k2</t>
  </si>
  <si>
    <t>Q1</t>
  </si>
  <si>
    <t>T1</t>
  </si>
  <si>
    <t>T2</t>
  </si>
  <si>
    <t>Force à Q2</t>
  </si>
  <si>
    <t>Force à Q1</t>
  </si>
  <si>
    <t>Variation de poussée</t>
  </si>
  <si>
    <t>CU</t>
  </si>
  <si>
    <t>Masse + volume mort</t>
  </si>
  <si>
    <t xml:space="preserve">Debit </t>
  </si>
  <si>
    <t>Diametre alim</t>
  </si>
  <si>
    <t>Rapport X/D pour aéro</t>
  </si>
  <si>
    <t>rayon externe</t>
  </si>
  <si>
    <t>Hauteur du bati</t>
  </si>
  <si>
    <t>Longueur du convergent</t>
  </si>
  <si>
    <t>Rapport struct L/D</t>
  </si>
  <si>
    <t>Rayon de la tuyère sortant du propu</t>
  </si>
  <si>
    <t xml:space="preserve">Volume de la tuyère à l'interieur </t>
  </si>
  <si>
    <t>h</t>
  </si>
  <si>
    <t>Rapport X/D pour aéro (e1+e2+e3)</t>
  </si>
  <si>
    <t>ajout Distance plan de séparation / plan de sortie tuyère</t>
  </si>
  <si>
    <t>Equipement CU</t>
  </si>
  <si>
    <t xml:space="preserve">Cone </t>
  </si>
  <si>
    <t>Charge utile</t>
  </si>
  <si>
    <t>Kg</t>
  </si>
  <si>
    <t>Pour le cone</t>
  </si>
  <si>
    <t>Pour la jupe</t>
  </si>
  <si>
    <t>Pour cone</t>
  </si>
  <si>
    <t>Pour jupe</t>
  </si>
  <si>
    <t>Sm coif+3 pour CN et CM</t>
  </si>
  <si>
    <t>Sm étage 2+1 pour CN et CM</t>
  </si>
  <si>
    <t xml:space="preserve">Lanceur </t>
  </si>
  <si>
    <t xml:space="preserve">CONE </t>
  </si>
  <si>
    <t>coiffe</t>
  </si>
  <si>
    <t>retreint C/3</t>
  </si>
  <si>
    <t>E3</t>
  </si>
  <si>
    <t>cylindre tot</t>
  </si>
  <si>
    <t>Cylindre h</t>
  </si>
  <si>
    <t>E2</t>
  </si>
  <si>
    <t>Retreint</t>
  </si>
  <si>
    <t>E1</t>
  </si>
  <si>
    <t>Sm coiffe partie cylindre</t>
  </si>
  <si>
    <t>Sm retreint C/3</t>
  </si>
  <si>
    <t>Sm etage 3</t>
  </si>
  <si>
    <t>Sm étage 2</t>
  </si>
  <si>
    <t>Sm retreint 2/1</t>
  </si>
  <si>
    <t>Sm étage 1</t>
  </si>
  <si>
    <t>Sm lanceur cylindre</t>
  </si>
  <si>
    <t>Sm lanceur longueur h</t>
  </si>
  <si>
    <t>KP CULOT</t>
  </si>
  <si>
    <t>Sculot</t>
  </si>
  <si>
    <t>Ssortie de tuyère</t>
  </si>
  <si>
    <t>Données culot</t>
  </si>
  <si>
    <t>L cylindre 1</t>
  </si>
  <si>
    <t>Attention</t>
  </si>
  <si>
    <t xml:space="preserve">Attention </t>
  </si>
  <si>
    <t>Attention Xref</t>
  </si>
  <si>
    <t>L cylindre 2</t>
  </si>
  <si>
    <t>Coefficients partiels</t>
  </si>
  <si>
    <t>Attention retreint1/2 enlevé</t>
  </si>
  <si>
    <t>Cone émoussé</t>
  </si>
  <si>
    <t>Coiffe-cone emoussé</t>
  </si>
  <si>
    <t>Case à équimements</t>
  </si>
  <si>
    <t>Rétreint Coiffe/3</t>
  </si>
  <si>
    <t>Rétreint '2/1'</t>
  </si>
  <si>
    <t>Culot</t>
  </si>
  <si>
    <t>Cylindre Ltot</t>
  </si>
  <si>
    <t>CA global</t>
  </si>
  <si>
    <t>CA Partiel</t>
  </si>
  <si>
    <t>Cna global</t>
  </si>
  <si>
    <t>k</t>
  </si>
  <si>
    <t>Cna partiel</t>
  </si>
  <si>
    <t>Cma global</t>
  </si>
  <si>
    <t>Cma partiel</t>
  </si>
  <si>
    <t>FAIT</t>
  </si>
  <si>
    <t>Longueur étage structural</t>
  </si>
  <si>
    <t>R/D</t>
  </si>
  <si>
    <t>Masse avec volume mort</t>
  </si>
  <si>
    <t>Volume du réservoir</t>
  </si>
  <si>
    <t xml:space="preserve">Vhélium </t>
  </si>
  <si>
    <t>Vhélium stocké</t>
  </si>
  <si>
    <t>(P= 40bars, T=300K)</t>
  </si>
  <si>
    <t>(P= 40bars, T=195K)</t>
  </si>
  <si>
    <t>Pressurisation par Hélium</t>
  </si>
  <si>
    <t xml:space="preserve">Réservoir sphérique LOX </t>
  </si>
  <si>
    <t>Réservoir cylindrique LOX</t>
  </si>
  <si>
    <t>Hauteur réservoir</t>
  </si>
  <si>
    <t xml:space="preserve">M satellite </t>
  </si>
  <si>
    <t>M structure coiffe</t>
  </si>
  <si>
    <t>Poussée F</t>
  </si>
  <si>
    <t>Pressurisation à l'hélium</t>
  </si>
  <si>
    <t>Pres LOX</t>
  </si>
  <si>
    <t>VLOX</t>
  </si>
  <si>
    <t>T</t>
  </si>
  <si>
    <t>Mhélium</t>
  </si>
  <si>
    <t>Mhélium majorée</t>
  </si>
  <si>
    <t>Vhelium stocké</t>
  </si>
  <si>
    <t>Msphère de stockage</t>
  </si>
  <si>
    <t>Mbati_moteur (non équipé)</t>
  </si>
  <si>
    <t>Mbati_moteu (équipé)</t>
  </si>
  <si>
    <t>Msupports sphères de pressu</t>
  </si>
  <si>
    <t>Mréservoirs-vérins</t>
  </si>
  <si>
    <t>Mvérins</t>
  </si>
  <si>
    <t>Maccessoires_associés</t>
  </si>
  <si>
    <t>Mensemble arrière</t>
  </si>
  <si>
    <t>Mergols</t>
  </si>
  <si>
    <t>Longueur jupette</t>
  </si>
  <si>
    <t>Sm retrein 3/2</t>
  </si>
  <si>
    <t>Retreint 3/2</t>
  </si>
  <si>
    <t>Longueur étage struct cas cylindre</t>
  </si>
  <si>
    <t>L/D</t>
  </si>
  <si>
    <t>Cylindre supérieur</t>
  </si>
  <si>
    <t xml:space="preserve">CNα </t>
  </si>
  <si>
    <t xml:space="preserve">Cmα </t>
  </si>
  <si>
    <t>Xcp global</t>
  </si>
  <si>
    <t xml:space="preserve">Coefficents partiels pour </t>
  </si>
  <si>
    <t>Abscisse ramenée à:</t>
  </si>
  <si>
    <t>Xcp Partiel</t>
  </si>
  <si>
    <t>"=RACINE(J7*(2/(1000*B6+J5)-2/(1000*B6+1000*B5+2*J5)))"</t>
  </si>
  <si>
    <t>"=(0,5*B10+0,5*C10)*D10"</t>
  </si>
  <si>
    <t>"=B11*D11"</t>
  </si>
  <si>
    <t>"=B12*D12"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</si>
</sst>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0.00000"/>
    <numFmt numFmtId="165" formatCode="#,##0.00_ ;\-#,##0.00\ "/>
    <numFmt numFmtId="166" formatCode="_-* #,##0.000\ _€_-;\-* #,##0.000\ _€_-;_-* &quot;-&quot;???\ _€_-;_-@_-"/>
    <numFmt numFmtId="167" formatCode="0.000"/>
    <numFmt numFmtId="168" formatCode="#,##0.000\ &quot;€&quot;"/>
  </numFmts>
  <fonts count="26" x14ac:knownFonts="1">
    <font>
      <sz val="10"/>
      <name val="Verdana"/>
      <family val="2"/>
    </font>
    <font>
      <sz val="10"/>
      <name val="Arial"/>
      <family val="2"/>
    </font>
    <font>
      <b/>
      <sz val="26"/>
      <name val="Verdana"/>
      <family val="2"/>
    </font>
    <font>
      <b/>
      <sz val="10"/>
      <name val="Verdana"/>
      <family val="2"/>
    </font>
    <font>
      <sz val="8"/>
      <name val="Verdana"/>
      <family val="2"/>
    </font>
    <font>
      <i/>
      <sz val="10"/>
      <name val="Verdana"/>
      <family val="2"/>
    </font>
    <font>
      <vertAlign val="superscript"/>
      <sz val="10"/>
      <name val="Verdana"/>
      <family val="2"/>
    </font>
    <font>
      <b/>
      <i/>
      <sz val="10"/>
      <name val="Verdana"/>
      <family val="2"/>
    </font>
    <font>
      <sz val="10"/>
      <name val="Verdana"/>
      <family val="2"/>
    </font>
    <font>
      <b/>
      <sz val="12"/>
      <name val="Verdana"/>
      <family val="2"/>
    </font>
    <font>
      <b/>
      <sz val="11"/>
      <name val="Verdana"/>
      <family val="2"/>
    </font>
    <font>
      <sz val="11"/>
      <name val="Calibri"/>
      <family val="2"/>
    </font>
    <font>
      <u/>
      <sz val="10"/>
      <color theme="10"/>
      <name val="Verdana"/>
      <family val="2"/>
    </font>
    <font>
      <sz val="10"/>
      <color theme="0"/>
      <name val="Verdana"/>
      <family val="2"/>
    </font>
    <font>
      <b/>
      <sz val="10"/>
      <color rgb="FFFF0000"/>
      <name val="Verdana"/>
      <family val="2"/>
    </font>
    <font>
      <sz val="12"/>
      <color rgb="FF000000"/>
      <name val="Calibri"/>
      <family val="2"/>
    </font>
    <font>
      <sz val="10"/>
      <color rgb="FFFF0000"/>
      <name val="Verdana"/>
      <family val="2"/>
    </font>
    <font>
      <b/>
      <sz val="12"/>
      <color rgb="FF000000"/>
      <name val="Calibri"/>
      <family val="2"/>
    </font>
    <font>
      <b/>
      <sz val="11"/>
      <name val="Cambria"/>
      <family val="1"/>
      <scheme val="major"/>
    </font>
    <font>
      <sz val="11"/>
      <color rgb="FF000000"/>
      <name val="Cambria"/>
      <family val="1"/>
      <scheme val="major"/>
    </font>
    <font>
      <b/>
      <sz val="11"/>
      <color rgb="FF000000"/>
      <name val="Cambria"/>
      <family val="1"/>
      <scheme val="major"/>
    </font>
    <font>
      <sz val="11"/>
      <name val="Cambria"/>
      <family val="1"/>
      <scheme val="major"/>
    </font>
    <font>
      <i/>
      <sz val="10"/>
      <color theme="0" tint="-0.34998626667073579"/>
      <name val="Verdana"/>
      <family val="2"/>
    </font>
    <font>
      <b/>
      <sz val="10"/>
      <color theme="0" tint="-0.14999847407452621"/>
      <name val="Verdana"/>
      <family val="2"/>
    </font>
    <font>
      <sz val="10"/>
      <color theme="0" tint="-0.34998626667073579"/>
      <name val="Verdana"/>
      <family val="2"/>
    </font>
    <font>
      <sz val="10"/>
      <color theme="0" tint="-0.14999847407452621"/>
      <name val="Verdana"/>
      <family val="2"/>
    </font>
  </fonts>
  <fills count="19">
    <fill>
      <patternFill patternType="none"/>
    </fill>
    <fill>
      <patternFill patternType="gray125"/>
    </fill>
    <fill>
      <patternFill patternType="solid">
        <fgColor rgb="FFB95EA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42"/>
        <bgColor indexed="64"/>
      </patternFill>
    </fill>
  </fills>
  <borders count="35">
    <border>
      <left/>
      <right/>
      <top/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medium">
        <color indexed="8"/>
      </top>
      <bottom/>
      <diagonal/>
    </border>
    <border>
      <left style="medium">
        <color auto="1"/>
      </left>
      <right/>
      <top/>
      <bottom style="medium">
        <color indexed="8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3">
    <xf numFmtId="0" fontId="0" fillId="0" borderId="0"/>
    <xf numFmtId="0" fontId="12" fillId="0" borderId="0" applyNumberFormat="0" applyFill="0" applyBorder="0" applyAlignment="0" applyProtection="0"/>
    <xf numFmtId="44" fontId="1" fillId="0" borderId="0" applyFill="0" applyBorder="0" applyAlignment="0" applyProtection="0"/>
  </cellStyleXfs>
  <cellXfs count="339">
    <xf numFmtId="0" fontId="0" fillId="0" borderId="0" xfId="0"/>
    <xf numFmtId="0" fontId="0" fillId="0" borderId="0" xfId="0" applyAlignment="1">
      <alignment vertical="center"/>
    </xf>
    <xf numFmtId="0" fontId="0" fillId="0" borderId="1" xfId="0" applyFont="1" applyBorder="1" applyAlignment="1">
      <alignment horizontal="left" vertical="center"/>
    </xf>
    <xf numFmtId="0" fontId="0" fillId="0" borderId="2" xfId="0" applyFont="1" applyBorder="1" applyAlignment="1">
      <alignment horizontal="left" vertical="center"/>
    </xf>
    <xf numFmtId="0" fontId="0" fillId="0" borderId="0" xfId="0" applyFont="1" applyAlignment="1">
      <alignment vertical="center"/>
    </xf>
    <xf numFmtId="0" fontId="0" fillId="0" borderId="0" xfId="0" applyFont="1" applyFill="1" applyBorder="1" applyAlignment="1">
      <alignment horizontal="left" vertical="center"/>
    </xf>
    <xf numFmtId="0" fontId="3" fillId="0" borderId="3" xfId="0" applyFont="1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5" xfId="0" applyFont="1" applyBorder="1" applyAlignment="1">
      <alignment horizontal="left" vertical="center"/>
    </xf>
    <xf numFmtId="0" fontId="0" fillId="0" borderId="6" xfId="0" applyFont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3" fillId="0" borderId="8" xfId="0" applyFont="1" applyBorder="1"/>
    <xf numFmtId="0" fontId="3" fillId="0" borderId="9" xfId="0" applyFont="1" applyBorder="1"/>
    <xf numFmtId="164" fontId="0" fillId="0" borderId="4" xfId="0" applyNumberFormat="1" applyBorder="1" applyAlignment="1">
      <alignment vertical="center"/>
    </xf>
    <xf numFmtId="0" fontId="3" fillId="0" borderId="10" xfId="0" applyFont="1" applyBorder="1"/>
    <xf numFmtId="0" fontId="0" fillId="0" borderId="11" xfId="0" applyBorder="1"/>
    <xf numFmtId="0" fontId="0" fillId="0" borderId="3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2" xfId="0" applyFont="1" applyBorder="1" applyAlignment="1">
      <alignment vertical="center"/>
    </xf>
    <xf numFmtId="0" fontId="3" fillId="0" borderId="8" xfId="0" applyFont="1" applyFill="1" applyBorder="1" applyAlignment="1">
      <alignment horizontal="left" vertical="center"/>
    </xf>
    <xf numFmtId="0" fontId="3" fillId="0" borderId="13" xfId="0" applyFont="1" applyBorder="1" applyAlignment="1">
      <alignment vertical="center"/>
    </xf>
    <xf numFmtId="164" fontId="0" fillId="0" borderId="10" xfId="0" applyNumberFormat="1" applyBorder="1"/>
    <xf numFmtId="164" fontId="0" fillId="0" borderId="12" xfId="0" applyNumberFormat="1" applyBorder="1"/>
    <xf numFmtId="164" fontId="0" fillId="0" borderId="4" xfId="0" applyNumberFormat="1" applyBorder="1"/>
    <xf numFmtId="164" fontId="0" fillId="0" borderId="5" xfId="0" applyNumberFormat="1" applyBorder="1"/>
    <xf numFmtId="164" fontId="0" fillId="0" borderId="6" xfId="0" applyNumberFormat="1" applyBorder="1"/>
    <xf numFmtId="164" fontId="0" fillId="0" borderId="7" xfId="0" applyNumberFormat="1" applyBorder="1"/>
    <xf numFmtId="0" fontId="3" fillId="0" borderId="13" xfId="0" applyFont="1" applyBorder="1" applyAlignment="1">
      <alignment horizontal="left" vertical="center"/>
    </xf>
    <xf numFmtId="0" fontId="3" fillId="0" borderId="13" xfId="0" applyFont="1" applyBorder="1" applyAlignment="1">
      <alignment horizontal="left" vertical="center" wrapText="1"/>
    </xf>
    <xf numFmtId="0" fontId="0" fillId="0" borderId="0" xfId="0" applyFont="1" applyBorder="1" applyAlignment="1">
      <alignment horizontal="left" vertical="center"/>
    </xf>
    <xf numFmtId="0" fontId="3" fillId="0" borderId="0" xfId="0" applyFont="1" applyBorder="1" applyAlignment="1">
      <alignment horizontal="left"/>
    </xf>
    <xf numFmtId="0" fontId="3" fillId="0" borderId="0" xfId="0" applyFont="1" applyBorder="1" applyAlignment="1">
      <alignment horizontal="left" vertical="center"/>
    </xf>
    <xf numFmtId="0" fontId="0" fillId="0" borderId="12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0" fillId="0" borderId="13" xfId="0" applyBorder="1" applyAlignment="1">
      <alignment vertical="center"/>
    </xf>
    <xf numFmtId="0" fontId="0" fillId="0" borderId="13" xfId="0" applyFont="1" applyBorder="1" applyAlignment="1">
      <alignment vertical="center"/>
    </xf>
    <xf numFmtId="0" fontId="0" fillId="0" borderId="0" xfId="0" applyFont="1" applyBorder="1" applyAlignment="1">
      <alignment vertical="center"/>
    </xf>
    <xf numFmtId="0" fontId="3" fillId="0" borderId="13" xfId="0" applyFont="1" applyFill="1" applyBorder="1" applyAlignment="1">
      <alignment horizontal="left" vertical="center"/>
    </xf>
    <xf numFmtId="0" fontId="0" fillId="0" borderId="0" xfId="0" applyBorder="1"/>
    <xf numFmtId="0" fontId="0" fillId="0" borderId="12" xfId="0" applyBorder="1" applyAlignment="1">
      <alignment vertical="center"/>
    </xf>
    <xf numFmtId="0" fontId="0" fillId="0" borderId="13" xfId="0" applyBorder="1"/>
    <xf numFmtId="0" fontId="0" fillId="0" borderId="0" xfId="0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left" vertical="center"/>
    </xf>
    <xf numFmtId="0" fontId="2" fillId="2" borderId="13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vertical="center"/>
    </xf>
    <xf numFmtId="0" fontId="0" fillId="3" borderId="7" xfId="0" applyFill="1" applyBorder="1" applyAlignment="1">
      <alignment vertical="center"/>
    </xf>
    <xf numFmtId="0" fontId="3" fillId="4" borderId="8" xfId="0" applyFont="1" applyFill="1" applyBorder="1" applyAlignment="1">
      <alignment vertical="center"/>
    </xf>
    <xf numFmtId="0" fontId="3" fillId="4" borderId="9" xfId="0" applyFont="1" applyFill="1" applyBorder="1" applyAlignment="1">
      <alignment vertical="center"/>
    </xf>
    <xf numFmtId="0" fontId="3" fillId="4" borderId="10" xfId="0" applyFont="1" applyFill="1" applyBorder="1" applyAlignment="1">
      <alignment vertical="center"/>
    </xf>
    <xf numFmtId="0" fontId="3" fillId="4" borderId="5" xfId="0" applyFont="1" applyFill="1" applyBorder="1" applyAlignment="1">
      <alignment horizontal="left" vertical="center"/>
    </xf>
    <xf numFmtId="0" fontId="3" fillId="4" borderId="6" xfId="0" applyFont="1" applyFill="1" applyBorder="1" applyAlignment="1">
      <alignment horizontal="left" vertical="center"/>
    </xf>
    <xf numFmtId="0" fontId="3" fillId="4" borderId="7" xfId="0" applyFont="1" applyFill="1" applyBorder="1" applyAlignment="1">
      <alignment horizontal="left" vertical="center"/>
    </xf>
    <xf numFmtId="0" fontId="3" fillId="4" borderId="13" xfId="0" applyFont="1" applyFill="1" applyBorder="1" applyAlignment="1">
      <alignment vertical="center"/>
    </xf>
    <xf numFmtId="0" fontId="3" fillId="4" borderId="16" xfId="0" applyFont="1" applyFill="1" applyBorder="1" applyAlignment="1">
      <alignment vertical="center"/>
    </xf>
    <xf numFmtId="0" fontId="13" fillId="0" borderId="0" xfId="0" applyFont="1" applyAlignment="1">
      <alignment vertical="center"/>
    </xf>
    <xf numFmtId="0" fontId="5" fillId="0" borderId="0" xfId="0" applyFont="1" applyBorder="1" applyAlignment="1">
      <alignment horizontal="left" vertical="center"/>
    </xf>
    <xf numFmtId="0" fontId="5" fillId="0" borderId="0" xfId="0" applyFont="1" applyBorder="1" applyAlignment="1">
      <alignment vertical="center"/>
    </xf>
    <xf numFmtId="0" fontId="5" fillId="0" borderId="11" xfId="0" applyFont="1" applyBorder="1" applyAlignment="1">
      <alignment vertical="center"/>
    </xf>
    <xf numFmtId="0" fontId="0" fillId="0" borderId="11" xfId="0" applyFont="1" applyBorder="1" applyAlignment="1">
      <alignment vertical="center"/>
    </xf>
    <xf numFmtId="0" fontId="13" fillId="0" borderId="12" xfId="0" applyFont="1" applyBorder="1" applyAlignment="1">
      <alignment vertical="center"/>
    </xf>
    <xf numFmtId="165" fontId="1" fillId="0" borderId="0" xfId="2" applyNumberFormat="1" applyBorder="1" applyAlignment="1">
      <alignment vertical="center"/>
    </xf>
    <xf numFmtId="165" fontId="1" fillId="0" borderId="11" xfId="2" applyNumberFormat="1" applyBorder="1" applyAlignment="1">
      <alignment vertical="center"/>
    </xf>
    <xf numFmtId="10" fontId="0" fillId="0" borderId="12" xfId="0" applyNumberFormat="1" applyBorder="1"/>
    <xf numFmtId="10" fontId="0" fillId="0" borderId="4" xfId="0" applyNumberFormat="1" applyBorder="1"/>
    <xf numFmtId="0" fontId="3" fillId="0" borderId="8" xfId="0" applyFont="1" applyBorder="1" applyAlignment="1">
      <alignment vertical="center" wrapText="1"/>
    </xf>
    <xf numFmtId="0" fontId="3" fillId="0" borderId="9" xfId="0" applyFont="1" applyBorder="1" applyAlignment="1">
      <alignment vertical="center" wrapText="1"/>
    </xf>
    <xf numFmtId="0" fontId="3" fillId="0" borderId="9" xfId="0" applyFont="1" applyFill="1" applyBorder="1" applyAlignment="1">
      <alignment vertical="center" wrapText="1"/>
    </xf>
    <xf numFmtId="0" fontId="3" fillId="0" borderId="10" xfId="0" applyFont="1" applyFill="1" applyBorder="1" applyAlignment="1">
      <alignment vertical="center" wrapText="1"/>
    </xf>
    <xf numFmtId="10" fontId="0" fillId="0" borderId="0" xfId="0" applyNumberFormat="1" applyAlignment="1">
      <alignment vertical="center"/>
    </xf>
    <xf numFmtId="0" fontId="0" fillId="0" borderId="0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/>
    <xf numFmtId="0" fontId="0" fillId="2" borderId="12" xfId="0" applyFont="1" applyFill="1" applyBorder="1" applyAlignment="1">
      <alignment horizontal="left" vertical="center"/>
    </xf>
    <xf numFmtId="0" fontId="3" fillId="4" borderId="3" xfId="0" applyFont="1" applyFill="1" applyBorder="1" applyAlignment="1">
      <alignment vertical="center"/>
    </xf>
    <xf numFmtId="0" fontId="3" fillId="0" borderId="0" xfId="0" applyFont="1"/>
    <xf numFmtId="0" fontId="12" fillId="0" borderId="0" xfId="1"/>
    <xf numFmtId="2" fontId="0" fillId="0" borderId="0" xfId="0" applyNumberFormat="1"/>
    <xf numFmtId="0" fontId="0" fillId="5" borderId="0" xfId="0" applyFill="1"/>
    <xf numFmtId="2" fontId="0" fillId="5" borderId="0" xfId="0" applyNumberFormat="1" applyFill="1"/>
    <xf numFmtId="0" fontId="0" fillId="0" borderId="17" xfId="0" applyBorder="1"/>
    <xf numFmtId="2" fontId="0" fillId="0" borderId="18" xfId="0" applyNumberFormat="1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2" fontId="0" fillId="0" borderId="0" xfId="0" applyNumberFormat="1" applyBorder="1"/>
    <xf numFmtId="0" fontId="0" fillId="0" borderId="21" xfId="0" applyBorder="1"/>
    <xf numFmtId="0" fontId="0" fillId="0" borderId="22" xfId="0" applyBorder="1"/>
    <xf numFmtId="2" fontId="0" fillId="0" borderId="23" xfId="0" applyNumberFormat="1" applyBorder="1"/>
    <xf numFmtId="0" fontId="0" fillId="0" borderId="23" xfId="0" applyBorder="1"/>
    <xf numFmtId="0" fontId="0" fillId="0" borderId="24" xfId="0" applyBorder="1"/>
    <xf numFmtId="0" fontId="0" fillId="0" borderId="0" xfId="0" applyFill="1"/>
    <xf numFmtId="2" fontId="0" fillId="0" borderId="0" xfId="0" applyNumberFormat="1" applyFill="1"/>
    <xf numFmtId="0" fontId="0" fillId="6" borderId="0" xfId="0" applyFill="1"/>
    <xf numFmtId="2" fontId="0" fillId="6" borderId="0" xfId="0" applyNumberFormat="1" applyFill="1"/>
    <xf numFmtId="0" fontId="14" fillId="0" borderId="0" xfId="0" applyFont="1"/>
    <xf numFmtId="0" fontId="12" fillId="0" borderId="0" xfId="1" applyAlignment="1">
      <alignment vertical="center"/>
    </xf>
    <xf numFmtId="0" fontId="0" fillId="5" borderId="20" xfId="0" applyFill="1" applyBorder="1"/>
    <xf numFmtId="2" fontId="0" fillId="5" borderId="0" xfId="0" applyNumberFormat="1" applyFill="1" applyBorder="1"/>
    <xf numFmtId="0" fontId="0" fillId="5" borderId="0" xfId="0" applyFill="1" applyBorder="1"/>
    <xf numFmtId="14" fontId="3" fillId="0" borderId="0" xfId="0" applyNumberFormat="1" applyFont="1"/>
    <xf numFmtId="0" fontId="5" fillId="0" borderId="0" xfId="0" applyFont="1"/>
    <xf numFmtId="0" fontId="0" fillId="0" borderId="25" xfId="0" applyBorder="1"/>
    <xf numFmtId="0" fontId="0" fillId="0" borderId="26" xfId="0" applyBorder="1"/>
    <xf numFmtId="0" fontId="0" fillId="0" borderId="27" xfId="0" applyBorder="1"/>
    <xf numFmtId="2" fontId="3" fillId="0" borderId="0" xfId="0" applyNumberFormat="1" applyFont="1"/>
    <xf numFmtId="0" fontId="5" fillId="0" borderId="17" xfId="0" applyFont="1" applyBorder="1"/>
    <xf numFmtId="0" fontId="5" fillId="0" borderId="20" xfId="0" applyFont="1" applyBorder="1"/>
    <xf numFmtId="0" fontId="5" fillId="0" borderId="22" xfId="0" applyFont="1" applyBorder="1"/>
    <xf numFmtId="0" fontId="0" fillId="0" borderId="28" xfId="0" applyBorder="1"/>
    <xf numFmtId="0" fontId="0" fillId="0" borderId="29" xfId="0" applyBorder="1"/>
    <xf numFmtId="0" fontId="0" fillId="0" borderId="29" xfId="0" applyFill="1" applyBorder="1"/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15" fillId="0" borderId="0" xfId="0" applyFont="1"/>
    <xf numFmtId="0" fontId="15" fillId="0" borderId="28" xfId="0" applyFont="1" applyBorder="1"/>
    <xf numFmtId="0" fontId="15" fillId="0" borderId="29" xfId="0" applyFont="1" applyBorder="1"/>
    <xf numFmtId="0" fontId="0" fillId="0" borderId="0" xfId="0" applyAlignment="1">
      <alignment horizontal="right"/>
    </xf>
    <xf numFmtId="0" fontId="3" fillId="0" borderId="0" xfId="0" applyFont="1" applyBorder="1" applyAlignment="1">
      <alignment horizontal="right"/>
    </xf>
    <xf numFmtId="0" fontId="3" fillId="0" borderId="0" xfId="0" applyFont="1" applyBorder="1" applyAlignment="1">
      <alignment horizontal="center"/>
    </xf>
    <xf numFmtId="0" fontId="0" fillId="3" borderId="0" xfId="0" applyFill="1"/>
    <xf numFmtId="0" fontId="5" fillId="3" borderId="0" xfId="0" applyFont="1" applyFill="1"/>
    <xf numFmtId="0" fontId="5" fillId="3" borderId="0" xfId="0" applyFont="1" applyFill="1" applyBorder="1"/>
    <xf numFmtId="2" fontId="0" fillId="3" borderId="0" xfId="0" applyNumberFormat="1" applyFill="1"/>
    <xf numFmtId="13" fontId="0" fillId="3" borderId="0" xfId="0" applyNumberFormat="1" applyFill="1"/>
    <xf numFmtId="0" fontId="0" fillId="7" borderId="0" xfId="0" applyFill="1"/>
    <xf numFmtId="2" fontId="0" fillId="7" borderId="0" xfId="0" applyNumberFormat="1" applyFill="1"/>
    <xf numFmtId="0" fontId="0" fillId="8" borderId="0" xfId="0" applyFill="1"/>
    <xf numFmtId="0" fontId="16" fillId="0" borderId="0" xfId="0" applyFont="1"/>
    <xf numFmtId="0" fontId="7" fillId="0" borderId="0" xfId="0" applyFont="1" applyFill="1"/>
    <xf numFmtId="0" fontId="7" fillId="0" borderId="0" xfId="0" applyFont="1"/>
    <xf numFmtId="0" fontId="0" fillId="0" borderId="0" xfId="0" applyFont="1"/>
    <xf numFmtId="0" fontId="16" fillId="3" borderId="0" xfId="0" applyFont="1" applyFill="1"/>
    <xf numFmtId="0" fontId="0" fillId="9" borderId="0" xfId="0" applyFill="1"/>
    <xf numFmtId="0" fontId="0" fillId="0" borderId="0" xfId="0" applyFont="1" applyFill="1"/>
    <xf numFmtId="0" fontId="16" fillId="0" borderId="0" xfId="0" applyFont="1" applyFill="1"/>
    <xf numFmtId="16" fontId="0" fillId="0" borderId="0" xfId="0" applyNumberFormat="1"/>
    <xf numFmtId="0" fontId="0" fillId="0" borderId="30" xfId="0" applyBorder="1"/>
    <xf numFmtId="0" fontId="5" fillId="0" borderId="0" xfId="0" applyFont="1" applyFill="1"/>
    <xf numFmtId="0" fontId="0" fillId="10" borderId="0" xfId="0" applyFill="1"/>
    <xf numFmtId="0" fontId="0" fillId="0" borderId="31" xfId="0" applyBorder="1" applyAlignment="1">
      <alignment horizontal="left" vertical="center"/>
    </xf>
    <xf numFmtId="0" fontId="0" fillId="6" borderId="0" xfId="0" applyFill="1"/>
    <xf numFmtId="2" fontId="0" fillId="6" borderId="0" xfId="0" applyNumberFormat="1" applyFill="1"/>
    <xf numFmtId="0" fontId="0" fillId="0" borderId="3" xfId="0" applyNumberFormat="1" applyBorder="1"/>
    <xf numFmtId="0" fontId="0" fillId="0" borderId="11" xfId="0" applyNumberFormat="1" applyBorder="1"/>
    <xf numFmtId="0" fontId="0" fillId="0" borderId="4" xfId="0" applyNumberFormat="1" applyBorder="1"/>
    <xf numFmtId="10" fontId="0" fillId="0" borderId="27" xfId="0" applyNumberFormat="1" applyBorder="1"/>
    <xf numFmtId="0" fontId="0" fillId="11" borderId="0" xfId="0" applyFill="1"/>
    <xf numFmtId="0" fontId="0" fillId="11" borderId="32" xfId="0" applyFill="1" applyBorder="1"/>
    <xf numFmtId="0" fontId="0" fillId="11" borderId="0" xfId="0" applyFill="1" applyBorder="1"/>
    <xf numFmtId="0" fontId="0" fillId="11" borderId="28" xfId="0" applyFill="1" applyBorder="1"/>
    <xf numFmtId="0" fontId="0" fillId="0" borderId="30" xfId="0" applyFont="1" applyBorder="1" applyAlignment="1">
      <alignment horizontal="right"/>
    </xf>
    <xf numFmtId="0" fontId="0" fillId="5" borderId="32" xfId="0" applyFill="1" applyBorder="1"/>
    <xf numFmtId="0" fontId="0" fillId="0" borderId="25" xfId="0" applyFont="1" applyBorder="1" applyAlignment="1">
      <alignment horizontal="right"/>
    </xf>
    <xf numFmtId="2" fontId="0" fillId="0" borderId="0" xfId="0" applyNumberFormat="1" applyFill="1" applyBorder="1"/>
    <xf numFmtId="0" fontId="0" fillId="0" borderId="30" xfId="0" applyFill="1" applyBorder="1"/>
    <xf numFmtId="0" fontId="17" fillId="0" borderId="28" xfId="0" applyFont="1" applyBorder="1"/>
    <xf numFmtId="0" fontId="0" fillId="0" borderId="32" xfId="0" applyBorder="1"/>
    <xf numFmtId="0" fontId="17" fillId="0" borderId="0" xfId="0" applyFont="1"/>
    <xf numFmtId="0" fontId="3" fillId="0" borderId="32" xfId="0" applyFont="1" applyBorder="1"/>
    <xf numFmtId="0" fontId="3" fillId="0" borderId="25" xfId="0" applyFont="1" applyBorder="1"/>
    <xf numFmtId="0" fontId="3" fillId="0" borderId="26" xfId="0" applyFont="1" applyBorder="1"/>
    <xf numFmtId="0" fontId="3" fillId="0" borderId="27" xfId="0" applyFont="1" applyBorder="1"/>
    <xf numFmtId="0" fontId="3" fillId="0" borderId="30" xfId="0" applyFont="1" applyFill="1" applyBorder="1"/>
    <xf numFmtId="0" fontId="3" fillId="0" borderId="32" xfId="0" applyFont="1" applyFill="1" applyBorder="1"/>
    <xf numFmtId="2" fontId="15" fillId="0" borderId="28" xfId="0" applyNumberFormat="1" applyFont="1" applyBorder="1"/>
    <xf numFmtId="0" fontId="18" fillId="0" borderId="0" xfId="0" applyFont="1"/>
    <xf numFmtId="0" fontId="19" fillId="0" borderId="0" xfId="0" applyFont="1"/>
    <xf numFmtId="0" fontId="20" fillId="0" borderId="0" xfId="0" applyFont="1"/>
    <xf numFmtId="0" fontId="21" fillId="0" borderId="0" xfId="0" applyFont="1"/>
    <xf numFmtId="0" fontId="9" fillId="0" borderId="0" xfId="0" applyFont="1"/>
    <xf numFmtId="0" fontId="15" fillId="0" borderId="0" xfId="0" applyFont="1" applyBorder="1"/>
    <xf numFmtId="0" fontId="10" fillId="0" borderId="8" xfId="0" applyFont="1" applyBorder="1"/>
    <xf numFmtId="0" fontId="0" fillId="0" borderId="9" xfId="0" applyBorder="1"/>
    <xf numFmtId="0" fontId="0" fillId="0" borderId="10" xfId="0" applyBorder="1"/>
    <xf numFmtId="0" fontId="10" fillId="0" borderId="3" xfId="0" applyFont="1" applyBorder="1"/>
    <xf numFmtId="0" fontId="3" fillId="0" borderId="11" xfId="0" applyFont="1" applyBorder="1"/>
    <xf numFmtId="0" fontId="3" fillId="0" borderId="4" xfId="0" applyFont="1" applyBorder="1"/>
    <xf numFmtId="0" fontId="3" fillId="0" borderId="25" xfId="0" applyFont="1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3" fillId="0" borderId="30" xfId="0" applyFont="1" applyBorder="1" applyAlignment="1">
      <alignment horizontal="center"/>
    </xf>
    <xf numFmtId="0" fontId="3" fillId="0" borderId="32" xfId="0" applyFont="1" applyBorder="1" applyAlignment="1">
      <alignment horizontal="center"/>
    </xf>
    <xf numFmtId="0" fontId="3" fillId="0" borderId="30" xfId="0" applyFont="1" applyBorder="1" applyAlignment="1">
      <alignment horizontal="right"/>
    </xf>
    <xf numFmtId="0" fontId="3" fillId="12" borderId="17" xfId="0" applyFont="1" applyFill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12" borderId="18" xfId="0" applyFont="1" applyFill="1" applyBorder="1" applyAlignment="1">
      <alignment horizontal="center"/>
    </xf>
    <xf numFmtId="0" fontId="3" fillId="12" borderId="19" xfId="0" applyFont="1" applyFill="1" applyBorder="1" applyAlignment="1">
      <alignment horizontal="center"/>
    </xf>
    <xf numFmtId="0" fontId="22" fillId="0" borderId="26" xfId="0" applyFont="1" applyBorder="1" applyAlignment="1">
      <alignment horizontal="center"/>
    </xf>
    <xf numFmtId="0" fontId="22" fillId="0" borderId="17" xfId="0" applyFont="1" applyBorder="1" applyAlignment="1">
      <alignment horizontal="center"/>
    </xf>
    <xf numFmtId="0" fontId="22" fillId="0" borderId="18" xfId="0" applyFont="1" applyBorder="1" applyAlignment="1">
      <alignment horizontal="center"/>
    </xf>
    <xf numFmtId="0" fontId="22" fillId="0" borderId="19" xfId="0" applyFont="1" applyBorder="1" applyAlignment="1">
      <alignment horizontal="center"/>
    </xf>
    <xf numFmtId="0" fontId="3" fillId="0" borderId="17" xfId="0" applyFont="1" applyBorder="1" applyAlignment="1">
      <alignment horizontal="center"/>
    </xf>
    <xf numFmtId="0" fontId="3" fillId="0" borderId="19" xfId="0" applyFont="1" applyBorder="1" applyAlignment="1">
      <alignment horizontal="center"/>
    </xf>
    <xf numFmtId="0" fontId="3" fillId="13" borderId="17" xfId="0" applyFont="1" applyFill="1" applyBorder="1" applyAlignment="1">
      <alignment horizontal="center"/>
    </xf>
    <xf numFmtId="0" fontId="3" fillId="13" borderId="19" xfId="0" applyFont="1" applyFill="1" applyBorder="1" applyAlignment="1">
      <alignment horizontal="center"/>
    </xf>
    <xf numFmtId="0" fontId="3" fillId="13" borderId="0" xfId="0" applyFont="1" applyFill="1" applyBorder="1" applyAlignment="1">
      <alignment horizontal="center"/>
    </xf>
    <xf numFmtId="0" fontId="3" fillId="12" borderId="0" xfId="0" applyFont="1" applyFill="1" applyBorder="1" applyAlignment="1">
      <alignment horizontal="center"/>
    </xf>
    <xf numFmtId="0" fontId="23" fillId="0" borderId="17" xfId="0" applyFont="1" applyFill="1" applyBorder="1" applyAlignment="1">
      <alignment horizontal="center"/>
    </xf>
    <xf numFmtId="0" fontId="23" fillId="0" borderId="18" xfId="0" applyFont="1" applyFill="1" applyBorder="1" applyAlignment="1">
      <alignment horizontal="center"/>
    </xf>
    <xf numFmtId="0" fontId="23" fillId="0" borderId="19" xfId="0" applyFont="1" applyFill="1" applyBorder="1" applyAlignment="1">
      <alignment horizontal="center"/>
    </xf>
    <xf numFmtId="0" fontId="3" fillId="12" borderId="30" xfId="0" applyFont="1" applyFill="1" applyBorder="1" applyAlignment="1">
      <alignment horizontal="center"/>
    </xf>
    <xf numFmtId="0" fontId="3" fillId="12" borderId="29" xfId="0" applyFont="1" applyFill="1" applyBorder="1" applyAlignment="1">
      <alignment horizontal="center"/>
    </xf>
    <xf numFmtId="0" fontId="3" fillId="12" borderId="0" xfId="0" applyFont="1" applyFill="1"/>
    <xf numFmtId="0" fontId="3" fillId="12" borderId="0" xfId="0" applyFont="1" applyFill="1" applyAlignment="1">
      <alignment horizontal="center"/>
    </xf>
    <xf numFmtId="0" fontId="0" fillId="0" borderId="0" xfId="0" quotePrefix="1" applyFill="1" applyBorder="1"/>
    <xf numFmtId="0" fontId="24" fillId="0" borderId="18" xfId="0" applyFont="1" applyBorder="1"/>
    <xf numFmtId="0" fontId="24" fillId="0" borderId="17" xfId="0" applyFont="1" applyBorder="1"/>
    <xf numFmtId="0" fontId="0" fillId="11" borderId="17" xfId="0" applyFill="1" applyBorder="1"/>
    <xf numFmtId="0" fontId="0" fillId="11" borderId="18" xfId="0" applyFill="1" applyBorder="1"/>
    <xf numFmtId="0" fontId="0" fillId="11" borderId="19" xfId="0" applyFill="1" applyBorder="1"/>
    <xf numFmtId="0" fontId="25" fillId="0" borderId="0" xfId="0" applyFont="1" applyFill="1" applyBorder="1"/>
    <xf numFmtId="0" fontId="25" fillId="0" borderId="18" xfId="0" applyFont="1" applyBorder="1"/>
    <xf numFmtId="0" fontId="0" fillId="0" borderId="32" xfId="0" applyFill="1" applyBorder="1"/>
    <xf numFmtId="0" fontId="24" fillId="0" borderId="0" xfId="0" applyFont="1" applyBorder="1"/>
    <xf numFmtId="0" fontId="24" fillId="0" borderId="20" xfId="0" applyFont="1" applyBorder="1"/>
    <xf numFmtId="0" fontId="0" fillId="11" borderId="20" xfId="0" applyFill="1" applyBorder="1"/>
    <xf numFmtId="0" fontId="0" fillId="11" borderId="21" xfId="0" applyFill="1" applyBorder="1"/>
    <xf numFmtId="0" fontId="25" fillId="0" borderId="0" xfId="0" applyFont="1" applyBorder="1"/>
    <xf numFmtId="0" fontId="0" fillId="0" borderId="28" xfId="0" applyFill="1" applyBorder="1"/>
    <xf numFmtId="0" fontId="24" fillId="0" borderId="23" xfId="0" applyFont="1" applyBorder="1"/>
    <xf numFmtId="0" fontId="24" fillId="0" borderId="22" xfId="0" applyFont="1" applyBorder="1"/>
    <xf numFmtId="0" fontId="0" fillId="11" borderId="22" xfId="0" applyFill="1" applyBorder="1"/>
    <xf numFmtId="0" fontId="0" fillId="11" borderId="23" xfId="0" applyFill="1" applyBorder="1"/>
    <xf numFmtId="0" fontId="0" fillId="11" borderId="24" xfId="0" applyFill="1" applyBorder="1"/>
    <xf numFmtId="0" fontId="25" fillId="0" borderId="23" xfId="0" applyFont="1" applyBorder="1"/>
    <xf numFmtId="0" fontId="0" fillId="12" borderId="0" xfId="0" applyFill="1"/>
    <xf numFmtId="2" fontId="0" fillId="11" borderId="0" xfId="0" applyNumberFormat="1" applyFill="1"/>
    <xf numFmtId="2" fontId="19" fillId="0" borderId="0" xfId="0" applyNumberFormat="1" applyFont="1"/>
    <xf numFmtId="43" fontId="0" fillId="0" borderId="9" xfId="0" applyNumberFormat="1" applyBorder="1"/>
    <xf numFmtId="43" fontId="0" fillId="0" borderId="0" xfId="0" applyNumberFormat="1" applyBorder="1"/>
    <xf numFmtId="0" fontId="0" fillId="0" borderId="12" xfId="0" applyBorder="1"/>
    <xf numFmtId="0" fontId="0" fillId="0" borderId="3" xfId="0" applyBorder="1"/>
    <xf numFmtId="43" fontId="0" fillId="0" borderId="11" xfId="0" applyNumberFormat="1" applyBorder="1"/>
    <xf numFmtId="0" fontId="0" fillId="0" borderId="4" xfId="0" applyBorder="1"/>
    <xf numFmtId="0" fontId="0" fillId="0" borderId="8" xfId="0" applyBorder="1"/>
    <xf numFmtId="0" fontId="11" fillId="0" borderId="0" xfId="0" applyFont="1"/>
    <xf numFmtId="0" fontId="8" fillId="0" borderId="9" xfId="0" applyFont="1" applyBorder="1"/>
    <xf numFmtId="0" fontId="8" fillId="0" borderId="10" xfId="0" applyFont="1" applyBorder="1"/>
    <xf numFmtId="0" fontId="8" fillId="0" borderId="13" xfId="0" applyFont="1" applyBorder="1"/>
    <xf numFmtId="0" fontId="8" fillId="0" borderId="0" xfId="0" applyFont="1"/>
    <xf numFmtId="0" fontId="8" fillId="0" borderId="12" xfId="0" applyFont="1" applyBorder="1"/>
    <xf numFmtId="4" fontId="8" fillId="0" borderId="0" xfId="0" applyNumberFormat="1" applyFont="1"/>
    <xf numFmtId="0" fontId="3" fillId="0" borderId="13" xfId="0" applyFont="1" applyBorder="1"/>
    <xf numFmtId="0" fontId="3" fillId="13" borderId="0" xfId="0" applyFont="1" applyFill="1"/>
    <xf numFmtId="0" fontId="23" fillId="12" borderId="18" xfId="0" applyFont="1" applyFill="1" applyBorder="1" applyAlignment="1">
      <alignment horizontal="center"/>
    </xf>
    <xf numFmtId="0" fontId="25" fillId="0" borderId="17" xfId="0" applyFont="1" applyBorder="1"/>
    <xf numFmtId="0" fontId="25" fillId="0" borderId="20" xfId="0" applyFont="1" applyBorder="1"/>
    <xf numFmtId="0" fontId="25" fillId="0" borderId="22" xfId="0" applyFont="1" applyBorder="1"/>
    <xf numFmtId="0" fontId="25" fillId="0" borderId="18" xfId="0" applyFont="1" applyBorder="1" applyAlignment="1">
      <alignment wrapText="1"/>
    </xf>
    <xf numFmtId="0" fontId="25" fillId="0" borderId="19" xfId="0" applyFont="1" applyBorder="1"/>
    <xf numFmtId="0" fontId="25" fillId="0" borderId="21" xfId="0" applyFont="1" applyBorder="1"/>
    <xf numFmtId="0" fontId="25" fillId="0" borderId="24" xfId="0" applyFont="1" applyBorder="1"/>
    <xf numFmtId="0" fontId="0" fillId="14" borderId="0" xfId="0" applyFill="1"/>
    <xf numFmtId="43" fontId="0" fillId="0" borderId="0" xfId="0" applyNumberFormat="1"/>
    <xf numFmtId="166" fontId="0" fillId="11" borderId="0" xfId="0" applyNumberFormat="1" applyFill="1"/>
    <xf numFmtId="166" fontId="0" fillId="0" borderId="0" xfId="0" applyNumberFormat="1" applyFill="1"/>
    <xf numFmtId="166" fontId="0" fillId="0" borderId="0" xfId="0" applyNumberFormat="1"/>
    <xf numFmtId="166" fontId="0" fillId="3" borderId="0" xfId="0" applyNumberFormat="1" applyFill="1"/>
    <xf numFmtId="166" fontId="0" fillId="13" borderId="0" xfId="0" applyNumberFormat="1" applyFill="1"/>
    <xf numFmtId="166" fontId="0" fillId="8" borderId="0" xfId="0" applyNumberFormat="1" applyFill="1"/>
    <xf numFmtId="166" fontId="3" fillId="13" borderId="0" xfId="0" applyNumberFormat="1" applyFont="1" applyFill="1"/>
    <xf numFmtId="166" fontId="0" fillId="10" borderId="0" xfId="0" applyNumberFormat="1" applyFill="1"/>
    <xf numFmtId="166" fontId="16" fillId="3" borderId="0" xfId="0" applyNumberFormat="1" applyFont="1" applyFill="1"/>
    <xf numFmtId="166" fontId="16" fillId="0" borderId="0" xfId="0" applyNumberFormat="1" applyFont="1"/>
    <xf numFmtId="166" fontId="5" fillId="0" borderId="0" xfId="0" applyNumberFormat="1" applyFont="1" applyFill="1"/>
    <xf numFmtId="166" fontId="0" fillId="0" borderId="0" xfId="0" applyNumberFormat="1" applyFont="1" applyFill="1"/>
    <xf numFmtId="166" fontId="16" fillId="0" borderId="0" xfId="0" applyNumberFormat="1" applyFont="1" applyFill="1"/>
    <xf numFmtId="0" fontId="3" fillId="14" borderId="0" xfId="0" applyFont="1" applyFill="1"/>
    <xf numFmtId="166" fontId="3" fillId="14" borderId="0" xfId="0" applyNumberFormat="1" applyFont="1" applyFill="1"/>
    <xf numFmtId="166" fontId="3" fillId="14" borderId="33" xfId="0" applyNumberFormat="1" applyFont="1" applyFill="1" applyBorder="1"/>
    <xf numFmtId="166" fontId="3" fillId="14" borderId="34" xfId="0" applyNumberFormat="1" applyFont="1" applyFill="1" applyBorder="1"/>
    <xf numFmtId="0" fontId="0" fillId="3" borderId="17" xfId="0" applyFill="1" applyBorder="1"/>
    <xf numFmtId="0" fontId="0" fillId="3" borderId="18" xfId="0" applyFill="1" applyBorder="1"/>
    <xf numFmtId="0" fontId="0" fillId="3" borderId="19" xfId="0" applyFill="1" applyBorder="1"/>
    <xf numFmtId="0" fontId="0" fillId="3" borderId="20" xfId="0" applyFill="1" applyBorder="1"/>
    <xf numFmtId="0" fontId="0" fillId="3" borderId="0" xfId="0" applyFill="1" applyBorder="1"/>
    <xf numFmtId="0" fontId="0" fillId="3" borderId="21" xfId="0" applyFill="1" applyBorder="1"/>
    <xf numFmtId="0" fontId="0" fillId="3" borderId="22" xfId="0" applyFill="1" applyBorder="1"/>
    <xf numFmtId="0" fontId="0" fillId="3" borderId="23" xfId="0" applyFill="1" applyBorder="1"/>
    <xf numFmtId="0" fontId="0" fillId="3" borderId="24" xfId="0" applyFill="1" applyBorder="1"/>
    <xf numFmtId="0" fontId="25" fillId="3" borderId="17" xfId="0" applyFont="1" applyFill="1" applyBorder="1"/>
    <xf numFmtId="0" fontId="25" fillId="3" borderId="20" xfId="0" applyFont="1" applyFill="1" applyBorder="1"/>
    <xf numFmtId="0" fontId="25" fillId="3" borderId="22" xfId="0" applyFont="1" applyFill="1" applyBorder="1"/>
    <xf numFmtId="167" fontId="0" fillId="0" borderId="17" xfId="0" applyNumberFormat="1" applyBorder="1"/>
    <xf numFmtId="167" fontId="0" fillId="0" borderId="18" xfId="0" applyNumberFormat="1" applyBorder="1"/>
    <xf numFmtId="167" fontId="0" fillId="0" borderId="19" xfId="0" applyNumberFormat="1" applyBorder="1"/>
    <xf numFmtId="167" fontId="0" fillId="0" borderId="20" xfId="0" applyNumberFormat="1" applyBorder="1"/>
    <xf numFmtId="167" fontId="0" fillId="0" borderId="0" xfId="0" applyNumberFormat="1" applyBorder="1"/>
    <xf numFmtId="167" fontId="0" fillId="0" borderId="21" xfId="0" applyNumberFormat="1" applyBorder="1"/>
    <xf numFmtId="167" fontId="0" fillId="0" borderId="22" xfId="0" applyNumberFormat="1" applyBorder="1"/>
    <xf numFmtId="167" fontId="0" fillId="0" borderId="23" xfId="0" applyNumberFormat="1" applyBorder="1"/>
    <xf numFmtId="167" fontId="0" fillId="0" borderId="24" xfId="0" applyNumberFormat="1" applyBorder="1"/>
    <xf numFmtId="167" fontId="0" fillId="0" borderId="0" xfId="0" applyNumberFormat="1"/>
    <xf numFmtId="167" fontId="0" fillId="0" borderId="28" xfId="0" applyNumberFormat="1" applyBorder="1"/>
    <xf numFmtId="167" fontId="0" fillId="0" borderId="29" xfId="0" applyNumberFormat="1" applyBorder="1"/>
    <xf numFmtId="0" fontId="3" fillId="12" borderId="19" xfId="0" applyFont="1" applyFill="1" applyBorder="1"/>
    <xf numFmtId="167" fontId="0" fillId="0" borderId="32" xfId="0" applyNumberFormat="1" applyBorder="1"/>
    <xf numFmtId="0" fontId="0" fillId="15" borderId="0" xfId="0" applyFill="1"/>
    <xf numFmtId="0" fontId="3" fillId="16" borderId="32" xfId="0" applyFont="1" applyFill="1" applyBorder="1"/>
    <xf numFmtId="0" fontId="3" fillId="16" borderId="17" xfId="0" applyFont="1" applyFill="1" applyBorder="1"/>
    <xf numFmtId="0" fontId="3" fillId="16" borderId="18" xfId="0" applyFont="1" applyFill="1" applyBorder="1" applyAlignment="1">
      <alignment horizontal="center"/>
    </xf>
    <xf numFmtId="0" fontId="0" fillId="17" borderId="0" xfId="0" applyFill="1"/>
    <xf numFmtId="168" fontId="0" fillId="0" borderId="20" xfId="0" applyNumberFormat="1" applyBorder="1"/>
    <xf numFmtId="168" fontId="0" fillId="0" borderId="21" xfId="0" applyNumberFormat="1" applyBorder="1"/>
    <xf numFmtId="168" fontId="0" fillId="0" borderId="22" xfId="0" applyNumberFormat="1" applyBorder="1"/>
    <xf numFmtId="168" fontId="0" fillId="0" borderId="24" xfId="0" applyNumberFormat="1" applyBorder="1"/>
    <xf numFmtId="167" fontId="0" fillId="0" borderId="30" xfId="0" applyNumberFormat="1" applyBorder="1"/>
    <xf numFmtId="167" fontId="0" fillId="0" borderId="0" xfId="0" applyNumberFormat="1" applyAlignment="1">
      <alignment vertical="center"/>
    </xf>
    <xf numFmtId="11" fontId="0" fillId="0" borderId="0" xfId="0" applyNumberFormat="1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Border="1" applyAlignment="1">
      <alignment horizontal="left" vertical="center"/>
    </xf>
    <xf numFmtId="11" fontId="0" fillId="0" borderId="0" xfId="0" applyNumberFormat="1" applyFont="1" applyAlignment="1">
      <alignment vertical="center"/>
    </xf>
    <xf numFmtId="2" fontId="0" fillId="0" borderId="10" xfId="0" applyNumberFormat="1" applyFont="1" applyFill="1" applyBorder="1" applyAlignment="1">
      <alignment horizontal="left" vertical="center"/>
    </xf>
    <xf numFmtId="2" fontId="0" fillId="0" borderId="12" xfId="0" applyNumberFormat="1" applyFont="1" applyBorder="1" applyAlignment="1">
      <alignment vertical="center"/>
    </xf>
    <xf numFmtId="2" fontId="0" fillId="0" borderId="4" xfId="0" applyNumberFormat="1" applyFont="1" applyBorder="1" applyAlignment="1">
      <alignment vertical="center"/>
    </xf>
    <xf numFmtId="2" fontId="0" fillId="0" borderId="0" xfId="0" applyNumberFormat="1" applyAlignment="1">
      <alignment vertical="center"/>
    </xf>
    <xf numFmtId="0" fontId="3" fillId="4" borderId="3" xfId="0" applyFont="1" applyFill="1" applyBorder="1" applyAlignment="1">
      <alignment vertical="center"/>
    </xf>
    <xf numFmtId="0" fontId="0" fillId="4" borderId="4" xfId="0" applyFill="1" applyBorder="1" applyAlignment="1">
      <alignment vertical="center"/>
    </xf>
    <xf numFmtId="0" fontId="2" fillId="18" borderId="8" xfId="0" applyFont="1" applyFill="1" applyBorder="1" applyAlignment="1">
      <alignment horizontal="center"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3" fillId="4" borderId="8" xfId="0" applyFont="1" applyFill="1" applyBorder="1" applyAlignment="1">
      <alignment horizontal="left" vertical="center"/>
    </xf>
    <xf numFmtId="0" fontId="0" fillId="4" borderId="10" xfId="0" applyFill="1" applyBorder="1" applyAlignment="1">
      <alignment horizontal="left" vertical="center"/>
    </xf>
    <xf numFmtId="0" fontId="3" fillId="4" borderId="13" xfId="0" applyFont="1" applyFill="1" applyBorder="1" applyAlignment="1">
      <alignment horizontal="left" vertical="center"/>
    </xf>
    <xf numFmtId="0" fontId="0" fillId="4" borderId="12" xfId="0" applyFill="1" applyBorder="1" applyAlignment="1">
      <alignment horizontal="left" vertical="center"/>
    </xf>
    <xf numFmtId="0" fontId="23" fillId="0" borderId="25" xfId="0" applyFont="1" applyBorder="1" applyAlignment="1">
      <alignment horizontal="center"/>
    </xf>
    <xf numFmtId="0" fontId="23" fillId="0" borderId="26" xfId="0" applyFont="1" applyBorder="1" applyAlignment="1">
      <alignment horizontal="center"/>
    </xf>
    <xf numFmtId="0" fontId="23" fillId="0" borderId="27" xfId="0" applyFont="1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22" fillId="0" borderId="26" xfId="0" applyFont="1" applyBorder="1" applyAlignment="1">
      <alignment horizontal="center"/>
    </xf>
    <xf numFmtId="0" fontId="22" fillId="0" borderId="25" xfId="0" applyFont="1" applyBorder="1" applyAlignment="1">
      <alignment horizontal="center"/>
    </xf>
    <xf numFmtId="0" fontId="24" fillId="0" borderId="26" xfId="0" applyFont="1" applyBorder="1" applyAlignment="1">
      <alignment horizontal="center"/>
    </xf>
    <xf numFmtId="0" fontId="24" fillId="0" borderId="27" xfId="0" applyFont="1" applyBorder="1" applyAlignment="1">
      <alignment horizontal="center"/>
    </xf>
  </cellXfs>
  <cellStyles count="3">
    <cellStyle name="Lien hypertexte" xfId="1" builtinId="8"/>
    <cellStyle name="Monétaire" xfId="2" builtinId="4"/>
    <cellStyle name="Normal" xfId="0" builtinId="0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externalLink" Target="externalLinks/externalLink1.xml"/><Relationship Id="rId14" Type="http://schemas.openxmlformats.org/officeDocument/2006/relationships/externalLink" Target="externalLinks/externalLink2.xml"/><Relationship Id="rId15" Type="http://schemas.openxmlformats.org/officeDocument/2006/relationships/externalLink" Target="externalLinks/externalLink3.xml"/><Relationship Id="rId16" Type="http://schemas.openxmlformats.org/officeDocument/2006/relationships/externalLink" Target="externalLinks/externalLink4.xml"/><Relationship Id="rId17" Type="http://schemas.openxmlformats.org/officeDocument/2006/relationships/externalLink" Target="externalLinks/externalLink5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0900885560504"/>
          <c:y val="0.218750303442249"/>
          <c:w val="0.524250013813978"/>
          <c:h val="0.701705518834227"/>
        </c:manualLayout>
      </c:layout>
      <c:scatterChart>
        <c:scatterStyle val="lineMarker"/>
        <c:varyColors val="0"/>
        <c:ser>
          <c:idx val="0"/>
          <c:order val="0"/>
          <c:tx>
            <c:strRef>
              <c:f>'{Calculs intermediaires}'!$A$2</c:f>
              <c:strCache>
                <c:ptCount val="1"/>
                <c:pt idx="0">
                  <c:v>Loi de débit</c:v>
                </c:pt>
              </c:strCache>
            </c:strRef>
          </c:tx>
          <c:spPr>
            <a:ln w="38100">
              <a:solidFill>
                <a:srgbClr val="666699"/>
              </a:solidFill>
              <a:prstDash val="solid"/>
            </a:ln>
          </c:spPr>
          <c:marker>
            <c:spPr>
              <a:gradFill rotWithShape="0">
                <a:gsLst>
                  <a:gs pos="0">
                    <a:srgbClr val="9BC1FF"/>
                  </a:gs>
                  <a:gs pos="100000">
                    <a:srgbClr val="3F80CD"/>
                  </a:gs>
                </a:gsLst>
                <a:lin ang="5400000"/>
              </a:gradFill>
              <a:ln>
                <a:solidFill>
                  <a:srgbClr val="666699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xVal>
            <c:numRef>
              <c:f>'{Calculs intermediaires}'!$A$4:$A$7</c:f>
              <c:numCache>
                <c:formatCode>General</c:formatCode>
                <c:ptCount val="4"/>
                <c:pt idx="0">
                  <c:v>0.0</c:v>
                </c:pt>
                <c:pt idx="1">
                  <c:v>35.1557533415632</c:v>
                </c:pt>
                <c:pt idx="2">
                  <c:v>36.24304468202392</c:v>
                </c:pt>
                <c:pt idx="3" formatCode="0.00">
                  <c:v>108.7291340460718</c:v>
                </c:pt>
              </c:numCache>
            </c:numRef>
          </c:xVal>
          <c:yVal>
            <c:numRef>
              <c:f>'{Calculs intermediaires}'!$B$4:$B$7</c:f>
              <c:numCache>
                <c:formatCode>0.00</c:formatCode>
                <c:ptCount val="4"/>
                <c:pt idx="0">
                  <c:v>2378.423410757466</c:v>
                </c:pt>
                <c:pt idx="1">
                  <c:v>2378.423410757466</c:v>
                </c:pt>
                <c:pt idx="2">
                  <c:v>1903.399979323987</c:v>
                </c:pt>
                <c:pt idx="3">
                  <c:v>1903.399979323987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733704"/>
        <c:axId val="2124748504"/>
      </c:scatterChart>
      <c:valAx>
        <c:axId val="2124733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2124748504"/>
        <c:crosses val="autoZero"/>
        <c:crossBetween val="midCat"/>
      </c:valAx>
      <c:valAx>
        <c:axId val="2124748504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crossAx val="2124733704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r"/>
      <c:layout>
        <c:manualLayout>
          <c:xMode val="edge"/>
          <c:yMode val="edge"/>
          <c:x val="0.745959156952956"/>
          <c:y val="0.661932712956335"/>
          <c:w val="0.240184999969692"/>
          <c:h val="0.0795454545454546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0.984251969" l="0.750000000000005" r="0.750000000000005" t="0.984251969" header="0.5" footer="0.5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4" Type="http://schemas.openxmlformats.org/officeDocument/2006/relationships/image" Target="../media/image4.png"/><Relationship Id="rId1" Type="http://schemas.openxmlformats.org/officeDocument/2006/relationships/image" Target="../media/image1.jpe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13969</xdr:colOff>
      <xdr:row>19</xdr:row>
      <xdr:rowOff>7620</xdr:rowOff>
    </xdr:from>
    <xdr:to>
      <xdr:col>8</xdr:col>
      <xdr:colOff>133349</xdr:colOff>
      <xdr:row>23</xdr:row>
      <xdr:rowOff>132080</xdr:rowOff>
    </xdr:to>
    <xdr:sp macro="[0]!itere" textlink="">
      <xdr:nvSpPr>
        <xdr:cNvPr id="2" name="Rectangle 1"/>
        <xdr:cNvSpPr/>
      </xdr:nvSpPr>
      <xdr:spPr bwMode="auto">
        <a:xfrm>
          <a:off x="6376669" y="3722370"/>
          <a:ext cx="909955" cy="800735"/>
        </a:xfrm>
        <a:prstGeom prst="rect">
          <a:avLst/>
        </a:prstGeom>
        <a:solidFill>
          <a:srgbClr val="FF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/>
      </xdr:spPr>
      <xdr:txBody>
        <a:bodyPr wrap="square" anchor="ctr"/>
        <a:lstStyle/>
        <a:p>
          <a:pPr algn="ctr"/>
          <a:r>
            <a:rPr lang="fr-FR" sz="1600" b="1">
              <a:solidFill>
                <a:schemeClr val="bg1"/>
              </a:solidFill>
            </a:rPr>
            <a:t>ITERER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2</xdr:row>
      <xdr:rowOff>85725</xdr:rowOff>
    </xdr:from>
    <xdr:to>
      <xdr:col>11</xdr:col>
      <xdr:colOff>123825</xdr:colOff>
      <xdr:row>23</xdr:row>
      <xdr:rowOff>28575</xdr:rowOff>
    </xdr:to>
    <xdr:graphicFrame macro="">
      <xdr:nvGraphicFramePr>
        <xdr:cNvPr id="2091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85725</xdr:colOff>
      <xdr:row>0</xdr:row>
      <xdr:rowOff>28575</xdr:rowOff>
    </xdr:from>
    <xdr:to>
      <xdr:col>11</xdr:col>
      <xdr:colOff>419100</xdr:colOff>
      <xdr:row>13</xdr:row>
      <xdr:rowOff>38100</xdr:rowOff>
    </xdr:to>
    <xdr:pic>
      <xdr:nvPicPr>
        <xdr:cNvPr id="3283" name="Image 1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 l="20195" t="18367" r="6685" b="37848"/>
        <a:stretch>
          <a:fillRect/>
        </a:stretch>
      </xdr:blipFill>
      <xdr:spPr bwMode="auto">
        <a:xfrm>
          <a:off x="9258300" y="28575"/>
          <a:ext cx="4057650" cy="2114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219075</xdr:colOff>
      <xdr:row>39</xdr:row>
      <xdr:rowOff>66675</xdr:rowOff>
    </xdr:from>
    <xdr:to>
      <xdr:col>12</xdr:col>
      <xdr:colOff>523875</xdr:colOff>
      <xdr:row>70</xdr:row>
      <xdr:rowOff>114300</xdr:rowOff>
    </xdr:to>
    <xdr:pic>
      <xdr:nvPicPr>
        <xdr:cNvPr id="3284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2277725" y="6391275"/>
          <a:ext cx="2257425" cy="50768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85725</xdr:colOff>
      <xdr:row>0</xdr:row>
      <xdr:rowOff>28575</xdr:rowOff>
    </xdr:from>
    <xdr:to>
      <xdr:col>11</xdr:col>
      <xdr:colOff>133350</xdr:colOff>
      <xdr:row>13</xdr:row>
      <xdr:rowOff>38100</xdr:rowOff>
    </xdr:to>
    <xdr:pic>
      <xdr:nvPicPr>
        <xdr:cNvPr id="3285" name="Image 6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 l="20195" t="18367" r="6685" b="37848"/>
        <a:stretch>
          <a:fillRect/>
        </a:stretch>
      </xdr:blipFill>
      <xdr:spPr bwMode="auto">
        <a:xfrm>
          <a:off x="9258300" y="28575"/>
          <a:ext cx="3771900" cy="2114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152400</xdr:colOff>
      <xdr:row>78</xdr:row>
      <xdr:rowOff>95250</xdr:rowOff>
    </xdr:from>
    <xdr:to>
      <xdr:col>9</xdr:col>
      <xdr:colOff>219075</xdr:colOff>
      <xdr:row>89</xdr:row>
      <xdr:rowOff>47625</xdr:rowOff>
    </xdr:to>
    <xdr:pic>
      <xdr:nvPicPr>
        <xdr:cNvPr id="3286" name="Picture 10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9324975" y="12744450"/>
          <a:ext cx="2114550" cy="1733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3</xdr:col>
      <xdr:colOff>219075</xdr:colOff>
      <xdr:row>23</xdr:row>
      <xdr:rowOff>66675</xdr:rowOff>
    </xdr:from>
    <xdr:to>
      <xdr:col>4</xdr:col>
      <xdr:colOff>666750</xdr:colOff>
      <xdr:row>33</xdr:row>
      <xdr:rowOff>9525</xdr:rowOff>
    </xdr:to>
    <xdr:pic>
      <xdr:nvPicPr>
        <xdr:cNvPr id="3287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4733925" y="3790950"/>
          <a:ext cx="1304925" cy="15621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rkbook/Desktop/projet-lanceur/Support%20cours/conecyl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rkbook/Desktop/projet-lanceur/Support%20cours/r&#233;treint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rkbook/Desktop/projet-lanceur/Support%20cours/interpol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rkbook/Desktop/projet-lanceur/Support%20cours/Kp_jupe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rkbook/Desktop/projet-lanceur/Support%20cours/Cone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ConeCylindre 5°"/>
      <sheetName val="ConeCylindre 10°"/>
      <sheetName val="ConeCylindre 15°"/>
      <sheetName val="ConeCylindre 20°"/>
      <sheetName val="conecyl"/>
      <sheetName val="conecyl.xls"/>
    </sheetNames>
    <definedNames>
      <definedName name="InterpCm"/>
      <definedName name="InterpCn"/>
      <definedName name="interpol"/>
    </definedNames>
    <sheetDataSet>
      <sheetData sheetId="0"/>
      <sheetData sheetId="1"/>
      <sheetData sheetId="2"/>
      <sheetData sheetId="3"/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CA basé sur Ariane 3"/>
    </sheetNames>
    <sheetDataSet>
      <sheetData sheetId="0">
        <row r="6">
          <cell r="A6">
            <v>0.1</v>
          </cell>
          <cell r="B6">
            <v>4.6530439690507085E-3</v>
          </cell>
        </row>
        <row r="7">
          <cell r="A7">
            <v>0.3</v>
          </cell>
          <cell r="B7">
            <v>5.2170492986326131E-3</v>
          </cell>
        </row>
        <row r="8">
          <cell r="A8">
            <v>0.5</v>
          </cell>
          <cell r="B8">
            <v>7.3350871489917683E-3</v>
          </cell>
        </row>
        <row r="9">
          <cell r="A9">
            <v>0.7</v>
          </cell>
          <cell r="B9">
            <v>1.2213967972664004E-2</v>
          </cell>
        </row>
        <row r="10">
          <cell r="A10">
            <v>0.8</v>
          </cell>
          <cell r="B10">
            <v>1.4975313923381587E-2</v>
          </cell>
        </row>
        <row r="11">
          <cell r="A11">
            <v>0.9</v>
          </cell>
          <cell r="B11">
            <v>2.9124068312031081E-2</v>
          </cell>
        </row>
        <row r="12">
          <cell r="A12">
            <v>0.95</v>
          </cell>
          <cell r="B12">
            <v>7.6596542766387221E-2</v>
          </cell>
        </row>
        <row r="13">
          <cell r="A13">
            <v>1</v>
          </cell>
          <cell r="B13">
            <v>0.11182864293434305</v>
          </cell>
        </row>
        <row r="14">
          <cell r="A14">
            <v>1.05</v>
          </cell>
          <cell r="B14">
            <v>0.11030565694041626</v>
          </cell>
        </row>
        <row r="15">
          <cell r="A15">
            <v>1.1000000000000001</v>
          </cell>
          <cell r="B15">
            <v>0.10406355941601206</v>
          </cell>
        </row>
        <row r="16">
          <cell r="A16">
            <v>1.2</v>
          </cell>
          <cell r="B16">
            <v>9.2658018431312827E-2</v>
          </cell>
        </row>
        <row r="17">
          <cell r="A17">
            <v>1.3</v>
          </cell>
          <cell r="B17">
            <v>8.2609202368304407E-2</v>
          </cell>
        </row>
        <row r="18">
          <cell r="A18">
            <v>1.5</v>
          </cell>
          <cell r="B18">
            <v>7.3539488016606022E-2</v>
          </cell>
        </row>
        <row r="19">
          <cell r="A19">
            <v>2</v>
          </cell>
          <cell r="B19">
            <v>5.0865202137360059E-2</v>
          </cell>
        </row>
        <row r="20">
          <cell r="A20">
            <v>3</v>
          </cell>
          <cell r="B20">
            <v>2.7777262481908777E-2</v>
          </cell>
        </row>
        <row r="21">
          <cell r="A21">
            <v>5</v>
          </cell>
          <cell r="B21">
            <v>6.3450599577964213E-3</v>
          </cell>
        </row>
        <row r="22">
          <cell r="A22">
            <v>7</v>
          </cell>
          <cell r="B22">
            <v>9.8700932676833229E-4</v>
          </cell>
        </row>
        <row r="23">
          <cell r="A23">
            <v>10</v>
          </cell>
          <cell r="B23">
            <v>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Module1"/>
      <sheetName val="Dialog1"/>
      <sheetName val="interpolation"/>
      <sheetName val="interpolation2"/>
      <sheetName val="interpol"/>
      <sheetName val="interpol.xls"/>
    </sheetNames>
    <definedNames>
      <definedName name="interpol"/>
    </defined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Graphique"/>
      <sheetName val="jupA_data"/>
      <sheetName val="jupkp_data20deg"/>
      <sheetName val="jupkp_data18deg"/>
      <sheetName val="jupkp_data15deg"/>
      <sheetName val="jupkp_data13deg"/>
      <sheetName val="jupkp_data10deg"/>
      <sheetName val="jupkp_data8deg"/>
      <sheetName val="jupkp_data5deg"/>
    </sheetNames>
    <sheetDataSet>
      <sheetData sheetId="0"/>
      <sheetData sheetId="1">
        <row r="2">
          <cell r="A2">
            <v>0.6</v>
          </cell>
          <cell r="B2">
            <v>4</v>
          </cell>
        </row>
        <row r="3">
          <cell r="A3">
            <v>0.7</v>
          </cell>
          <cell r="B3">
            <v>3.9</v>
          </cell>
        </row>
        <row r="4">
          <cell r="A4">
            <v>0.8</v>
          </cell>
          <cell r="B4">
            <v>3.95</v>
          </cell>
        </row>
        <row r="5">
          <cell r="A5">
            <v>1</v>
          </cell>
          <cell r="B5">
            <v>4.3</v>
          </cell>
        </row>
        <row r="6">
          <cell r="A6">
            <v>1.3</v>
          </cell>
          <cell r="B6">
            <v>3.5</v>
          </cell>
        </row>
        <row r="7">
          <cell r="A7">
            <v>1.7</v>
          </cell>
          <cell r="B7">
            <v>3</v>
          </cell>
        </row>
        <row r="8">
          <cell r="A8">
            <v>2.5</v>
          </cell>
          <cell r="B8">
            <v>2.5499999999999998</v>
          </cell>
        </row>
        <row r="9">
          <cell r="A9">
            <v>3</v>
          </cell>
          <cell r="B9">
            <v>2.4500000000000002</v>
          </cell>
        </row>
        <row r="10">
          <cell r="A10">
            <v>4</v>
          </cell>
          <cell r="B10">
            <v>2.4500000000000002</v>
          </cell>
        </row>
      </sheetData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XCP_CON10_D4"/>
      <sheetName val="XCP_CON10_D0"/>
      <sheetName val="CN_CON10_D4"/>
      <sheetName val="CN_CON10_D0"/>
      <sheetName val="CA_CON10_D4"/>
      <sheetName val="CA_CON10_D0"/>
      <sheetName val="CA_CON15_D4"/>
      <sheetName val="CA_CON15_D0"/>
      <sheetName val="CN_CON15_D4"/>
      <sheetName val="CN_CON15_D0"/>
      <sheetName val="XCP_CON15_D0"/>
      <sheetName val="XCP_CON15_D4"/>
      <sheetName val="graphes cône10°"/>
      <sheetName val="graphes cône15°"/>
    </sheetNames>
    <sheetDataSet>
      <sheetData sheetId="0">
        <row r="1">
          <cell r="A1">
            <v>0.49822480000000002</v>
          </cell>
          <cell r="B1">
            <v>0.91278049999999999</v>
          </cell>
        </row>
        <row r="2">
          <cell r="A2">
            <v>0.69968680000000005</v>
          </cell>
          <cell r="B2">
            <v>0.89159299999999997</v>
          </cell>
        </row>
        <row r="3">
          <cell r="A3">
            <v>0.85616170000000003</v>
          </cell>
          <cell r="B3">
            <v>0.87035739999999995</v>
          </cell>
        </row>
        <row r="4">
          <cell r="A4">
            <v>0.92047460000000003</v>
          </cell>
          <cell r="B4">
            <v>0.85972459999999995</v>
          </cell>
        </row>
        <row r="5">
          <cell r="A5">
            <v>0.96332399999999996</v>
          </cell>
          <cell r="B5">
            <v>0.85870040000000003</v>
          </cell>
        </row>
        <row r="6">
          <cell r="A6">
            <v>1.089601</v>
          </cell>
          <cell r="B6">
            <v>0.88558939999999997</v>
          </cell>
        </row>
        <row r="7">
          <cell r="A7">
            <v>1.1947080000000001</v>
          </cell>
          <cell r="B7">
            <v>0.85359719999999994</v>
          </cell>
        </row>
        <row r="8">
          <cell r="A8">
            <v>1.2802420000000001</v>
          </cell>
          <cell r="B8">
            <v>0.89007400000000003</v>
          </cell>
        </row>
        <row r="9">
          <cell r="A9">
            <v>1.4946029999999999</v>
          </cell>
          <cell r="B9">
            <v>0.85819880000000004</v>
          </cell>
        </row>
        <row r="10">
          <cell r="A10">
            <v>1.6960789999999999</v>
          </cell>
          <cell r="B10">
            <v>0.83380080000000001</v>
          </cell>
        </row>
        <row r="11">
          <cell r="A11">
            <v>1.923257</v>
          </cell>
          <cell r="B11">
            <v>0.81050049999999996</v>
          </cell>
        </row>
        <row r="12">
          <cell r="A12">
            <v>2.3839610000000002</v>
          </cell>
          <cell r="B12">
            <v>0.7820994</v>
          </cell>
        </row>
        <row r="13">
          <cell r="A13">
            <v>2.6946400000000001</v>
          </cell>
          <cell r="B13">
            <v>0.76959</v>
          </cell>
        </row>
        <row r="14">
          <cell r="A14">
            <v>3.135996</v>
          </cell>
          <cell r="B14">
            <v>0.75722040000000002</v>
          </cell>
        </row>
        <row r="15">
          <cell r="A15">
            <v>3.7679969999999998</v>
          </cell>
          <cell r="B15">
            <v>0.74826539999999997</v>
          </cell>
        </row>
        <row r="16">
          <cell r="A16">
            <v>4.3528539999999998</v>
          </cell>
          <cell r="B16">
            <v>0.74247039999999997</v>
          </cell>
        </row>
        <row r="17">
          <cell r="A17">
            <v>4.9655519999999997</v>
          </cell>
          <cell r="B17">
            <v>0.73884539999999999</v>
          </cell>
        </row>
      </sheetData>
      <sheetData sheetId="1">
        <row r="1">
          <cell r="A1">
            <v>0.4966758</v>
          </cell>
          <cell r="B1">
            <v>0.98929540000000005</v>
          </cell>
        </row>
        <row r="2">
          <cell r="A2">
            <v>0.61228780000000005</v>
          </cell>
          <cell r="B2">
            <v>0.97888459999999999</v>
          </cell>
        </row>
        <row r="3">
          <cell r="A3">
            <v>0.69574389999999997</v>
          </cell>
          <cell r="B3">
            <v>0.96975489999999998</v>
          </cell>
        </row>
        <row r="4">
          <cell r="A4">
            <v>0.77900659999999999</v>
          </cell>
          <cell r="B4">
            <v>0.95310850000000003</v>
          </cell>
        </row>
        <row r="5">
          <cell r="A5">
            <v>0.88559429999999995</v>
          </cell>
          <cell r="B5">
            <v>0.92557210000000001</v>
          </cell>
        </row>
        <row r="6">
          <cell r="A6">
            <v>0.92613909999999999</v>
          </cell>
          <cell r="B6">
            <v>0.91671899999999995</v>
          </cell>
        </row>
        <row r="7">
          <cell r="A7">
            <v>0.94533869999999998</v>
          </cell>
          <cell r="B7">
            <v>0.91229930000000004</v>
          </cell>
        </row>
        <row r="8">
          <cell r="A8">
            <v>0.96891229999999995</v>
          </cell>
          <cell r="B8">
            <v>0.91107340000000003</v>
          </cell>
        </row>
        <row r="9">
          <cell r="A9">
            <v>1.0376810000000001</v>
          </cell>
          <cell r="B9">
            <v>0.91492620000000002</v>
          </cell>
        </row>
        <row r="10">
          <cell r="A10">
            <v>1.099958</v>
          </cell>
          <cell r="B10">
            <v>0.91667279999999995</v>
          </cell>
        </row>
        <row r="11">
          <cell r="A11">
            <v>1.1383019999999999</v>
          </cell>
          <cell r="B11">
            <v>0.90568590000000004</v>
          </cell>
        </row>
        <row r="12">
          <cell r="A12">
            <v>1.165697</v>
          </cell>
          <cell r="B12">
            <v>0.88617760000000001</v>
          </cell>
        </row>
        <row r="13">
          <cell r="A13">
            <v>1.1933130000000001</v>
          </cell>
          <cell r="B13">
            <v>0.87525980000000003</v>
          </cell>
        </row>
        <row r="14">
          <cell r="A14">
            <v>1.289974</v>
          </cell>
          <cell r="B14">
            <v>0.87893290000000002</v>
          </cell>
        </row>
        <row r="15">
          <cell r="A15">
            <v>1.414582</v>
          </cell>
          <cell r="B15">
            <v>0.88457379999999997</v>
          </cell>
        </row>
        <row r="16">
          <cell r="A16">
            <v>1.719336</v>
          </cell>
          <cell r="B16">
            <v>0.88583199999999995</v>
          </cell>
        </row>
        <row r="17">
          <cell r="A17">
            <v>1.9832959999999999</v>
          </cell>
          <cell r="B17">
            <v>0.88627900000000004</v>
          </cell>
        </row>
        <row r="18">
          <cell r="A18">
            <v>2.2410399999999999</v>
          </cell>
          <cell r="B18">
            <v>0.89535799999999999</v>
          </cell>
        </row>
        <row r="19">
          <cell r="A19">
            <v>2.4707819999999998</v>
          </cell>
          <cell r="B19">
            <v>0.9003215</v>
          </cell>
        </row>
        <row r="20">
          <cell r="A20">
            <v>2.839985</v>
          </cell>
          <cell r="B20">
            <v>0.90438629999999998</v>
          </cell>
        </row>
        <row r="21">
          <cell r="A21">
            <v>3.2668699999999999</v>
          </cell>
          <cell r="B21">
            <v>0.89841349999999998</v>
          </cell>
        </row>
        <row r="22">
          <cell r="A22">
            <v>3.4598049999999998</v>
          </cell>
          <cell r="B22">
            <v>0.89072629999999997</v>
          </cell>
        </row>
        <row r="23">
          <cell r="A23">
            <v>3.877942</v>
          </cell>
          <cell r="B23">
            <v>0.87836610000000004</v>
          </cell>
        </row>
        <row r="24">
          <cell r="A24">
            <v>4.2919539999999996</v>
          </cell>
          <cell r="B24">
            <v>0.87247620000000004</v>
          </cell>
        </row>
        <row r="25">
          <cell r="A25">
            <v>4.6802739999999998</v>
          </cell>
          <cell r="B25">
            <v>0.86889989999999995</v>
          </cell>
        </row>
        <row r="26">
          <cell r="A26">
            <v>5.0021089999999999</v>
          </cell>
          <cell r="B26">
            <v>0.86682610000000004</v>
          </cell>
        </row>
      </sheetData>
      <sheetData sheetId="2">
        <row r="1">
          <cell r="A1">
            <v>0.51472549999999995</v>
          </cell>
          <cell r="B1">
            <v>1.58518</v>
          </cell>
        </row>
        <row r="2">
          <cell r="A2">
            <v>0.65948249999999997</v>
          </cell>
          <cell r="B2">
            <v>1.6428499999999999</v>
          </cell>
        </row>
        <row r="3">
          <cell r="A3">
            <v>0.77620120000000004</v>
          </cell>
          <cell r="B3">
            <v>1.692399</v>
          </cell>
        </row>
        <row r="4">
          <cell r="A4">
            <v>0.84978920000000002</v>
          </cell>
          <cell r="B4">
            <v>1.729781</v>
          </cell>
        </row>
        <row r="5">
          <cell r="A5">
            <v>0.88433459999999997</v>
          </cell>
          <cell r="B5">
            <v>1.742083</v>
          </cell>
        </row>
        <row r="6">
          <cell r="A6">
            <v>0.94248940000000003</v>
          </cell>
          <cell r="B6">
            <v>1.754011</v>
          </cell>
        </row>
        <row r="7">
          <cell r="A7">
            <v>0.97669379999999995</v>
          </cell>
          <cell r="B7">
            <v>1.744902</v>
          </cell>
        </row>
        <row r="8">
          <cell r="A8">
            <v>1.0342690000000001</v>
          </cell>
          <cell r="B8">
            <v>1.7204330000000001</v>
          </cell>
        </row>
        <row r="9">
          <cell r="A9">
            <v>1.0707899999999999</v>
          </cell>
          <cell r="B9">
            <v>1.7219949999999999</v>
          </cell>
        </row>
        <row r="10">
          <cell r="A10">
            <v>1.190985</v>
          </cell>
          <cell r="B10">
            <v>1.85501</v>
          </cell>
        </row>
        <row r="11">
          <cell r="A11">
            <v>1.242599</v>
          </cell>
          <cell r="B11">
            <v>1.860617</v>
          </cell>
        </row>
        <row r="12">
          <cell r="A12">
            <v>1.4613849999999999</v>
          </cell>
          <cell r="B12">
            <v>1.8485830000000001</v>
          </cell>
        </row>
        <row r="13">
          <cell r="A13">
            <v>1.744799</v>
          </cell>
          <cell r="B13">
            <v>1.850517</v>
          </cell>
        </row>
        <row r="14">
          <cell r="A14">
            <v>1.9722729999999999</v>
          </cell>
          <cell r="B14">
            <v>1.84477</v>
          </cell>
        </row>
        <row r="15">
          <cell r="A15">
            <v>2.1093980000000001</v>
          </cell>
          <cell r="B15">
            <v>1.8276060000000001</v>
          </cell>
        </row>
        <row r="16">
          <cell r="A16">
            <v>2.3661020000000001</v>
          </cell>
          <cell r="B16">
            <v>1.769998</v>
          </cell>
        </row>
        <row r="17">
          <cell r="A17">
            <v>2.7105649999999999</v>
          </cell>
          <cell r="B17">
            <v>1.6960090000000001</v>
          </cell>
        </row>
        <row r="18">
          <cell r="A18">
            <v>3.1042909999999999</v>
          </cell>
          <cell r="B18">
            <v>1.614814</v>
          </cell>
        </row>
        <row r="19">
          <cell r="A19">
            <v>3.4681060000000001</v>
          </cell>
          <cell r="B19">
            <v>1.542659</v>
          </cell>
        </row>
        <row r="20">
          <cell r="A20">
            <v>3.7634089999999998</v>
          </cell>
          <cell r="B20">
            <v>1.4822979999999999</v>
          </cell>
        </row>
      </sheetData>
      <sheetData sheetId="3">
        <row r="1">
          <cell r="A1">
            <v>0.47582170000000001</v>
          </cell>
          <cell r="B1">
            <v>1.5751029999999999</v>
          </cell>
        </row>
        <row r="2">
          <cell r="A2">
            <v>0.6777396</v>
          </cell>
          <cell r="B2">
            <v>1.657556</v>
          </cell>
        </row>
        <row r="3">
          <cell r="A3">
            <v>0.83661220000000003</v>
          </cell>
          <cell r="B3">
            <v>1.74414</v>
          </cell>
        </row>
        <row r="4">
          <cell r="A4">
            <v>0.91812490000000002</v>
          </cell>
          <cell r="B4">
            <v>1.8067839999999999</v>
          </cell>
        </row>
        <row r="5">
          <cell r="A5">
            <v>0.96115349999999999</v>
          </cell>
          <cell r="B5">
            <v>1.8069500000000001</v>
          </cell>
        </row>
        <row r="6">
          <cell r="A6">
            <v>1.087871</v>
          </cell>
          <cell r="B6">
            <v>1.863321</v>
          </cell>
        </row>
        <row r="7">
          <cell r="A7">
            <v>1.18662</v>
          </cell>
          <cell r="B7">
            <v>1.919584</v>
          </cell>
        </row>
        <row r="8">
          <cell r="A8">
            <v>1.2296240000000001</v>
          </cell>
          <cell r="B8">
            <v>1.9261980000000001</v>
          </cell>
        </row>
        <row r="9">
          <cell r="A9">
            <v>1.2877130000000001</v>
          </cell>
          <cell r="B9">
            <v>1.926423</v>
          </cell>
        </row>
        <row r="10">
          <cell r="A10">
            <v>1.5136799999999999</v>
          </cell>
          <cell r="B10">
            <v>1.9101030000000001</v>
          </cell>
        </row>
        <row r="11">
          <cell r="A11">
            <v>1.9354020000000001</v>
          </cell>
          <cell r="B11">
            <v>1.9009879999999999</v>
          </cell>
        </row>
        <row r="12">
          <cell r="A12">
            <v>2.544365</v>
          </cell>
          <cell r="B12">
            <v>1.8754040000000001</v>
          </cell>
        </row>
        <row r="13">
          <cell r="A13">
            <v>2.9317310000000001</v>
          </cell>
          <cell r="B13">
            <v>1.848962</v>
          </cell>
        </row>
        <row r="14">
          <cell r="A14">
            <v>3.1598069999999998</v>
          </cell>
          <cell r="B14">
            <v>1.843397</v>
          </cell>
        </row>
        <row r="15">
          <cell r="A15">
            <v>3.9493659999999999</v>
          </cell>
          <cell r="B15">
            <v>1.8507499999999999</v>
          </cell>
        </row>
        <row r="16">
          <cell r="A16">
            <v>4.7409420000000004</v>
          </cell>
          <cell r="B16">
            <v>1.8924989999999999</v>
          </cell>
        </row>
        <row r="17">
          <cell r="A17">
            <v>4.9173099999999996</v>
          </cell>
          <cell r="B17">
            <v>1.9060760000000001</v>
          </cell>
        </row>
      </sheetData>
      <sheetData sheetId="4">
        <row r="1">
          <cell r="A1">
            <v>0.47525679999999998</v>
          </cell>
          <cell r="B1">
            <v>3.2958029999999999E-2</v>
          </cell>
        </row>
        <row r="2">
          <cell r="A2">
            <v>0.60428979999999999</v>
          </cell>
          <cell r="B2">
            <v>4.2241420000000002E-2</v>
          </cell>
        </row>
        <row r="3">
          <cell r="A3">
            <v>0.73553610000000003</v>
          </cell>
          <cell r="B3">
            <v>5.6891280000000002E-2</v>
          </cell>
        </row>
        <row r="4">
          <cell r="A4">
            <v>0.80228529999999998</v>
          </cell>
          <cell r="B4">
            <v>6.8511329999999995E-2</v>
          </cell>
        </row>
        <row r="5">
          <cell r="A5">
            <v>0.8583172</v>
          </cell>
          <cell r="B5">
            <v>8.2312880000000005E-2</v>
          </cell>
        </row>
        <row r="6">
          <cell r="A6">
            <v>0.94022300000000003</v>
          </cell>
          <cell r="B6">
            <v>0.103559</v>
          </cell>
        </row>
        <row r="7">
          <cell r="A7">
            <v>1.0243420000000001</v>
          </cell>
          <cell r="B7">
            <v>0.1301715</v>
          </cell>
        </row>
        <row r="8">
          <cell r="A8">
            <v>1.086884</v>
          </cell>
          <cell r="B8">
            <v>0.1493266</v>
          </cell>
        </row>
        <row r="9">
          <cell r="A9">
            <v>1.1278239999999999</v>
          </cell>
          <cell r="B9">
            <v>0.15887509999999999</v>
          </cell>
        </row>
        <row r="10">
          <cell r="A10">
            <v>1.1752229999999999</v>
          </cell>
          <cell r="B10">
            <v>0.16947870000000001</v>
          </cell>
        </row>
        <row r="11">
          <cell r="A11">
            <v>1.1752359999999999</v>
          </cell>
          <cell r="B11">
            <v>0.17055329999999999</v>
          </cell>
        </row>
        <row r="12">
          <cell r="A12">
            <v>1.2677039999999999</v>
          </cell>
          <cell r="B12">
            <v>0.17672280000000001</v>
          </cell>
        </row>
        <row r="13">
          <cell r="A13">
            <v>1.407519</v>
          </cell>
          <cell r="B13">
            <v>0.1891977</v>
          </cell>
        </row>
        <row r="14">
          <cell r="A14">
            <v>1.5214989999999999</v>
          </cell>
          <cell r="B14">
            <v>0.19745170000000001</v>
          </cell>
        </row>
        <row r="15">
          <cell r="A15">
            <v>1.7601370000000001</v>
          </cell>
          <cell r="B15">
            <v>0.20855460000000001</v>
          </cell>
        </row>
        <row r="16">
          <cell r="A16">
            <v>1.9105780000000001</v>
          </cell>
          <cell r="B16">
            <v>0.21132580000000001</v>
          </cell>
        </row>
        <row r="17">
          <cell r="A17">
            <v>2.7506719999999998</v>
          </cell>
          <cell r="B17">
            <v>0.2077233</v>
          </cell>
        </row>
        <row r="18">
          <cell r="A18">
            <v>3.9925570000000001</v>
          </cell>
          <cell r="B18">
            <v>0.20291190000000001</v>
          </cell>
        </row>
        <row r="19">
          <cell r="A19">
            <v>4.4480750000000002</v>
          </cell>
          <cell r="B19">
            <v>0.20261589999999999</v>
          </cell>
        </row>
        <row r="20">
          <cell r="A20">
            <v>4.890676</v>
          </cell>
          <cell r="B20">
            <v>0.20020950000000001</v>
          </cell>
        </row>
      </sheetData>
      <sheetData sheetId="5"/>
      <sheetData sheetId="6">
        <row r="1">
          <cell r="A1">
            <v>0.4817727</v>
          </cell>
          <cell r="B1">
            <v>6.6354949999999996E-2</v>
          </cell>
        </row>
        <row r="2">
          <cell r="A2">
            <v>0.59972740000000002</v>
          </cell>
          <cell r="B2">
            <v>8.1362500000000004E-2</v>
          </cell>
        </row>
        <row r="3">
          <cell r="A3">
            <v>0.72122980000000003</v>
          </cell>
          <cell r="B3">
            <v>0.1043536</v>
          </cell>
        </row>
        <row r="4">
          <cell r="A4">
            <v>0.88272039999999996</v>
          </cell>
          <cell r="B4">
            <v>0.15104129999999999</v>
          </cell>
        </row>
        <row r="5">
          <cell r="A5">
            <v>1.0021679999999999</v>
          </cell>
          <cell r="B5">
            <v>0.20771000000000001</v>
          </cell>
        </row>
        <row r="6">
          <cell r="A6">
            <v>1.0688150000000001</v>
          </cell>
          <cell r="B6">
            <v>0.24720439999999999</v>
          </cell>
        </row>
        <row r="7">
          <cell r="A7">
            <v>1.1420410000000001</v>
          </cell>
          <cell r="B7">
            <v>0.28824470000000002</v>
          </cell>
        </row>
        <row r="8">
          <cell r="A8">
            <v>1.191581</v>
          </cell>
          <cell r="B8">
            <v>0.30544729999999998</v>
          </cell>
        </row>
        <row r="9">
          <cell r="A9">
            <v>1.240834</v>
          </cell>
          <cell r="B9">
            <v>0.31463799999999997</v>
          </cell>
        </row>
        <row r="10">
          <cell r="A10">
            <v>1.2702359999999999</v>
          </cell>
          <cell r="B10">
            <v>0.3159864</v>
          </cell>
        </row>
        <row r="11">
          <cell r="A11">
            <v>1.319088</v>
          </cell>
          <cell r="B11">
            <v>0.31396069999999998</v>
          </cell>
        </row>
        <row r="12">
          <cell r="A12">
            <v>1.3972260000000001</v>
          </cell>
          <cell r="B12">
            <v>0.31007869999999998</v>
          </cell>
        </row>
        <row r="13">
          <cell r="A13">
            <v>1.670884</v>
          </cell>
          <cell r="B13">
            <v>0.30129869999999997</v>
          </cell>
        </row>
        <row r="14">
          <cell r="A14">
            <v>2.1142069999999999</v>
          </cell>
          <cell r="B14">
            <v>0.29425590000000001</v>
          </cell>
        </row>
        <row r="15">
          <cell r="A15">
            <v>2.710718</v>
          </cell>
          <cell r="B15">
            <v>0.28428429999999999</v>
          </cell>
        </row>
        <row r="16">
          <cell r="A16">
            <v>3.3236469999999998</v>
          </cell>
          <cell r="B16">
            <v>0.27737630000000002</v>
          </cell>
        </row>
        <row r="17">
          <cell r="A17">
            <v>4.3019319999999999</v>
          </cell>
          <cell r="B17">
            <v>0.27211449999999998</v>
          </cell>
        </row>
        <row r="18">
          <cell r="A18">
            <v>4.8041739999999997</v>
          </cell>
          <cell r="B18">
            <v>0.27097310000000002</v>
          </cell>
        </row>
      </sheetData>
      <sheetData sheetId="7">
        <row r="1">
          <cell r="A1">
            <v>0.47532799999999997</v>
          </cell>
          <cell r="B1">
            <v>6.2841739999999993E-2</v>
          </cell>
        </row>
        <row r="2">
          <cell r="A2">
            <v>0.57034280000000004</v>
          </cell>
          <cell r="B2">
            <v>7.4456519999999998E-2</v>
          </cell>
        </row>
        <row r="3">
          <cell r="A3">
            <v>0.73485659999999997</v>
          </cell>
          <cell r="B3">
            <v>0.1076392</v>
          </cell>
        </row>
        <row r="4">
          <cell r="A4">
            <v>0.85699669999999994</v>
          </cell>
          <cell r="B4">
            <v>0.13976150000000001</v>
          </cell>
        </row>
        <row r="5">
          <cell r="A5">
            <v>0.9901664</v>
          </cell>
          <cell r="B5">
            <v>0.19580639999999999</v>
          </cell>
        </row>
        <row r="6">
          <cell r="A6">
            <v>1.057768</v>
          </cell>
          <cell r="B6">
            <v>0.24306710000000001</v>
          </cell>
        </row>
        <row r="7">
          <cell r="A7">
            <v>1.098922</v>
          </cell>
          <cell r="B7">
            <v>0.28264590000000001</v>
          </cell>
        </row>
        <row r="8">
          <cell r="A8">
            <v>1.1093580000000001</v>
          </cell>
          <cell r="B8">
            <v>0.2953461</v>
          </cell>
        </row>
        <row r="9">
          <cell r="A9">
            <v>1.1227940000000001</v>
          </cell>
          <cell r="B9">
            <v>0.3031951</v>
          </cell>
        </row>
        <row r="10">
          <cell r="A10">
            <v>1.1362300000000001</v>
          </cell>
          <cell r="B10">
            <v>0.31104409999999999</v>
          </cell>
        </row>
        <row r="11">
          <cell r="A11">
            <v>1.165422</v>
          </cell>
          <cell r="B11">
            <v>0.30906509999999998</v>
          </cell>
        </row>
        <row r="12">
          <cell r="A12">
            <v>1.1847700000000001</v>
          </cell>
          <cell r="B12">
            <v>0.3056082</v>
          </cell>
        </row>
        <row r="13">
          <cell r="A13">
            <v>1.265333</v>
          </cell>
          <cell r="B13">
            <v>0.2901358</v>
          </cell>
        </row>
        <row r="14">
          <cell r="A14">
            <v>1.352571</v>
          </cell>
          <cell r="B14">
            <v>0.27778619999999998</v>
          </cell>
        </row>
        <row r="15">
          <cell r="A15">
            <v>1.68902</v>
          </cell>
          <cell r="B15">
            <v>0.238174</v>
          </cell>
        </row>
        <row r="16">
          <cell r="A16">
            <v>2.068435</v>
          </cell>
          <cell r="B16">
            <v>0.21084459999999999</v>
          </cell>
        </row>
        <row r="17">
          <cell r="A17">
            <v>2.5235159999999999</v>
          </cell>
          <cell r="B17">
            <v>0.19858690000000001</v>
          </cell>
        </row>
        <row r="18">
          <cell r="A18">
            <v>3.4834909999999999</v>
          </cell>
          <cell r="B18">
            <v>0.19268350000000001</v>
          </cell>
        </row>
        <row r="19">
          <cell r="A19">
            <v>3.913141</v>
          </cell>
          <cell r="B19">
            <v>0.19198209999999999</v>
          </cell>
        </row>
        <row r="20">
          <cell r="A20">
            <v>4.495768</v>
          </cell>
          <cell r="B20">
            <v>0.1909216</v>
          </cell>
        </row>
        <row r="21">
          <cell r="A21">
            <v>4.9546950000000001</v>
          </cell>
          <cell r="B21">
            <v>0.1898445</v>
          </cell>
        </row>
      </sheetData>
      <sheetData sheetId="8">
        <row r="1">
          <cell r="A1">
            <v>0.49089549999999998</v>
          </cell>
          <cell r="B1">
            <v>1.3797539999999999</v>
          </cell>
        </row>
        <row r="2">
          <cell r="A2">
            <v>0.60246279999999997</v>
          </cell>
          <cell r="B2">
            <v>1.4360759999999999</v>
          </cell>
        </row>
        <row r="3">
          <cell r="A3">
            <v>0.7335836</v>
          </cell>
          <cell r="B3">
            <v>1.4921469999999999</v>
          </cell>
        </row>
        <row r="4">
          <cell r="A4">
            <v>0.80236039999999997</v>
          </cell>
          <cell r="B4">
            <v>1.5169330000000001</v>
          </cell>
        </row>
        <row r="5">
          <cell r="A5">
            <v>0.88730419999999999</v>
          </cell>
          <cell r="B5">
            <v>1.5318860000000001</v>
          </cell>
        </row>
        <row r="6">
          <cell r="A6">
            <v>0.92645350000000004</v>
          </cell>
          <cell r="B6">
            <v>1.534592</v>
          </cell>
        </row>
        <row r="7">
          <cell r="A7">
            <v>0.95574099999999995</v>
          </cell>
          <cell r="B7">
            <v>1.531007</v>
          </cell>
        </row>
        <row r="8">
          <cell r="A8">
            <v>1.001196</v>
          </cell>
          <cell r="B8">
            <v>1.51759</v>
          </cell>
        </row>
        <row r="9">
          <cell r="A9">
            <v>1.027182</v>
          </cell>
          <cell r="B9">
            <v>1.510839</v>
          </cell>
        </row>
        <row r="10">
          <cell r="A10">
            <v>1.043434</v>
          </cell>
          <cell r="B10">
            <v>1.507422</v>
          </cell>
        </row>
        <row r="11">
          <cell r="A11">
            <v>1.066289</v>
          </cell>
          <cell r="B11">
            <v>1.510337</v>
          </cell>
        </row>
        <row r="12">
          <cell r="A12">
            <v>1.1055649999999999</v>
          </cell>
          <cell r="B12">
            <v>1.522667</v>
          </cell>
        </row>
        <row r="13">
          <cell r="A13">
            <v>1.144927</v>
          </cell>
          <cell r="B13">
            <v>1.5414140000000001</v>
          </cell>
        </row>
        <row r="14">
          <cell r="A14">
            <v>1.1978770000000001</v>
          </cell>
          <cell r="B14">
            <v>1.6016969999999999</v>
          </cell>
        </row>
        <row r="15">
          <cell r="A15">
            <v>1.24088</v>
          </cell>
          <cell r="B15">
            <v>1.649273</v>
          </cell>
        </row>
        <row r="16">
          <cell r="A16">
            <v>1.293617</v>
          </cell>
          <cell r="B16">
            <v>1.693516</v>
          </cell>
        </row>
        <row r="17">
          <cell r="A17">
            <v>1.3494429999999999</v>
          </cell>
          <cell r="B17">
            <v>1.724885</v>
          </cell>
        </row>
        <row r="18">
          <cell r="A18">
            <v>1.3821600000000001</v>
          </cell>
          <cell r="B18">
            <v>1.734091</v>
          </cell>
        </row>
        <row r="19">
          <cell r="A19">
            <v>1.405057</v>
          </cell>
          <cell r="B19">
            <v>1.7402139999999999</v>
          </cell>
        </row>
        <row r="20">
          <cell r="A20">
            <v>1.4572419999999999</v>
          </cell>
          <cell r="B20">
            <v>1.742753</v>
          </cell>
        </row>
      </sheetData>
      <sheetData sheetId="9">
        <row r="1">
          <cell r="A1">
            <v>0.48192750000000001</v>
          </cell>
          <cell r="B1">
            <v>1.495803</v>
          </cell>
        </row>
        <row r="2">
          <cell r="A2">
            <v>0.69738160000000005</v>
          </cell>
          <cell r="B2">
            <v>1.512967</v>
          </cell>
        </row>
        <row r="3">
          <cell r="A3">
            <v>0.85730099999999998</v>
          </cell>
          <cell r="B3">
            <v>1.5330569999999999</v>
          </cell>
        </row>
        <row r="4">
          <cell r="A4">
            <v>0.91285289999999997</v>
          </cell>
          <cell r="B4">
            <v>1.5269200000000001</v>
          </cell>
        </row>
        <row r="5">
          <cell r="A5">
            <v>0.98153599999999996</v>
          </cell>
          <cell r="B5">
            <v>1.5080039999999999</v>
          </cell>
        </row>
        <row r="6">
          <cell r="A6">
            <v>1.0207759999999999</v>
          </cell>
          <cell r="B6">
            <v>1.4985710000000001</v>
          </cell>
        </row>
        <row r="7">
          <cell r="A7">
            <v>1.0436190000000001</v>
          </cell>
          <cell r="B7">
            <v>1.5019</v>
          </cell>
        </row>
        <row r="8">
          <cell r="A8">
            <v>1.0892379999999999</v>
          </cell>
          <cell r="B8">
            <v>1.5214030000000001</v>
          </cell>
        </row>
        <row r="9">
          <cell r="A9">
            <v>1.1672739999999999</v>
          </cell>
          <cell r="B9">
            <v>1.5860320000000001</v>
          </cell>
        </row>
        <row r="10">
          <cell r="A10">
            <v>1.242011</v>
          </cell>
          <cell r="B10">
            <v>1.657068</v>
          </cell>
        </row>
        <row r="11">
          <cell r="A11">
            <v>1.277798</v>
          </cell>
          <cell r="B11">
            <v>1.6829430000000001</v>
          </cell>
        </row>
        <row r="12">
          <cell r="A12">
            <v>1.31037</v>
          </cell>
          <cell r="B12">
            <v>1.6991670000000001</v>
          </cell>
        </row>
        <row r="13">
          <cell r="A13">
            <v>1.333162</v>
          </cell>
          <cell r="B13">
            <v>1.7121299999999999</v>
          </cell>
        </row>
        <row r="14">
          <cell r="A14">
            <v>1.36252</v>
          </cell>
          <cell r="B14">
            <v>1.718704</v>
          </cell>
        </row>
        <row r="15">
          <cell r="A15">
            <v>1.4767870000000001</v>
          </cell>
          <cell r="B15">
            <v>1.725714</v>
          </cell>
        </row>
        <row r="16">
          <cell r="A16">
            <v>1.868574</v>
          </cell>
          <cell r="B16">
            <v>1.7469950000000001</v>
          </cell>
        </row>
        <row r="17">
          <cell r="A17">
            <v>2.3191449999999998</v>
          </cell>
          <cell r="B17">
            <v>1.7685789999999999</v>
          </cell>
        </row>
        <row r="18">
          <cell r="A18">
            <v>2.6751290000000001</v>
          </cell>
          <cell r="B18">
            <v>1.7671969999999999</v>
          </cell>
        </row>
        <row r="19">
          <cell r="A19">
            <v>3.1258880000000002</v>
          </cell>
          <cell r="B19">
            <v>1.7534559999999999</v>
          </cell>
        </row>
        <row r="20">
          <cell r="A20">
            <v>3.723503</v>
          </cell>
          <cell r="B20">
            <v>1.759738</v>
          </cell>
        </row>
        <row r="21">
          <cell r="A21">
            <v>4.3046879999999996</v>
          </cell>
          <cell r="B21">
            <v>1.785204</v>
          </cell>
        </row>
      </sheetData>
      <sheetData sheetId="10">
        <row r="1">
          <cell r="A1">
            <v>0.46248529999999999</v>
          </cell>
          <cell r="B1">
            <v>0.60808859999999998</v>
          </cell>
        </row>
        <row r="2">
          <cell r="A2">
            <v>0.74810299999999996</v>
          </cell>
          <cell r="B2">
            <v>0.58521230000000002</v>
          </cell>
        </row>
        <row r="3">
          <cell r="A3">
            <v>1.076659</v>
          </cell>
          <cell r="B3">
            <v>0.5729959</v>
          </cell>
        </row>
        <row r="4">
          <cell r="A4">
            <v>1.134865</v>
          </cell>
          <cell r="B4">
            <v>0.5642431</v>
          </cell>
        </row>
        <row r="5">
          <cell r="A5">
            <v>1.1442969999999999</v>
          </cell>
          <cell r="B5">
            <v>0.55771649999999995</v>
          </cell>
        </row>
        <row r="6">
          <cell r="A6">
            <v>1.1536439999999999</v>
          </cell>
          <cell r="B6">
            <v>0.54958969999999996</v>
          </cell>
        </row>
        <row r="7">
          <cell r="A7">
            <v>1.1791069999999999</v>
          </cell>
          <cell r="B7">
            <v>0.53805349999999996</v>
          </cell>
        </row>
        <row r="8">
          <cell r="A8">
            <v>1.2213670000000001</v>
          </cell>
          <cell r="B8">
            <v>0.53591069999999996</v>
          </cell>
        </row>
        <row r="9">
          <cell r="A9">
            <v>1.446286</v>
          </cell>
          <cell r="B9">
            <v>0.53623200000000004</v>
          </cell>
        </row>
        <row r="10">
          <cell r="A10">
            <v>2.1079300000000001</v>
          </cell>
          <cell r="B10">
            <v>0.53576250000000003</v>
          </cell>
        </row>
        <row r="11">
          <cell r="A11">
            <v>2.737511</v>
          </cell>
          <cell r="B11">
            <v>0.54531240000000003</v>
          </cell>
        </row>
        <row r="12">
          <cell r="A12">
            <v>3.1124329999999998</v>
          </cell>
          <cell r="B12">
            <v>0.54691480000000003</v>
          </cell>
        </row>
        <row r="13">
          <cell r="A13">
            <v>3.9042819999999998</v>
          </cell>
          <cell r="B13">
            <v>0.54317590000000004</v>
          </cell>
        </row>
        <row r="14">
          <cell r="A14">
            <v>4.8067909999999996</v>
          </cell>
          <cell r="B14">
            <v>0.5364177</v>
          </cell>
        </row>
      </sheetData>
      <sheetData sheetId="11">
        <row r="1">
          <cell r="A1">
            <v>0.47584710000000002</v>
          </cell>
          <cell r="B1">
            <v>0.5401608</v>
          </cell>
        </row>
        <row r="2">
          <cell r="A2">
            <v>0.92052140000000005</v>
          </cell>
          <cell r="B2">
            <v>0.51336250000000005</v>
          </cell>
        </row>
        <row r="3">
          <cell r="A3">
            <v>0.9887804</v>
          </cell>
          <cell r="B3">
            <v>0.51292649999999995</v>
          </cell>
        </row>
        <row r="4">
          <cell r="A4">
            <v>1.0311630000000001</v>
          </cell>
          <cell r="B4">
            <v>0.5174472</v>
          </cell>
        </row>
        <row r="5">
          <cell r="A5">
            <v>1.0572509999999999</v>
          </cell>
          <cell r="B5">
            <v>0.52047480000000002</v>
          </cell>
        </row>
        <row r="6">
          <cell r="A6">
            <v>1.089628</v>
          </cell>
          <cell r="B6">
            <v>0.5154765</v>
          </cell>
        </row>
        <row r="7">
          <cell r="A7">
            <v>1.128295</v>
          </cell>
          <cell r="B7">
            <v>0.50245209999999996</v>
          </cell>
        </row>
        <row r="8">
          <cell r="A8">
            <v>1.147629</v>
          </cell>
          <cell r="B8">
            <v>0.49593999999999999</v>
          </cell>
        </row>
        <row r="9">
          <cell r="A9">
            <v>1.157295</v>
          </cell>
          <cell r="B9">
            <v>0.49268390000000001</v>
          </cell>
        </row>
        <row r="10">
          <cell r="A10">
            <v>1.1768400000000001</v>
          </cell>
          <cell r="B10">
            <v>0.49415619999999999</v>
          </cell>
        </row>
        <row r="11">
          <cell r="A11">
            <v>1.1965539999999999</v>
          </cell>
          <cell r="B11">
            <v>0.50201609999999997</v>
          </cell>
        </row>
        <row r="12">
          <cell r="A12">
            <v>1.2163520000000001</v>
          </cell>
          <cell r="B12">
            <v>0.51306969999999996</v>
          </cell>
        </row>
        <row r="13">
          <cell r="A13">
            <v>1.229481</v>
          </cell>
          <cell r="B13">
            <v>0.5177773</v>
          </cell>
        </row>
        <row r="14">
          <cell r="A14">
            <v>1.2393590000000001</v>
          </cell>
          <cell r="B14">
            <v>0.52250569999999996</v>
          </cell>
        </row>
        <row r="15">
          <cell r="A15">
            <v>1.26207</v>
          </cell>
          <cell r="B15">
            <v>0.52076350000000005</v>
          </cell>
        </row>
        <row r="16">
          <cell r="A16">
            <v>1.3138650000000001</v>
          </cell>
          <cell r="B16">
            <v>0.51244679999999998</v>
          </cell>
        </row>
        <row r="17">
          <cell r="A17">
            <v>1.3624099999999999</v>
          </cell>
          <cell r="B17">
            <v>0.50415080000000001</v>
          </cell>
        </row>
        <row r="18">
          <cell r="A18">
            <v>1.459627</v>
          </cell>
          <cell r="B18">
            <v>0.4923496</v>
          </cell>
        </row>
        <row r="19">
          <cell r="A19">
            <v>1.7223619999999999</v>
          </cell>
          <cell r="B19">
            <v>0.46990799999999999</v>
          </cell>
        </row>
        <row r="20">
          <cell r="A20">
            <v>2.1250770000000001</v>
          </cell>
          <cell r="B20">
            <v>0.45455790000000001</v>
          </cell>
        </row>
        <row r="21">
          <cell r="A21">
            <v>2.7489469999999998</v>
          </cell>
          <cell r="B21">
            <v>0.44258639999999999</v>
          </cell>
        </row>
        <row r="22">
          <cell r="A22">
            <v>3.2981850000000001</v>
          </cell>
          <cell r="B22">
            <v>0.43588320000000003</v>
          </cell>
        </row>
        <row r="23">
          <cell r="A23">
            <v>3.8768030000000002</v>
          </cell>
          <cell r="B23">
            <v>0.4337838</v>
          </cell>
        </row>
        <row r="24">
          <cell r="A24">
            <v>4.2961499999999999</v>
          </cell>
          <cell r="B24">
            <v>0.43270189999999997</v>
          </cell>
        </row>
        <row r="25">
          <cell r="A25">
            <v>4.8000499999999997</v>
          </cell>
          <cell r="B25">
            <v>0.43267699999999998</v>
          </cell>
        </row>
      </sheetData>
      <sheetData sheetId="12"/>
      <sheetData sheetId="13"/>
    </sheetDataSet>
  </externalBook>
</externalLink>
</file>

<file path=xl/theme/theme1.xml><?xml version="1.0" encoding="utf-8"?>
<a:theme xmlns:a="http://schemas.openxmlformats.org/drawingml/2006/main" name="Thème Office">
  <a:themeElements>
    <a:clrScheme name="Bureau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Bureau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Bureau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alain.dufour@astrium.eads.net" TargetMode="External"/><Relationship Id="rId2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mailto:fabrice.martin@astrium.eads.net" TargetMode="External"/><Relationship Id="rId2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 enableFormatConditionsCalculation="0"/>
  <dimension ref="A1:H44"/>
  <sheetViews>
    <sheetView topLeftCell="A19" workbookViewId="0">
      <selection activeCell="J39" sqref="J39"/>
    </sheetView>
  </sheetViews>
  <sheetFormatPr baseColWidth="10" defaultRowHeight="13" x14ac:dyDescent="0"/>
  <cols>
    <col min="1" max="1" width="1.28515625" customWidth="1"/>
    <col min="2" max="2" width="5.85546875" customWidth="1"/>
    <col min="5" max="5" width="12.140625" customWidth="1"/>
    <col min="6" max="6" width="2.7109375" customWidth="1"/>
  </cols>
  <sheetData>
    <row r="1" spans="1:6">
      <c r="A1" s="76" t="s">
        <v>238</v>
      </c>
      <c r="B1" t="s">
        <v>239</v>
      </c>
      <c r="C1" t="s">
        <v>240</v>
      </c>
    </row>
    <row r="2" spans="1:6">
      <c r="A2" s="76" t="s">
        <v>192</v>
      </c>
      <c r="B2" t="s">
        <v>241</v>
      </c>
    </row>
    <row r="3" spans="1:6">
      <c r="B3" t="s">
        <v>235</v>
      </c>
      <c r="C3" t="s">
        <v>236</v>
      </c>
      <c r="D3" t="s">
        <v>237</v>
      </c>
    </row>
    <row r="4" spans="1:6">
      <c r="A4" s="101"/>
      <c r="B4" t="s">
        <v>193</v>
      </c>
      <c r="C4" t="s">
        <v>194</v>
      </c>
      <c r="D4" s="76" t="s">
        <v>195</v>
      </c>
      <c r="E4" t="s">
        <v>196</v>
      </c>
      <c r="F4" t="s">
        <v>197</v>
      </c>
    </row>
    <row r="5" spans="1:6">
      <c r="B5" t="s">
        <v>198</v>
      </c>
      <c r="F5" t="s">
        <v>199</v>
      </c>
    </row>
    <row r="6" spans="1:6">
      <c r="B6" t="s">
        <v>200</v>
      </c>
      <c r="F6" t="s">
        <v>201</v>
      </c>
    </row>
    <row r="7" spans="1:6">
      <c r="E7" t="s">
        <v>202</v>
      </c>
      <c r="F7" t="s">
        <v>203</v>
      </c>
    </row>
    <row r="8" spans="1:6">
      <c r="E8" t="s">
        <v>204</v>
      </c>
    </row>
    <row r="9" spans="1:6">
      <c r="E9" t="s">
        <v>206</v>
      </c>
    </row>
    <row r="10" spans="1:6">
      <c r="B10" s="102" t="s">
        <v>242</v>
      </c>
    </row>
    <row r="11" spans="1:6">
      <c r="A11" s="76" t="s">
        <v>209</v>
      </c>
      <c r="B11" t="s">
        <v>210</v>
      </c>
    </row>
    <row r="12" spans="1:6">
      <c r="B12" t="s">
        <v>211</v>
      </c>
    </row>
    <row r="13" spans="1:6">
      <c r="B13" t="s">
        <v>212</v>
      </c>
    </row>
    <row r="14" spans="1:6">
      <c r="B14" t="s">
        <v>213</v>
      </c>
    </row>
    <row r="16" spans="1:6">
      <c r="A16" s="76" t="s">
        <v>192</v>
      </c>
      <c r="B16" s="137">
        <v>39134</v>
      </c>
      <c r="C16" t="s">
        <v>457</v>
      </c>
    </row>
    <row r="17" spans="2:8">
      <c r="B17" s="137">
        <v>39144</v>
      </c>
      <c r="C17" t="s">
        <v>458</v>
      </c>
    </row>
    <row r="18" spans="2:8">
      <c r="B18" s="137">
        <v>39157</v>
      </c>
      <c r="C18" t="s">
        <v>464</v>
      </c>
    </row>
    <row r="19" spans="2:8">
      <c r="B19" s="137">
        <v>39165</v>
      </c>
      <c r="C19" t="s">
        <v>459</v>
      </c>
      <c r="D19" t="s">
        <v>460</v>
      </c>
    </row>
    <row r="20" spans="2:8">
      <c r="D20" t="s">
        <v>461</v>
      </c>
    </row>
    <row r="21" spans="2:8">
      <c r="D21" t="s">
        <v>462</v>
      </c>
    </row>
    <row r="22" spans="2:8">
      <c r="D22" t="s">
        <v>463</v>
      </c>
    </row>
    <row r="24" spans="2:8">
      <c r="B24" t="s">
        <v>465</v>
      </c>
    </row>
    <row r="25" spans="2:8">
      <c r="B25" t="s">
        <v>466</v>
      </c>
    </row>
    <row r="26" spans="2:8">
      <c r="B26" t="s">
        <v>467</v>
      </c>
    </row>
    <row r="27" spans="2:8">
      <c r="C27" t="s">
        <v>614</v>
      </c>
      <c r="D27">
        <f>Etagement!C4</f>
        <v>2888.8229291432676</v>
      </c>
      <c r="E27" t="s">
        <v>615</v>
      </c>
    </row>
    <row r="29" spans="2:8">
      <c r="B29" s="138"/>
      <c r="C29" s="138" t="s">
        <v>471</v>
      </c>
      <c r="D29" s="138" t="s">
        <v>472</v>
      </c>
      <c r="E29" s="138" t="s">
        <v>473</v>
      </c>
    </row>
    <row r="30" spans="2:8">
      <c r="B30" s="138" t="s">
        <v>474</v>
      </c>
      <c r="C30" s="309">
        <f>Etagement!C29</f>
        <v>224171.32694565994</v>
      </c>
      <c r="D30" s="309">
        <f>Etagement!B29</f>
        <v>72337.726251790009</v>
      </c>
      <c r="E30" s="309">
        <f>Etagement!A29</f>
        <v>10339.278656746219</v>
      </c>
    </row>
    <row r="31" spans="2:8">
      <c r="B31" s="138" t="s">
        <v>475</v>
      </c>
      <c r="C31" s="309">
        <f>Etagement!C32</f>
        <v>18969.553014144138</v>
      </c>
      <c r="D31" s="309">
        <f>Etagement!B32</f>
        <v>6069.5444224682542</v>
      </c>
      <c r="E31" s="309">
        <f>Etagement!A32</f>
        <v>2693.4482376897249</v>
      </c>
    </row>
    <row r="32" spans="2:8">
      <c r="B32" s="138" t="s">
        <v>91</v>
      </c>
      <c r="C32" s="309">
        <f>'Moteur Etage 1'!B16</f>
        <v>2378.4234107574657</v>
      </c>
      <c r="D32" s="309">
        <f>'Moteur Etage 2'!B11</f>
        <v>332.65928641339559</v>
      </c>
      <c r="E32" s="309">
        <f>'Moteur Etage 3'!B11</f>
        <v>37.325807451600795</v>
      </c>
      <c r="G32" s="138" t="s">
        <v>471</v>
      </c>
      <c r="H32" s="138"/>
    </row>
    <row r="33" spans="2:8">
      <c r="B33" s="138" t="s">
        <v>476</v>
      </c>
      <c r="C33" s="309">
        <f>'Moteur Etage 1'!B18</f>
        <v>108.72913404607176</v>
      </c>
      <c r="D33" s="309">
        <f>'Moteur Etage 2'!B12</f>
        <v>217.45289912603232</v>
      </c>
      <c r="E33" s="309">
        <f>'Moteur Etage 3'!B12</f>
        <v>277.00080353661036</v>
      </c>
      <c r="G33" s="138" t="s">
        <v>77</v>
      </c>
      <c r="H33" s="309">
        <f>'Moteur Etage 1'!B19</f>
        <v>1903.3999793239871</v>
      </c>
    </row>
    <row r="34" spans="2:8">
      <c r="B34" s="138" t="s">
        <v>477</v>
      </c>
      <c r="C34" s="309">
        <f>Etagement!B10</f>
        <v>288</v>
      </c>
      <c r="D34" s="309">
        <f>Etagement!B11</f>
        <v>315.60000000000002</v>
      </c>
      <c r="E34" s="309">
        <f>Etagement!B12</f>
        <v>469.9</v>
      </c>
    </row>
    <row r="35" spans="2:8">
      <c r="B35" s="138" t="s">
        <v>478</v>
      </c>
      <c r="C35" s="309">
        <f>'Moteur Etage 1'!B29</f>
        <v>9.0712437634416894</v>
      </c>
      <c r="D35" s="309">
        <f>'Moteur Etage 2'!B24</f>
        <v>4.1337573566874193</v>
      </c>
      <c r="E35" s="309">
        <f>'Moteur Etage 3'!B28</f>
        <v>0.82295483368981048</v>
      </c>
    </row>
    <row r="37" spans="2:8">
      <c r="B37" t="s">
        <v>468</v>
      </c>
    </row>
    <row r="38" spans="2:8">
      <c r="B38" t="s">
        <v>469</v>
      </c>
    </row>
    <row r="39" spans="2:8">
      <c r="B39" t="s">
        <v>470</v>
      </c>
    </row>
    <row r="40" spans="2:8">
      <c r="B40" t="s">
        <v>480</v>
      </c>
    </row>
    <row r="41" spans="2:8">
      <c r="B41" t="s">
        <v>479</v>
      </c>
    </row>
    <row r="42" spans="2:8">
      <c r="B42" t="s">
        <v>482</v>
      </c>
    </row>
    <row r="44" spans="2:8">
      <c r="B44" t="s">
        <v>481</v>
      </c>
    </row>
  </sheetData>
  <pageMargins left="0.78740157499999996" right="0.78740157499999996" top="0.984251969" bottom="0.984251969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 enableFormatConditionsCalculation="0"/>
  <dimension ref="A1:P49"/>
  <sheetViews>
    <sheetView tabSelected="1" zoomScale="85" zoomScaleNormal="85" zoomScalePageLayoutView="85" workbookViewId="0">
      <selection sqref="A1:J1"/>
    </sheetView>
  </sheetViews>
  <sheetFormatPr baseColWidth="10" defaultColWidth="10.7109375" defaultRowHeight="13" x14ac:dyDescent="0"/>
  <cols>
    <col min="1" max="1" width="15.85546875" style="1" bestFit="1" customWidth="1"/>
    <col min="2" max="2" width="13.140625" style="1" customWidth="1"/>
    <col min="3" max="3" width="12.28515625" style="1" bestFit="1" customWidth="1"/>
    <col min="4" max="4" width="11.42578125" style="1" customWidth="1"/>
    <col min="5" max="5" width="8.140625" style="1" customWidth="1"/>
    <col min="6" max="6" width="11.5703125" style="1" customWidth="1"/>
    <col min="7" max="7" width="11.140625" style="1" customWidth="1"/>
    <col min="8" max="8" width="10.42578125" style="1" customWidth="1"/>
    <col min="9" max="9" width="12.7109375" style="1" customWidth="1"/>
    <col min="10" max="16384" width="10.7109375" style="1"/>
  </cols>
  <sheetData>
    <row r="1" spans="1:16" ht="32">
      <c r="A1" s="321" t="s">
        <v>0</v>
      </c>
      <c r="B1" s="322"/>
      <c r="C1" s="322"/>
      <c r="D1" s="322"/>
      <c r="E1" s="322"/>
      <c r="F1" s="322"/>
      <c r="G1" s="322"/>
      <c r="H1" s="322"/>
      <c r="I1" s="322"/>
      <c r="J1" s="323"/>
    </row>
    <row r="2" spans="1:16" ht="12.75" customHeight="1">
      <c r="A2" s="45"/>
      <c r="B2" s="43"/>
      <c r="C2" s="43"/>
      <c r="D2" s="44"/>
      <c r="E2" s="44"/>
      <c r="F2" s="44"/>
      <c r="G2" s="44"/>
      <c r="H2" s="44"/>
      <c r="I2" s="44"/>
      <c r="J2" s="74"/>
    </row>
    <row r="3" spans="1:16" ht="26" customHeight="1" thickBot="1">
      <c r="A3" s="28" t="s">
        <v>29</v>
      </c>
      <c r="B3" s="29"/>
      <c r="C3" s="29"/>
      <c r="D3" s="29"/>
      <c r="E3" s="29"/>
      <c r="F3" s="42"/>
      <c r="G3" s="42"/>
      <c r="H3" s="30" t="s">
        <v>2</v>
      </c>
      <c r="I3" s="31"/>
      <c r="J3" s="32"/>
    </row>
    <row r="4" spans="1:16" ht="12.75" customHeight="1">
      <c r="A4" s="33" t="s">
        <v>1</v>
      </c>
      <c r="B4" s="141">
        <f>'Bilan Masse'!B20</f>
        <v>3313.1140665627058</v>
      </c>
      <c r="C4" s="29">
        <f>B4-'Bilan Masse'!B2</f>
        <v>2888.8229291432676</v>
      </c>
      <c r="D4" s="29"/>
      <c r="E4" s="29"/>
      <c r="F4" s="42"/>
      <c r="G4" s="42"/>
      <c r="H4" s="324" t="s">
        <v>4</v>
      </c>
      <c r="I4" s="325"/>
      <c r="J4" s="8">
        <f>2*PI()/(23*3600+56*60)</f>
        <v>7.2924620556866142E-5</v>
      </c>
    </row>
    <row r="5" spans="1:16" ht="12.75" customHeight="1">
      <c r="A5" s="27" t="s">
        <v>3</v>
      </c>
      <c r="B5" s="2">
        <v>35789</v>
      </c>
      <c r="C5" s="29"/>
      <c r="D5" s="29"/>
      <c r="E5" s="29"/>
      <c r="F5" s="42"/>
      <c r="G5" s="42"/>
      <c r="H5" s="326" t="s">
        <v>6</v>
      </c>
      <c r="I5" s="327"/>
      <c r="J5" s="9">
        <v>6378137</v>
      </c>
    </row>
    <row r="6" spans="1:16" ht="12.75" customHeight="1">
      <c r="A6" s="27" t="s">
        <v>5</v>
      </c>
      <c r="B6" s="2">
        <v>250</v>
      </c>
      <c r="C6" s="29"/>
      <c r="D6" s="29"/>
      <c r="E6" s="313" t="s">
        <v>710</v>
      </c>
      <c r="F6" s="42"/>
      <c r="G6" s="42"/>
      <c r="H6" s="326" t="s">
        <v>8</v>
      </c>
      <c r="I6" s="327"/>
      <c r="J6" s="9">
        <v>6356752</v>
      </c>
      <c r="L6"/>
      <c r="M6"/>
      <c r="N6"/>
      <c r="O6"/>
      <c r="P6"/>
    </row>
    <row r="7" spans="1:16" ht="12.75" customHeight="1" thickBot="1">
      <c r="A7" s="34" t="s">
        <v>7</v>
      </c>
      <c r="B7" s="3">
        <v>5</v>
      </c>
      <c r="C7" s="29"/>
      <c r="D7" s="29"/>
      <c r="E7" s="313" t="s">
        <v>711</v>
      </c>
      <c r="F7" s="42"/>
      <c r="G7" s="42"/>
      <c r="H7" s="326" t="s">
        <v>9</v>
      </c>
      <c r="I7" s="327"/>
      <c r="J7" s="9">
        <f>3.986005*100000000000000</f>
        <v>398600500000000</v>
      </c>
      <c r="L7"/>
      <c r="M7"/>
      <c r="N7"/>
      <c r="O7"/>
      <c r="P7"/>
    </row>
    <row r="8" spans="1:16" ht="14" thickBot="1">
      <c r="A8" s="35"/>
      <c r="B8" s="29"/>
      <c r="C8" s="29"/>
      <c r="D8" s="29"/>
      <c r="E8" s="313" t="s">
        <v>712</v>
      </c>
      <c r="F8" s="42"/>
      <c r="G8" s="42"/>
      <c r="H8" s="319" t="s">
        <v>12</v>
      </c>
      <c r="I8" s="320"/>
      <c r="J8" s="10">
        <v>9.81</v>
      </c>
      <c r="L8"/>
      <c r="M8"/>
      <c r="N8"/>
      <c r="O8"/>
      <c r="P8"/>
    </row>
    <row r="9" spans="1:16" ht="27" thickBot="1">
      <c r="A9" s="66" t="s">
        <v>43</v>
      </c>
      <c r="B9" s="67" t="s">
        <v>48</v>
      </c>
      <c r="C9" s="67" t="s">
        <v>47</v>
      </c>
      <c r="D9" s="68" t="s">
        <v>52</v>
      </c>
      <c r="E9" s="68" t="s">
        <v>10</v>
      </c>
      <c r="F9" s="69" t="s">
        <v>11</v>
      </c>
      <c r="G9" s="42"/>
      <c r="H9" s="29"/>
      <c r="I9" s="29"/>
      <c r="J9" s="32"/>
      <c r="O9"/>
      <c r="P9"/>
    </row>
    <row r="10" spans="1:16">
      <c r="A10" s="20" t="s">
        <v>44</v>
      </c>
      <c r="B10" s="62">
        <v>288</v>
      </c>
      <c r="C10" s="42">
        <v>264.8</v>
      </c>
      <c r="D10" s="39">
        <v>0.92</v>
      </c>
      <c r="E10" s="39">
        <f>(0.5*B10+0.5*C10)*D10</f>
        <v>254.28799999999998</v>
      </c>
      <c r="F10" s="64">
        <v>8.4620782116093002E-2</v>
      </c>
      <c r="G10" s="42"/>
      <c r="H10" s="51" t="s">
        <v>23</v>
      </c>
      <c r="I10" s="21">
        <f>F10/(1+F10)</f>
        <v>7.8018772562146593E-2</v>
      </c>
      <c r="J10" s="32"/>
      <c r="K10" s="1" t="s">
        <v>586</v>
      </c>
      <c r="L10" s="1">
        <f>(IF(C$29/1000&lt;10,15.79/POWER(C$29/1000,0.1092),IF(C$29/1000&lt;50,14.49/POWER(C$29/1000,0.1071),17.46/POWER(C$29/1000,0.0542))))/100</f>
        <v>0.13020953860138199</v>
      </c>
      <c r="O10"/>
      <c r="P10"/>
    </row>
    <row r="11" spans="1:16">
      <c r="A11" s="20" t="s">
        <v>45</v>
      </c>
      <c r="B11" s="62">
        <v>315.60000000000002</v>
      </c>
      <c r="C11" s="42">
        <v>186.3</v>
      </c>
      <c r="D11" s="39">
        <v>0.92</v>
      </c>
      <c r="E11" s="39">
        <f>B11*D11</f>
        <v>290.35200000000003</v>
      </c>
      <c r="F11" s="64">
        <v>8.3905656660283295E-2</v>
      </c>
      <c r="G11" s="42"/>
      <c r="H11" s="52" t="s">
        <v>22</v>
      </c>
      <c r="I11" s="22">
        <f>F11/(1+F11)</f>
        <v>7.7410479541930213E-2</v>
      </c>
      <c r="J11" s="32"/>
      <c r="K11" s="1" t="s">
        <v>587</v>
      </c>
      <c r="L11" s="1">
        <f>(IF(B$29/1000&lt;10,15.79/POWER(B$29/1000,0.1092),IF(B$29/1000&lt;50,14.49/POWER(B$29/1000,0.1071),17.46/POWER(B$29/1000,0.0542))))/100+0.02</f>
        <v>0.1584416173444331</v>
      </c>
      <c r="O11"/>
      <c r="P11"/>
    </row>
    <row r="12" spans="1:16" ht="14" thickBot="1">
      <c r="A12" s="6" t="s">
        <v>46</v>
      </c>
      <c r="B12" s="63">
        <v>469.9</v>
      </c>
      <c r="C12" s="60">
        <v>230.1</v>
      </c>
      <c r="D12" s="15">
        <v>0.95</v>
      </c>
      <c r="E12" s="15">
        <f>B12*D12</f>
        <v>446.40499999999997</v>
      </c>
      <c r="F12" s="65">
        <v>0.26050639770041323</v>
      </c>
      <c r="G12" s="42"/>
      <c r="H12" s="53" t="s">
        <v>21</v>
      </c>
      <c r="I12" s="23">
        <f>F12/(1+F12)</f>
        <v>0.2066680487902833</v>
      </c>
      <c r="J12" s="32"/>
      <c r="K12" s="1" t="s">
        <v>588</v>
      </c>
      <c r="L12" s="1">
        <f>(IF(B$29/1000&lt;10,15.79/POWER(B$29/1000,0.1092),IF(B$29/1000&lt;50,14.49/POWER(B$29/1000,0.1071),17.46/POWER(B$29/1000,0.0542))))/100+0.02</f>
        <v>0.1584416173444331</v>
      </c>
      <c r="O12"/>
      <c r="P12"/>
    </row>
    <row r="13" spans="1:16" ht="14" thickBot="1">
      <c r="A13" s="36"/>
      <c r="B13" s="37"/>
      <c r="C13" s="37"/>
      <c r="D13" s="29"/>
      <c r="E13" s="42"/>
      <c r="F13" s="57"/>
      <c r="G13" s="42"/>
      <c r="H13" s="37"/>
      <c r="I13" s="37"/>
      <c r="J13" s="32"/>
      <c r="K13" s="4"/>
    </row>
    <row r="14" spans="1:16" ht="14" thickBot="1">
      <c r="A14" s="38" t="s">
        <v>13</v>
      </c>
      <c r="B14" s="5"/>
      <c r="C14" s="37"/>
      <c r="D14" s="37"/>
      <c r="E14" s="37"/>
      <c r="F14" s="42"/>
      <c r="G14" s="42"/>
      <c r="H14" s="48" t="s">
        <v>25</v>
      </c>
      <c r="I14" s="24">
        <f>1/I10*(1-E11/E10*(1-I11*I15))</f>
        <v>2.9712106433380212</v>
      </c>
      <c r="J14" s="18"/>
      <c r="K14" s="56"/>
      <c r="L14" s="312"/>
    </row>
    <row r="15" spans="1:16">
      <c r="A15" s="19" t="s">
        <v>14</v>
      </c>
      <c r="B15" s="315">
        <v>5</v>
      </c>
      <c r="C15" s="310"/>
      <c r="D15" s="37"/>
      <c r="E15" s="37"/>
      <c r="F15" s="42"/>
      <c r="G15" s="42"/>
      <c r="H15" s="54" t="s">
        <v>24</v>
      </c>
      <c r="I15" s="25">
        <f>1/I11*(1-E12/E11*(1-I12*I16))</f>
        <v>4.2271462218599529</v>
      </c>
      <c r="J15" s="18"/>
      <c r="K15" s="4"/>
      <c r="L15" s="314"/>
    </row>
    <row r="16" spans="1:16" ht="14" thickBot="1">
      <c r="A16" s="20" t="s">
        <v>15</v>
      </c>
      <c r="B16" s="316">
        <f>J4*J5*COS(B15*PI()/180)*SIN(B18*PI()/180)</f>
        <v>463.35328630584405</v>
      </c>
      <c r="C16" s="37"/>
      <c r="D16" s="37"/>
      <c r="E16" s="37"/>
      <c r="F16" s="42"/>
      <c r="G16" s="42"/>
      <c r="H16" s="75" t="s">
        <v>20</v>
      </c>
      <c r="I16" s="26">
        <v>2.7213304604243227</v>
      </c>
      <c r="J16" s="18"/>
      <c r="K16" s="4"/>
      <c r="L16" s="311"/>
    </row>
    <row r="17" spans="1:12" ht="14" thickBot="1">
      <c r="A17" s="20" t="s">
        <v>16</v>
      </c>
      <c r="B17" s="316">
        <f>SQRT(J7*(2/(1000*B6+J5)-2/(1000*B6+1000*B5+2*J5)))</f>
        <v>10194.979483193354</v>
      </c>
      <c r="C17" s="42" t="s">
        <v>709</v>
      </c>
      <c r="D17" s="37"/>
      <c r="E17" s="37"/>
      <c r="F17" s="42"/>
      <c r="G17" s="42"/>
      <c r="H17" s="55" t="s">
        <v>30</v>
      </c>
      <c r="I17" s="13">
        <f>J8*(E10*LN(I14)+E11*LN(I15)+E12*LN(I16))</f>
        <v>11206.625475856903</v>
      </c>
      <c r="J17" s="18"/>
      <c r="K17" s="4"/>
      <c r="L17" s="311"/>
    </row>
    <row r="18" spans="1:12">
      <c r="A18" s="20" t="s">
        <v>17</v>
      </c>
      <c r="B18" s="316">
        <f>180/PI()*ASIN(COS(B7*PI()/180)/COS(B15*PI()/180))</f>
        <v>90</v>
      </c>
      <c r="C18" s="42">
        <f>SQRT(J7*(2/(1000*B6+J5)-2/(1000*B6+1000*B5+2*J5)))</f>
        <v>10194.979483193354</v>
      </c>
      <c r="D18" s="37"/>
      <c r="E18" s="37"/>
      <c r="F18" s="37"/>
      <c r="G18" s="37"/>
      <c r="H18" s="37"/>
      <c r="I18" s="42"/>
      <c r="J18" s="40"/>
      <c r="K18" s="4"/>
      <c r="L18" s="318"/>
    </row>
    <row r="19" spans="1:12">
      <c r="A19" s="20" t="s">
        <v>18</v>
      </c>
      <c r="B19" s="316">
        <v>1475</v>
      </c>
      <c r="C19" s="37"/>
      <c r="D19" s="37"/>
      <c r="E19" s="37"/>
      <c r="F19" s="37"/>
      <c r="G19" s="71"/>
      <c r="H19" s="71"/>
      <c r="I19" s="72"/>
      <c r="J19" s="40"/>
      <c r="K19" s="4"/>
    </row>
    <row r="20" spans="1:12" ht="14" thickBot="1">
      <c r="A20" s="6" t="s">
        <v>19</v>
      </c>
      <c r="B20" s="317">
        <f>B17-B16+B19</f>
        <v>11206.62619688751</v>
      </c>
      <c r="C20" s="37"/>
      <c r="D20" s="37"/>
      <c r="E20" s="37"/>
      <c r="F20" s="37"/>
      <c r="G20" s="71"/>
      <c r="H20" s="71"/>
      <c r="I20" s="72"/>
      <c r="J20" s="40"/>
      <c r="K20" s="4"/>
    </row>
    <row r="21" spans="1:12" ht="14" thickBot="1">
      <c r="A21" s="36"/>
      <c r="B21" s="37"/>
      <c r="C21" s="37"/>
      <c r="D21" s="37"/>
      <c r="E21" s="37"/>
      <c r="F21" s="39"/>
      <c r="G21" s="73"/>
      <c r="H21" s="71"/>
      <c r="I21" s="72"/>
      <c r="J21" s="40"/>
      <c r="K21" s="4"/>
    </row>
    <row r="22" spans="1:12">
      <c r="A22" s="11" t="s">
        <v>26</v>
      </c>
      <c r="B22" s="12" t="s">
        <v>27</v>
      </c>
      <c r="C22" s="14" t="s">
        <v>28</v>
      </c>
      <c r="D22" s="39"/>
      <c r="E22" s="39"/>
      <c r="F22" s="39"/>
      <c r="G22" s="73"/>
      <c r="H22" s="71"/>
      <c r="I22" s="72"/>
      <c r="J22" s="40"/>
      <c r="K22" s="4"/>
    </row>
    <row r="23" spans="1:12" ht="14" thickBot="1">
      <c r="A23" s="144">
        <f>(1+F12)/I16-F12</f>
        <v>0.2026885049516774</v>
      </c>
      <c r="B23" s="145">
        <f>(1+F11)/I15-F11</f>
        <v>0.17250980657944412</v>
      </c>
      <c r="C23" s="146">
        <f>(1+F10)/I14-F10</f>
        <v>0.28042259996386965</v>
      </c>
      <c r="D23" s="39"/>
      <c r="E23" s="39"/>
      <c r="F23" s="39"/>
      <c r="G23" s="73"/>
      <c r="H23" s="72"/>
      <c r="I23" s="72"/>
      <c r="J23" s="40"/>
      <c r="K23" s="4"/>
    </row>
    <row r="24" spans="1:12" ht="14" thickBot="1">
      <c r="A24" s="41"/>
      <c r="B24" s="39"/>
      <c r="C24" s="39"/>
      <c r="D24" s="39"/>
      <c r="E24" s="39"/>
      <c r="F24" s="42"/>
      <c r="G24" s="72"/>
      <c r="H24" s="72"/>
      <c r="I24" s="72"/>
      <c r="J24" s="40"/>
      <c r="K24" s="4"/>
    </row>
    <row r="25" spans="1:12">
      <c r="A25" s="48" t="s">
        <v>31</v>
      </c>
      <c r="B25" s="49" t="s">
        <v>32</v>
      </c>
      <c r="C25" s="50" t="s">
        <v>33</v>
      </c>
      <c r="D25" s="46" t="s">
        <v>40</v>
      </c>
      <c r="E25" s="58" t="s">
        <v>41</v>
      </c>
      <c r="F25" s="42"/>
      <c r="G25" s="72"/>
      <c r="H25" s="72"/>
      <c r="I25" s="72"/>
      <c r="J25" s="61"/>
    </row>
    <row r="26" spans="1:12" ht="14" thickBot="1">
      <c r="A26" s="16">
        <f>B4/A23</f>
        <v>16345.840960998648</v>
      </c>
      <c r="B26" s="17">
        <f>A26/B23</f>
        <v>94753.111635256922</v>
      </c>
      <c r="C26" s="7">
        <f>B26/C23</f>
        <v>337893.99159506097</v>
      </c>
      <c r="D26" s="47">
        <f>TRUNC(C26/1000)</f>
        <v>337</v>
      </c>
      <c r="E26" s="58"/>
      <c r="F26" s="42"/>
      <c r="G26" s="42"/>
      <c r="H26" s="42"/>
      <c r="I26" s="42"/>
      <c r="J26" s="18"/>
    </row>
    <row r="27" spans="1:12" ht="14" thickBot="1">
      <c r="A27" s="35"/>
      <c r="B27" s="42"/>
      <c r="C27" s="42"/>
      <c r="D27" s="42"/>
      <c r="E27" s="58"/>
      <c r="F27" s="42"/>
      <c r="G27" s="42"/>
      <c r="H27" s="42"/>
      <c r="I27" s="42"/>
      <c r="J27" s="61"/>
    </row>
    <row r="28" spans="1:12">
      <c r="A28" s="48" t="s">
        <v>34</v>
      </c>
      <c r="B28" s="49" t="s">
        <v>35</v>
      </c>
      <c r="C28" s="50" t="s">
        <v>36</v>
      </c>
      <c r="D28" s="46" t="s">
        <v>40</v>
      </c>
      <c r="E28" s="58" t="s">
        <v>42</v>
      </c>
      <c r="F28" s="42"/>
      <c r="G28" s="42"/>
      <c r="H28" s="42"/>
      <c r="I28" s="42"/>
      <c r="J28" s="61"/>
    </row>
    <row r="29" spans="1:12" ht="14" thickBot="1">
      <c r="A29" s="16">
        <f>(1-A23)/(1+F12)*A26</f>
        <v>10339.278656746219</v>
      </c>
      <c r="B29" s="17">
        <f>(1-B23)/(1+F11)*B26</f>
        <v>72337.726251790009</v>
      </c>
      <c r="C29" s="7">
        <f>(1-C23)/(1+F10)*C26</f>
        <v>224171.32694565994</v>
      </c>
      <c r="D29" s="47">
        <f>TRUNC(SUM(A29:C29)/1000)</f>
        <v>306</v>
      </c>
      <c r="E29" s="58"/>
      <c r="F29" s="42"/>
      <c r="G29" s="42"/>
      <c r="H29" s="42"/>
      <c r="I29" s="42"/>
      <c r="J29" s="40"/>
    </row>
    <row r="30" spans="1:12" ht="14" thickBot="1">
      <c r="A30" s="35"/>
      <c r="B30" s="42"/>
      <c r="C30" s="42"/>
      <c r="D30" s="42"/>
      <c r="E30" s="58"/>
      <c r="F30" s="42"/>
      <c r="G30" s="42"/>
      <c r="H30" s="42"/>
      <c r="I30" s="42"/>
      <c r="J30" s="40"/>
    </row>
    <row r="31" spans="1:12">
      <c r="A31" s="48" t="s">
        <v>37</v>
      </c>
      <c r="B31" s="49" t="s">
        <v>38</v>
      </c>
      <c r="C31" s="49" t="s">
        <v>39</v>
      </c>
      <c r="D31" s="46" t="s">
        <v>40</v>
      </c>
      <c r="E31" s="58" t="s">
        <v>51</v>
      </c>
      <c r="F31" s="42"/>
      <c r="G31" s="42"/>
      <c r="H31" s="42"/>
      <c r="I31" s="42"/>
      <c r="J31" s="40"/>
    </row>
    <row r="32" spans="1:12" ht="14" thickBot="1">
      <c r="A32" s="16">
        <f>F12*A29</f>
        <v>2693.4482376897249</v>
      </c>
      <c r="B32" s="17">
        <f>F11*B29</f>
        <v>6069.5444224682542</v>
      </c>
      <c r="C32" s="17">
        <f>F10*C29</f>
        <v>18969.553014144138</v>
      </c>
      <c r="D32" s="47">
        <f>TRUNC(SUM(A32:C32)/1000)</f>
        <v>27</v>
      </c>
      <c r="E32" s="59"/>
      <c r="F32" s="17"/>
      <c r="G32" s="17"/>
      <c r="H32" s="17"/>
      <c r="I32" s="17"/>
      <c r="J32" s="7"/>
    </row>
    <row r="33" spans="1:10">
      <c r="A33" s="1" t="s">
        <v>54</v>
      </c>
      <c r="B33" s="70">
        <f>B4/C26</f>
        <v>9.8051878665342141E-3</v>
      </c>
      <c r="F33"/>
      <c r="G33"/>
      <c r="H33"/>
      <c r="I33"/>
      <c r="J33"/>
    </row>
    <row r="34" spans="1:10">
      <c r="F34"/>
      <c r="G34"/>
      <c r="H34"/>
      <c r="I34"/>
      <c r="J34"/>
    </row>
    <row r="35" spans="1:10">
      <c r="F35"/>
      <c r="G35"/>
      <c r="H35"/>
      <c r="I35"/>
      <c r="J35"/>
    </row>
    <row r="36" spans="1:10">
      <c r="C36" s="1" t="s">
        <v>49</v>
      </c>
      <c r="F36"/>
      <c r="G36"/>
      <c r="H36"/>
      <c r="I36"/>
      <c r="J36"/>
    </row>
    <row r="37" spans="1:10">
      <c r="C37" s="97" t="s">
        <v>50</v>
      </c>
      <c r="F37"/>
      <c r="G37"/>
      <c r="H37"/>
      <c r="I37"/>
      <c r="J37"/>
    </row>
    <row r="38" spans="1:10">
      <c r="F38"/>
      <c r="G38"/>
      <c r="H38"/>
      <c r="I38"/>
      <c r="J38"/>
    </row>
    <row r="39" spans="1:10">
      <c r="F39"/>
      <c r="G39"/>
      <c r="H39"/>
      <c r="I39"/>
      <c r="J39"/>
    </row>
    <row r="40" spans="1:10">
      <c r="F40"/>
      <c r="G40"/>
      <c r="H40"/>
      <c r="I40"/>
      <c r="J40"/>
    </row>
    <row r="41" spans="1:10">
      <c r="F41"/>
      <c r="G41"/>
      <c r="H41"/>
      <c r="I41"/>
      <c r="J41"/>
    </row>
    <row r="42" spans="1:10">
      <c r="F42"/>
      <c r="G42"/>
      <c r="H42"/>
      <c r="I42"/>
      <c r="J42"/>
    </row>
    <row r="43" spans="1:10">
      <c r="F43"/>
      <c r="G43"/>
      <c r="H43"/>
      <c r="I43"/>
      <c r="J43"/>
    </row>
    <row r="44" spans="1:10">
      <c r="F44"/>
      <c r="G44"/>
      <c r="H44"/>
      <c r="I44"/>
      <c r="J44"/>
    </row>
    <row r="45" spans="1:10">
      <c r="F45"/>
      <c r="G45"/>
      <c r="H45"/>
      <c r="I45"/>
      <c r="J45"/>
    </row>
    <row r="46" spans="1:10">
      <c r="F46"/>
      <c r="G46"/>
      <c r="H46"/>
      <c r="I46"/>
      <c r="J46"/>
    </row>
    <row r="47" spans="1:10">
      <c r="F47"/>
      <c r="G47"/>
      <c r="H47"/>
      <c r="I47"/>
      <c r="J47"/>
    </row>
    <row r="48" spans="1:10">
      <c r="F48"/>
      <c r="G48"/>
      <c r="H48"/>
      <c r="I48"/>
      <c r="J48"/>
    </row>
    <row r="49" spans="9:9">
      <c r="I49" s="1" t="s">
        <v>53</v>
      </c>
    </row>
  </sheetData>
  <mergeCells count="6">
    <mergeCell ref="H8:I8"/>
    <mergeCell ref="A1:J1"/>
    <mergeCell ref="H4:I4"/>
    <mergeCell ref="H5:I5"/>
    <mergeCell ref="H6:I6"/>
    <mergeCell ref="H7:I7"/>
  </mergeCells>
  <phoneticPr fontId="4" type="noConversion"/>
  <hyperlinks>
    <hyperlink ref="C37" r:id="rId1"/>
  </hyperlinks>
  <pageMargins left="0.75000000000000011" right="0.75000000000000011" top="0.98" bottom="0.98" header="0.51" footer="0.51"/>
  <pageSetup paperSize="9" orientation="portrait"/>
  <headerFooter alignWithMargins="0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3" enableFormatConditionsCalculation="0"/>
  <dimension ref="A1:L214"/>
  <sheetViews>
    <sheetView workbookViewId="0">
      <selection activeCell="G2" sqref="G2"/>
    </sheetView>
  </sheetViews>
  <sheetFormatPr baseColWidth="10" defaultRowHeight="13" x14ac:dyDescent="0"/>
  <cols>
    <col min="1" max="1" width="21.85546875" customWidth="1"/>
    <col min="2" max="2" width="12" bestFit="1" customWidth="1"/>
    <col min="3" max="3" width="11" customWidth="1"/>
    <col min="5" max="5" width="15" customWidth="1"/>
    <col min="6" max="6" width="12" bestFit="1" customWidth="1"/>
    <col min="9" max="9" width="11.85546875" bestFit="1" customWidth="1"/>
  </cols>
  <sheetData>
    <row r="1" spans="1:8">
      <c r="A1" s="76" t="s">
        <v>267</v>
      </c>
      <c r="F1" t="s">
        <v>598</v>
      </c>
      <c r="G1">
        <v>2500</v>
      </c>
      <c r="H1" t="s">
        <v>76</v>
      </c>
    </row>
    <row r="2" spans="1:8">
      <c r="A2" t="s">
        <v>417</v>
      </c>
      <c r="B2">
        <f>10*Géométrie!B10</f>
        <v>424.29113741943809</v>
      </c>
      <c r="C2" t="s">
        <v>76</v>
      </c>
    </row>
    <row r="3" spans="1:8">
      <c r="A3" s="121"/>
      <c r="B3" s="121"/>
      <c r="C3" s="121"/>
      <c r="D3" s="121"/>
      <c r="E3" s="121"/>
    </row>
    <row r="4" spans="1:8" ht="12.75" customHeight="1">
      <c r="A4" s="76" t="s">
        <v>418</v>
      </c>
    </row>
    <row r="5" spans="1:8">
      <c r="A5" t="s">
        <v>419</v>
      </c>
      <c r="B5">
        <f>29*Etagement!B4/1000</f>
        <v>96.080307930318469</v>
      </c>
      <c r="C5" t="s">
        <v>76</v>
      </c>
    </row>
    <row r="6" spans="1:8">
      <c r="A6" s="121"/>
      <c r="B6" s="121"/>
      <c r="C6" s="121"/>
      <c r="D6" s="121"/>
      <c r="E6" s="121"/>
    </row>
    <row r="7" spans="1:8" ht="11.25" customHeight="1">
      <c r="A7" s="76" t="s">
        <v>420</v>
      </c>
    </row>
    <row r="8" spans="1:8">
      <c r="A8" t="s">
        <v>339</v>
      </c>
      <c r="B8">
        <f>1.36</f>
        <v>1.36</v>
      </c>
      <c r="C8" t="s">
        <v>64</v>
      </c>
      <c r="D8" t="s">
        <v>340</v>
      </c>
    </row>
    <row r="9" spans="1:8">
      <c r="A9" t="s">
        <v>341</v>
      </c>
      <c r="B9">
        <f>1.2</f>
        <v>1.2</v>
      </c>
      <c r="C9" t="s">
        <v>64</v>
      </c>
      <c r="D9" t="s">
        <v>485</v>
      </c>
    </row>
    <row r="10" spans="1:8">
      <c r="A10" t="s">
        <v>342</v>
      </c>
      <c r="B10">
        <v>1</v>
      </c>
      <c r="D10" t="s">
        <v>343</v>
      </c>
    </row>
    <row r="11" spans="1:8" ht="16.5" customHeight="1">
      <c r="A11" t="s">
        <v>344</v>
      </c>
      <c r="B11">
        <v>1</v>
      </c>
      <c r="C11" t="s">
        <v>64</v>
      </c>
      <c r="D11" t="s">
        <v>345</v>
      </c>
    </row>
    <row r="12" spans="1:8">
      <c r="A12" t="s">
        <v>350</v>
      </c>
      <c r="B12">
        <v>1.1000000000000001</v>
      </c>
      <c r="C12" t="s">
        <v>64</v>
      </c>
      <c r="D12" t="s">
        <v>351</v>
      </c>
    </row>
    <row r="13" spans="1:8">
      <c r="A13" t="s">
        <v>422</v>
      </c>
      <c r="B13">
        <f>1*2*PI()*Géométrie!B3/2</f>
        <v>12.919799787888024</v>
      </c>
      <c r="C13" t="s">
        <v>348</v>
      </c>
      <c r="D13" t="s">
        <v>486</v>
      </c>
    </row>
    <row r="14" spans="1:8">
      <c r="A14" t="s">
        <v>421</v>
      </c>
      <c r="B14">
        <f>9*B8*B9*B10*B11*B12*B13</f>
        <v>208.74262121294925</v>
      </c>
      <c r="C14" t="s">
        <v>76</v>
      </c>
      <c r="D14" s="129"/>
    </row>
    <row r="15" spans="1:8">
      <c r="A15" s="121"/>
      <c r="B15" s="121"/>
      <c r="C15" s="121"/>
      <c r="D15" s="133"/>
      <c r="E15" s="121"/>
    </row>
    <row r="16" spans="1:8">
      <c r="A16" s="76" t="s">
        <v>612</v>
      </c>
      <c r="D16" s="129"/>
    </row>
    <row r="17" spans="1:7">
      <c r="A17" t="s">
        <v>355</v>
      </c>
      <c r="B17">
        <f>70*(1+0.03*Géométrie!B130)</f>
        <v>70</v>
      </c>
      <c r="C17" t="s">
        <v>76</v>
      </c>
      <c r="D17" t="s">
        <v>513</v>
      </c>
      <c r="G17" t="s">
        <v>514</v>
      </c>
    </row>
    <row r="18" spans="1:7">
      <c r="A18" t="s">
        <v>408</v>
      </c>
      <c r="B18">
        <f>20/100*B17</f>
        <v>14</v>
      </c>
      <c r="C18" t="s">
        <v>76</v>
      </c>
      <c r="D18" s="129"/>
    </row>
    <row r="19" spans="1:7">
      <c r="A19" s="121"/>
      <c r="B19" s="121"/>
      <c r="C19" s="121"/>
      <c r="D19" s="121"/>
      <c r="E19" s="121"/>
    </row>
    <row r="20" spans="1:7">
      <c r="A20" t="s">
        <v>487</v>
      </c>
      <c r="B20">
        <v>3313.1140665627058</v>
      </c>
      <c r="C20" t="s">
        <v>76</v>
      </c>
      <c r="D20">
        <f>B18+B17+B2+B14+B5+G1</f>
        <v>3313.1140665627058</v>
      </c>
    </row>
    <row r="21" spans="1:7">
      <c r="A21" s="128"/>
      <c r="B21" s="128"/>
      <c r="C21" s="128"/>
      <c r="D21" s="128"/>
      <c r="E21" s="128"/>
    </row>
    <row r="22" spans="1:7">
      <c r="A22" s="76" t="s">
        <v>367</v>
      </c>
    </row>
    <row r="23" spans="1:7">
      <c r="A23" s="102" t="s">
        <v>366</v>
      </c>
    </row>
    <row r="24" spans="1:7">
      <c r="A24" s="132" t="s">
        <v>368</v>
      </c>
      <c r="B24">
        <v>720.03375863238739</v>
      </c>
      <c r="C24" t="s">
        <v>369</v>
      </c>
      <c r="D24" t="s">
        <v>488</v>
      </c>
    </row>
    <row r="25" spans="1:7">
      <c r="A25" t="s">
        <v>370</v>
      </c>
      <c r="B25">
        <f>(B24-22)/1.5</f>
        <v>465.35583908825828</v>
      </c>
      <c r="C25" t="s">
        <v>369</v>
      </c>
    </row>
    <row r="26" spans="1:7">
      <c r="A26" t="s">
        <v>489</v>
      </c>
      <c r="B26">
        <f>B24*1000/B25/Etagement!J8</f>
        <v>157.72432726658872</v>
      </c>
      <c r="C26" t="s">
        <v>76</v>
      </c>
    </row>
    <row r="27" spans="1:7">
      <c r="A27" s="121"/>
      <c r="B27" s="121"/>
      <c r="C27" s="121"/>
      <c r="D27" s="121"/>
      <c r="E27" s="121"/>
    </row>
    <row r="28" spans="1:7">
      <c r="A28" s="102" t="s">
        <v>371</v>
      </c>
    </row>
    <row r="29" spans="1:7">
      <c r="A29" t="s">
        <v>339</v>
      </c>
      <c r="B29">
        <v>1.36</v>
      </c>
      <c r="C29" t="s">
        <v>64</v>
      </c>
      <c r="D29" t="s">
        <v>340</v>
      </c>
    </row>
    <row r="30" spans="1:7">
      <c r="A30" t="s">
        <v>342</v>
      </c>
      <c r="B30">
        <v>1</v>
      </c>
      <c r="C30" t="s">
        <v>64</v>
      </c>
      <c r="D30" t="s">
        <v>343</v>
      </c>
    </row>
    <row r="31" spans="1:7">
      <c r="A31" t="s">
        <v>344</v>
      </c>
      <c r="B31">
        <v>1</v>
      </c>
      <c r="C31" t="s">
        <v>64</v>
      </c>
      <c r="D31" t="s">
        <v>345</v>
      </c>
    </row>
    <row r="32" spans="1:7">
      <c r="A32" t="s">
        <v>372</v>
      </c>
      <c r="B32">
        <v>1</v>
      </c>
      <c r="C32" t="s">
        <v>64</v>
      </c>
      <c r="D32" t="s">
        <v>374</v>
      </c>
    </row>
    <row r="33" spans="1:8">
      <c r="A33" t="s">
        <v>490</v>
      </c>
      <c r="B33">
        <v>1</v>
      </c>
      <c r="C33" t="s">
        <v>64</v>
      </c>
      <c r="D33" t="s">
        <v>491</v>
      </c>
    </row>
    <row r="34" spans="1:8">
      <c r="A34" t="s">
        <v>492</v>
      </c>
      <c r="B34">
        <v>1.1000000000000001</v>
      </c>
      <c r="C34" t="s">
        <v>64</v>
      </c>
      <c r="D34" t="s">
        <v>493</v>
      </c>
    </row>
    <row r="35" spans="1:8">
      <c r="A35" t="s">
        <v>494</v>
      </c>
      <c r="B35">
        <f>'Moteur Etage 3'!G22</f>
        <v>8.3051812023879101</v>
      </c>
      <c r="C35" t="s">
        <v>275</v>
      </c>
    </row>
    <row r="36" spans="1:8">
      <c r="A36" t="s">
        <v>495</v>
      </c>
      <c r="B36">
        <f>'Moteur Etage 3'!B22</f>
        <v>24.024198807696187</v>
      </c>
      <c r="C36" t="s">
        <v>275</v>
      </c>
    </row>
    <row r="37" spans="1:8">
      <c r="A37" t="s">
        <v>350</v>
      </c>
      <c r="B37">
        <v>1.1000000000000001</v>
      </c>
      <c r="C37" t="s">
        <v>64</v>
      </c>
      <c r="D37" t="s">
        <v>375</v>
      </c>
    </row>
    <row r="38" spans="1:8">
      <c r="A38" t="s">
        <v>496</v>
      </c>
      <c r="B38">
        <f>9*B29*B30*B31*B32*B33*B35*B37</f>
        <v>111.82095970895084</v>
      </c>
      <c r="C38" t="s">
        <v>76</v>
      </c>
    </row>
    <row r="39" spans="1:8">
      <c r="A39" t="s">
        <v>497</v>
      </c>
      <c r="B39">
        <f>9*B29*B30*B31*B32*B34*B36*B37</f>
        <v>355.8079940215037</v>
      </c>
      <c r="C39" t="s">
        <v>76</v>
      </c>
    </row>
    <row r="40" spans="1:8">
      <c r="A40" t="s">
        <v>373</v>
      </c>
      <c r="B40">
        <f>B38+B39</f>
        <v>467.62895373045455</v>
      </c>
      <c r="C40" t="s">
        <v>76</v>
      </c>
    </row>
    <row r="41" spans="1:8">
      <c r="A41" s="121"/>
      <c r="B41" s="121"/>
      <c r="C41" s="121"/>
      <c r="D41" s="121"/>
      <c r="E41" s="121"/>
    </row>
    <row r="42" spans="1:8">
      <c r="A42" s="102" t="s">
        <v>376</v>
      </c>
    </row>
    <row r="43" spans="1:8">
      <c r="A43" s="102" t="s">
        <v>444</v>
      </c>
      <c r="C43" s="92"/>
      <c r="D43" s="92"/>
      <c r="E43" s="139" t="s">
        <v>445</v>
      </c>
      <c r="F43" s="92"/>
      <c r="G43" s="92"/>
      <c r="H43" s="92"/>
    </row>
    <row r="44" spans="1:8">
      <c r="A44" s="132" t="s">
        <v>377</v>
      </c>
      <c r="B44" s="121">
        <f>'Moteur Etage 3'!B42</f>
        <v>303900</v>
      </c>
      <c r="C44" s="121" t="s">
        <v>71</v>
      </c>
      <c r="D44" s="92" t="s">
        <v>498</v>
      </c>
      <c r="E44" s="135" t="s">
        <v>377</v>
      </c>
      <c r="F44" s="92">
        <f>'Moteur Etage 3'!B43</f>
        <v>405200</v>
      </c>
      <c r="G44" s="92" t="s">
        <v>71</v>
      </c>
      <c r="H44" s="92"/>
    </row>
    <row r="45" spans="1:8">
      <c r="A45" s="132" t="s">
        <v>378</v>
      </c>
      <c r="B45" s="121">
        <f>'Moteur Etage 3'!B22</f>
        <v>24.024198807696187</v>
      </c>
      <c r="C45" s="121" t="s">
        <v>275</v>
      </c>
      <c r="D45" s="92" t="s">
        <v>499</v>
      </c>
      <c r="E45" s="135" t="s">
        <v>378</v>
      </c>
      <c r="F45" s="92">
        <f>'Moteur Etage 3'!G22</f>
        <v>8.3051812023879101</v>
      </c>
      <c r="G45" s="92" t="s">
        <v>275</v>
      </c>
      <c r="H45" s="92"/>
    </row>
    <row r="46" spans="1:8">
      <c r="A46" s="132" t="s">
        <v>379</v>
      </c>
      <c r="B46" s="121">
        <v>4</v>
      </c>
      <c r="C46" s="121" t="s">
        <v>446</v>
      </c>
      <c r="D46" s="92"/>
      <c r="E46" s="135"/>
      <c r="F46" s="92"/>
      <c r="G46" s="92"/>
      <c r="H46" s="92"/>
    </row>
    <row r="47" spans="1:8" ht="15">
      <c r="A47" s="132" t="s">
        <v>247</v>
      </c>
      <c r="B47" s="121">
        <v>8.32</v>
      </c>
      <c r="C47" s="121" t="s">
        <v>452</v>
      </c>
      <c r="D47" s="92"/>
      <c r="E47" s="135"/>
      <c r="F47" s="92"/>
      <c r="G47" s="92"/>
      <c r="H47" s="92"/>
    </row>
    <row r="48" spans="1:8">
      <c r="A48" s="132" t="s">
        <v>380</v>
      </c>
      <c r="B48" s="121">
        <f>'Moteur Etage 3'!E46</f>
        <v>152.19999999999999</v>
      </c>
      <c r="C48" s="121" t="s">
        <v>430</v>
      </c>
      <c r="D48" s="92"/>
      <c r="E48" s="135" t="s">
        <v>380</v>
      </c>
      <c r="F48" s="92">
        <f>'Moteur Etage 3'!E47</f>
        <v>195</v>
      </c>
      <c r="G48" s="92" t="s">
        <v>430</v>
      </c>
      <c r="H48" s="92"/>
    </row>
    <row r="49" spans="1:8">
      <c r="A49" s="132" t="s">
        <v>447</v>
      </c>
      <c r="B49" s="121">
        <f>B44*B45*B46/(B47*B48)*10^(-3)</f>
        <v>23.062247351848757</v>
      </c>
      <c r="C49" s="121" t="s">
        <v>76</v>
      </c>
      <c r="D49" s="92"/>
      <c r="E49" s="135" t="s">
        <v>447</v>
      </c>
      <c r="F49" s="92">
        <f>F44*F45*B46/(B47*F48)</f>
        <v>8296.9906883816093</v>
      </c>
      <c r="G49" s="92" t="s">
        <v>59</v>
      </c>
      <c r="H49" s="92"/>
    </row>
    <row r="50" spans="1:8">
      <c r="A50" s="132" t="s">
        <v>448</v>
      </c>
      <c r="B50" s="121">
        <f>(B49+30/100*B49)</f>
        <v>29.980921557403384</v>
      </c>
      <c r="C50" s="121" t="s">
        <v>76</v>
      </c>
      <c r="D50" s="92"/>
      <c r="E50" s="135" t="s">
        <v>448</v>
      </c>
      <c r="F50" s="92">
        <f>(F49+30/100*F49)</f>
        <v>10786.087894896093</v>
      </c>
      <c r="G50" s="92" t="s">
        <v>76</v>
      </c>
      <c r="H50" s="92"/>
    </row>
    <row r="51" spans="1:8">
      <c r="A51" s="92" t="s">
        <v>454</v>
      </c>
      <c r="B51" s="92">
        <f>F50*10^-3</f>
        <v>10.786087894896093</v>
      </c>
      <c r="C51" s="92" t="s">
        <v>76</v>
      </c>
      <c r="D51" s="92"/>
      <c r="E51" s="135"/>
      <c r="F51" s="92"/>
      <c r="G51" s="92"/>
      <c r="H51" s="92"/>
    </row>
    <row r="52" spans="1:8">
      <c r="A52" s="132" t="s">
        <v>358</v>
      </c>
      <c r="B52">
        <v>40000</v>
      </c>
      <c r="C52" s="92" t="s">
        <v>85</v>
      </c>
      <c r="D52" s="92"/>
      <c r="E52" s="136"/>
      <c r="F52" s="92"/>
      <c r="G52" s="92"/>
      <c r="H52" s="92"/>
    </row>
    <row r="53" spans="1:8">
      <c r="A53" s="132" t="s">
        <v>381</v>
      </c>
      <c r="B53">
        <f>400*101300</f>
        <v>40520000</v>
      </c>
      <c r="C53" t="s">
        <v>71</v>
      </c>
      <c r="D53" s="92" t="s">
        <v>500</v>
      </c>
      <c r="E53" s="136"/>
      <c r="F53" s="92"/>
      <c r="G53" s="92"/>
    </row>
    <row r="54" spans="1:8">
      <c r="A54" s="132" t="s">
        <v>382</v>
      </c>
      <c r="B54">
        <f>300</f>
        <v>300</v>
      </c>
      <c r="C54" t="s">
        <v>430</v>
      </c>
      <c r="D54" t="s">
        <v>501</v>
      </c>
      <c r="E54" s="135"/>
      <c r="F54" s="92"/>
      <c r="G54" s="92"/>
    </row>
    <row r="55" spans="1:8">
      <c r="A55" s="132" t="s">
        <v>455</v>
      </c>
      <c r="B55">
        <v>2</v>
      </c>
      <c r="C55" t="s">
        <v>64</v>
      </c>
      <c r="E55" s="136"/>
      <c r="F55" s="92"/>
      <c r="G55" s="92"/>
    </row>
    <row r="56" spans="1:8">
      <c r="A56" t="s">
        <v>456</v>
      </c>
      <c r="B56">
        <f>'Moteur Etage 3'!B58</f>
        <v>0.12777201849827555</v>
      </c>
      <c r="C56" t="s">
        <v>275</v>
      </c>
      <c r="D56" t="s">
        <v>453</v>
      </c>
      <c r="E56" s="135"/>
      <c r="F56" s="92"/>
      <c r="G56" s="92"/>
    </row>
    <row r="57" spans="1:8">
      <c r="A57" t="s">
        <v>383</v>
      </c>
      <c r="B57">
        <f>B53*B55*B56/(B52*Etagement!J8)</f>
        <v>26.387982617482798</v>
      </c>
      <c r="C57" t="s">
        <v>76</v>
      </c>
      <c r="D57" s="92"/>
      <c r="E57" s="92"/>
      <c r="F57" s="92"/>
      <c r="G57" s="92"/>
    </row>
    <row r="58" spans="1:8">
      <c r="A58" s="121"/>
      <c r="B58" s="121"/>
      <c r="C58" s="121"/>
      <c r="D58" s="121"/>
      <c r="E58" s="121"/>
    </row>
    <row r="59" spans="1:8">
      <c r="A59" s="102" t="s">
        <v>384</v>
      </c>
    </row>
    <row r="60" spans="1:8">
      <c r="A60" t="s">
        <v>385</v>
      </c>
      <c r="B60" s="78">
        <f>'Moteur Etage 3'!B19+'Moteur Etage 3'!G19</f>
        <v>10649.457016448605</v>
      </c>
      <c r="C60" t="s">
        <v>76</v>
      </c>
    </row>
    <row r="61" spans="1:8">
      <c r="A61" s="121"/>
      <c r="B61" s="121"/>
      <c r="C61" s="121"/>
      <c r="D61" s="121"/>
      <c r="E61" s="121"/>
    </row>
    <row r="62" spans="1:8">
      <c r="A62" s="102" t="s">
        <v>386</v>
      </c>
    </row>
    <row r="63" spans="1:8">
      <c r="A63" t="s">
        <v>388</v>
      </c>
      <c r="B63">
        <v>8.1999999999999993</v>
      </c>
      <c r="C63" t="s">
        <v>387</v>
      </c>
    </row>
    <row r="64" spans="1:8">
      <c r="A64" t="s">
        <v>389</v>
      </c>
      <c r="B64">
        <v>6.9</v>
      </c>
      <c r="C64" t="s">
        <v>387</v>
      </c>
    </row>
    <row r="65" spans="1:5">
      <c r="A65" t="s">
        <v>390</v>
      </c>
      <c r="B65">
        <v>17</v>
      </c>
      <c r="C65" t="s">
        <v>387</v>
      </c>
    </row>
    <row r="66" spans="1:5">
      <c r="A66" t="s">
        <v>391</v>
      </c>
      <c r="B66">
        <v>45</v>
      </c>
      <c r="C66" t="s">
        <v>387</v>
      </c>
    </row>
    <row r="67" spans="1:5">
      <c r="A67" s="132" t="s">
        <v>502</v>
      </c>
      <c r="B67">
        <f>B63*Géométrie!B50*Géométrie!B49</f>
        <v>23.589248455328768</v>
      </c>
      <c r="C67" t="s">
        <v>76</v>
      </c>
    </row>
    <row r="68" spans="1:5">
      <c r="A68" s="132" t="s">
        <v>503</v>
      </c>
      <c r="B68">
        <f>'Bilan Masse'!B64*Géométrie!B51*Géométrie!B52</f>
        <v>48.259368959176619</v>
      </c>
      <c r="C68" t="s">
        <v>76</v>
      </c>
    </row>
    <row r="69" spans="1:5">
      <c r="A69" s="132" t="s">
        <v>504</v>
      </c>
      <c r="B69">
        <f>B65*Géométrie!B45</f>
        <v>8.6504340826386557</v>
      </c>
      <c r="C69" t="s">
        <v>76</v>
      </c>
    </row>
    <row r="70" spans="1:5">
      <c r="A70" s="132" t="s">
        <v>505</v>
      </c>
      <c r="B70">
        <f>B66*Géométrie!B46</f>
        <v>110.83150850541715</v>
      </c>
      <c r="C70" t="s">
        <v>76</v>
      </c>
    </row>
    <row r="71" spans="1:5">
      <c r="A71" t="s">
        <v>506</v>
      </c>
      <c r="B71">
        <f>2+Géométrie!B49+Géométrie!B51</f>
        <v>4</v>
      </c>
      <c r="C71" t="s">
        <v>64</v>
      </c>
    </row>
    <row r="72" spans="1:5">
      <c r="A72" t="s">
        <v>392</v>
      </c>
      <c r="B72">
        <f>28*B71</f>
        <v>112</v>
      </c>
      <c r="C72" t="s">
        <v>76</v>
      </c>
    </row>
    <row r="73" spans="1:5">
      <c r="A73" t="s">
        <v>393</v>
      </c>
      <c r="B73">
        <f>31*B71</f>
        <v>124</v>
      </c>
      <c r="C73" t="s">
        <v>76</v>
      </c>
    </row>
    <row r="74" spans="1:5">
      <c r="A74" t="s">
        <v>394</v>
      </c>
      <c r="B74">
        <f>10/100*B40</f>
        <v>46.76289537304546</v>
      </c>
      <c r="C74" t="s">
        <v>76</v>
      </c>
      <c r="D74" t="s">
        <v>507</v>
      </c>
    </row>
    <row r="75" spans="1:5">
      <c r="A75" s="121"/>
      <c r="B75" s="121"/>
      <c r="C75" s="121"/>
      <c r="D75" s="121"/>
      <c r="E75" s="121"/>
    </row>
    <row r="76" spans="1:5">
      <c r="A76" s="102" t="s">
        <v>338</v>
      </c>
    </row>
    <row r="77" spans="1:5">
      <c r="A77" t="s">
        <v>339</v>
      </c>
      <c r="B77">
        <f>1.36</f>
        <v>1.36</v>
      </c>
      <c r="C77" t="s">
        <v>64</v>
      </c>
      <c r="D77" t="s">
        <v>340</v>
      </c>
    </row>
    <row r="78" spans="1:5">
      <c r="A78" t="s">
        <v>341</v>
      </c>
      <c r="B78">
        <f>1.2</f>
        <v>1.2</v>
      </c>
      <c r="C78" t="s">
        <v>64</v>
      </c>
      <c r="D78" t="s">
        <v>508</v>
      </c>
    </row>
    <row r="79" spans="1:5">
      <c r="A79" t="s">
        <v>342</v>
      </c>
      <c r="B79">
        <v>1</v>
      </c>
      <c r="C79" t="s">
        <v>64</v>
      </c>
      <c r="D79" t="s">
        <v>343</v>
      </c>
    </row>
    <row r="80" spans="1:5">
      <c r="A80" t="s">
        <v>344</v>
      </c>
      <c r="B80">
        <v>1</v>
      </c>
      <c r="C80" t="s">
        <v>64</v>
      </c>
      <c r="D80" t="s">
        <v>345</v>
      </c>
    </row>
    <row r="81" spans="1:10">
      <c r="A81" t="s">
        <v>350</v>
      </c>
      <c r="B81">
        <v>1.1000000000000001</v>
      </c>
      <c r="C81" t="s">
        <v>64</v>
      </c>
      <c r="D81" t="s">
        <v>351</v>
      </c>
    </row>
    <row r="82" spans="1:10">
      <c r="A82" t="s">
        <v>346</v>
      </c>
      <c r="B82">
        <f>PI()*Géométrie!B3*Géométrie!B70</f>
        <v>20.623028021952127</v>
      </c>
      <c r="C82" t="s">
        <v>348</v>
      </c>
      <c r="D82" t="s">
        <v>509</v>
      </c>
      <c r="H82" t="s">
        <v>613</v>
      </c>
      <c r="I82">
        <f>PI()*(Géométrie!B73+Géométrie!B3)/2*Géométrie!H45</f>
        <v>20.61676594583242</v>
      </c>
    </row>
    <row r="83" spans="1:10">
      <c r="A83" t="s">
        <v>347</v>
      </c>
      <c r="B83">
        <f>9*B77*B78*B79*B80*B82*B81</f>
        <v>333.20213914507616</v>
      </c>
      <c r="C83" t="s">
        <v>76</v>
      </c>
      <c r="D83" t="s">
        <v>509</v>
      </c>
    </row>
    <row r="84" spans="1:10">
      <c r="A84" t="s">
        <v>349</v>
      </c>
      <c r="B84">
        <f>2*PI()*Géométrie!B73/2*Géométrie!B66</f>
        <v>54.523311996717482</v>
      </c>
      <c r="C84" t="s">
        <v>348</v>
      </c>
    </row>
    <row r="85" spans="1:10">
      <c r="A85" t="s">
        <v>330</v>
      </c>
      <c r="B85">
        <f>9*B79*B80*B81*B84*B78*B77</f>
        <v>880.92224726856512</v>
      </c>
      <c r="C85" t="s">
        <v>76</v>
      </c>
    </row>
    <row r="86" spans="1:10">
      <c r="A86" s="121"/>
      <c r="B86" s="121"/>
      <c r="C86" s="121"/>
      <c r="D86" s="121"/>
      <c r="E86" s="121"/>
    </row>
    <row r="87" spans="1:10">
      <c r="A87" s="102" t="s">
        <v>396</v>
      </c>
    </row>
    <row r="88" spans="1:10">
      <c r="A88" t="s">
        <v>397</v>
      </c>
      <c r="B88">
        <v>1.25</v>
      </c>
      <c r="C88" t="s">
        <v>64</v>
      </c>
      <c r="D88" t="s">
        <v>340</v>
      </c>
    </row>
    <row r="89" spans="1:10">
      <c r="A89" t="s">
        <v>399</v>
      </c>
      <c r="B89" s="78">
        <f>Géométrie!B73</f>
        <v>4.1100000000000003</v>
      </c>
      <c r="C89" t="s">
        <v>85</v>
      </c>
      <c r="D89" t="s">
        <v>315</v>
      </c>
    </row>
    <row r="90" spans="1:10">
      <c r="A90" s="132" t="s">
        <v>398</v>
      </c>
      <c r="B90">
        <f>Etagement!J8*'Moteur Etage 3'!B11*Etagement!B12</f>
        <v>172061.48379998576</v>
      </c>
      <c r="C90" t="s">
        <v>61</v>
      </c>
      <c r="D90" t="s">
        <v>510</v>
      </c>
      <c r="J90" s="129"/>
    </row>
    <row r="91" spans="1:10">
      <c r="A91" t="s">
        <v>350</v>
      </c>
      <c r="B91">
        <v>1.1000000000000001</v>
      </c>
      <c r="C91" t="s">
        <v>64</v>
      </c>
      <c r="D91" t="s">
        <v>400</v>
      </c>
    </row>
    <row r="92" spans="1:10">
      <c r="A92" t="s">
        <v>401</v>
      </c>
      <c r="B92">
        <f>0.0007*B88*B89*B90/Etagement!J8*'Bilan Masse'!B91</f>
        <v>69.383661796867358</v>
      </c>
      <c r="C92" t="s">
        <v>76</v>
      </c>
      <c r="D92" s="129" t="s">
        <v>402</v>
      </c>
    </row>
    <row r="93" spans="1:10">
      <c r="A93" t="s">
        <v>403</v>
      </c>
      <c r="B93">
        <f>2.5*B92</f>
        <v>173.45915449216841</v>
      </c>
      <c r="C93" t="s">
        <v>76</v>
      </c>
    </row>
    <row r="95" spans="1:10">
      <c r="A95" s="102" t="s">
        <v>404</v>
      </c>
    </row>
    <row r="96" spans="1:10">
      <c r="A96" t="s">
        <v>339</v>
      </c>
      <c r="B96">
        <f>1.36</f>
        <v>1.36</v>
      </c>
      <c r="C96" t="s">
        <v>64</v>
      </c>
      <c r="D96" t="s">
        <v>340</v>
      </c>
    </row>
    <row r="97" spans="1:9">
      <c r="A97" t="s">
        <v>341</v>
      </c>
      <c r="B97">
        <f>1.2</f>
        <v>1.2</v>
      </c>
      <c r="C97" t="s">
        <v>64</v>
      </c>
      <c r="D97" t="s">
        <v>511</v>
      </c>
    </row>
    <row r="98" spans="1:9">
      <c r="A98" t="s">
        <v>342</v>
      </c>
      <c r="B98">
        <v>1</v>
      </c>
      <c r="D98" t="s">
        <v>343</v>
      </c>
    </row>
    <row r="99" spans="1:9">
      <c r="A99" t="s">
        <v>344</v>
      </c>
      <c r="B99">
        <v>1</v>
      </c>
      <c r="C99" t="s">
        <v>64</v>
      </c>
      <c r="D99" t="s">
        <v>345</v>
      </c>
    </row>
    <row r="100" spans="1:9">
      <c r="A100" t="s">
        <v>350</v>
      </c>
      <c r="B100">
        <v>1.1000000000000001</v>
      </c>
      <c r="C100" t="s">
        <v>64</v>
      </c>
      <c r="D100" t="s">
        <v>351</v>
      </c>
    </row>
    <row r="101" spans="1:9">
      <c r="A101" t="s">
        <v>405</v>
      </c>
      <c r="B101">
        <v>0</v>
      </c>
      <c r="C101" t="s">
        <v>348</v>
      </c>
      <c r="D101" t="s">
        <v>509</v>
      </c>
    </row>
    <row r="102" spans="1:9">
      <c r="A102" t="s">
        <v>406</v>
      </c>
      <c r="B102">
        <f>9*B96*B97*B98*B99*B101*B100</f>
        <v>0</v>
      </c>
      <c r="C102" t="s">
        <v>76</v>
      </c>
    </row>
    <row r="103" spans="1:9">
      <c r="A103" s="121"/>
      <c r="B103" s="121"/>
      <c r="C103" s="121"/>
      <c r="D103" s="121"/>
      <c r="E103" s="121"/>
      <c r="I103" s="129"/>
    </row>
    <row r="104" spans="1:9">
      <c r="A104" s="102" t="s">
        <v>409</v>
      </c>
    </row>
    <row r="105" spans="1:9">
      <c r="A105" t="s">
        <v>410</v>
      </c>
      <c r="B105">
        <f>20/100*B40</f>
        <v>93.525790746090919</v>
      </c>
      <c r="C105" t="s">
        <v>76</v>
      </c>
      <c r="D105" t="s">
        <v>512</v>
      </c>
    </row>
    <row r="106" spans="1:9">
      <c r="A106" t="s">
        <v>411</v>
      </c>
      <c r="B106">
        <f>20/100*B57</f>
        <v>5.2775965234965598</v>
      </c>
      <c r="C106" t="s">
        <v>76</v>
      </c>
    </row>
    <row r="107" spans="1:9">
      <c r="A107" s="121"/>
      <c r="B107" s="121"/>
      <c r="C107" s="121"/>
      <c r="D107" s="121"/>
      <c r="E107" s="121"/>
    </row>
    <row r="108" spans="1:9">
      <c r="A108" s="102" t="s">
        <v>412</v>
      </c>
    </row>
    <row r="109" spans="1:9">
      <c r="A109" t="s">
        <v>414</v>
      </c>
      <c r="B109">
        <v>1</v>
      </c>
      <c r="C109" t="s">
        <v>64</v>
      </c>
    </row>
    <row r="110" spans="1:9">
      <c r="A110" t="s">
        <v>413</v>
      </c>
      <c r="B110">
        <f>0.056*B109*B24</f>
        <v>40.321890483413696</v>
      </c>
      <c r="C110" t="s">
        <v>76</v>
      </c>
      <c r="D110" s="129"/>
    </row>
    <row r="111" spans="1:9">
      <c r="A111" t="s">
        <v>415</v>
      </c>
      <c r="B111">
        <f>0.041*B109*B24</f>
        <v>29.521384103927883</v>
      </c>
      <c r="C111" t="s">
        <v>76</v>
      </c>
      <c r="F111" s="129"/>
    </row>
    <row r="112" spans="1:9">
      <c r="A112" t="s">
        <v>416</v>
      </c>
      <c r="B112">
        <f>0.02*B109*B24+67</f>
        <v>81.400675172647752</v>
      </c>
      <c r="C112" t="s">
        <v>76</v>
      </c>
    </row>
    <row r="113" spans="1:12">
      <c r="A113" s="121"/>
      <c r="B113" s="121"/>
      <c r="C113" s="121"/>
      <c r="D113" s="121"/>
      <c r="E113" s="121"/>
      <c r="G113" t="s">
        <v>515</v>
      </c>
      <c r="I113">
        <f>B60</f>
        <v>10649.457016448605</v>
      </c>
      <c r="K113" t="s">
        <v>589</v>
      </c>
      <c r="L113">
        <f>I114/I113</f>
        <v>0.26050639770041334</v>
      </c>
    </row>
    <row r="114" spans="1:12">
      <c r="A114" t="s">
        <v>516</v>
      </c>
      <c r="B114">
        <f>B106+B105+B102+B93+B85+B83+B74+B73+B72+B60+B57+B51+B40+B26+B112+B111+B110+B70+B69+B68+B67</f>
        <v>13423.708701269023</v>
      </c>
      <c r="C114" t="s">
        <v>76</v>
      </c>
      <c r="D114" s="129"/>
      <c r="G114" t="s">
        <v>517</v>
      </c>
      <c r="I114" s="78">
        <f>(B114-B60)</f>
        <v>2774.2516848204177</v>
      </c>
    </row>
    <row r="115" spans="1:12">
      <c r="A115" s="128"/>
      <c r="B115" s="128"/>
      <c r="C115" s="128"/>
      <c r="D115" s="128"/>
      <c r="E115" s="128"/>
    </row>
    <row r="116" spans="1:12">
      <c r="A116" s="76" t="s">
        <v>318</v>
      </c>
    </row>
    <row r="117" spans="1:12">
      <c r="A117" s="102" t="s">
        <v>325</v>
      </c>
    </row>
    <row r="118" spans="1:12">
      <c r="A118" t="s">
        <v>328</v>
      </c>
      <c r="B118">
        <f>Etagement!B29</f>
        <v>72337.726251790009</v>
      </c>
      <c r="C118" t="s">
        <v>76</v>
      </c>
    </row>
    <row r="119" spans="1:12">
      <c r="A119" s="121"/>
      <c r="B119" s="121"/>
      <c r="C119" s="121"/>
      <c r="D119" s="121"/>
      <c r="E119" s="121"/>
    </row>
    <row r="120" spans="1:12">
      <c r="A120" s="102" t="s">
        <v>326</v>
      </c>
    </row>
    <row r="121" spans="1:12">
      <c r="A121" t="s">
        <v>358</v>
      </c>
      <c r="B121">
        <v>10</v>
      </c>
      <c r="C121" t="s">
        <v>359</v>
      </c>
      <c r="D121" t="s">
        <v>518</v>
      </c>
    </row>
    <row r="122" spans="1:12">
      <c r="A122" t="s">
        <v>519</v>
      </c>
      <c r="B122">
        <f>'Moteur Etage 2'!B9*'Moteur Etage 2'!B20/Etagement!J8/(B121*10^3)</f>
        <v>2275.8877390100179</v>
      </c>
      <c r="C122" t="s">
        <v>76</v>
      </c>
      <c r="D122" s="129" t="s">
        <v>520</v>
      </c>
    </row>
    <row r="123" spans="1:12">
      <c r="A123" t="s">
        <v>361</v>
      </c>
      <c r="B123">
        <f>4*10^(-3)</f>
        <v>4.0000000000000001E-3</v>
      </c>
      <c r="C123" t="s">
        <v>85</v>
      </c>
      <c r="D123" t="s">
        <v>327</v>
      </c>
    </row>
    <row r="124" spans="1:12">
      <c r="A124" t="s">
        <v>697</v>
      </c>
      <c r="B124">
        <f>0.18*Géométrie!B73</f>
        <v>0.73980000000000001</v>
      </c>
      <c r="C124" t="s">
        <v>85</v>
      </c>
    </row>
    <row r="125" spans="1:12">
      <c r="A125" t="s">
        <v>521</v>
      </c>
      <c r="B125">
        <f>1550</f>
        <v>1550</v>
      </c>
      <c r="C125" t="s">
        <v>522</v>
      </c>
      <c r="D125" t="s">
        <v>523</v>
      </c>
    </row>
    <row r="126" spans="1:12">
      <c r="A126" t="s">
        <v>524</v>
      </c>
      <c r="B126">
        <f>PI()*Géométrie!B101*B123*B124*B125</f>
        <v>48.993087167250366</v>
      </c>
      <c r="C126" t="s">
        <v>329</v>
      </c>
      <c r="D126" s="129"/>
      <c r="E126" t="s">
        <v>525</v>
      </c>
    </row>
    <row r="127" spans="1:12">
      <c r="A127" s="132" t="s">
        <v>353</v>
      </c>
      <c r="B127">
        <f>10/100*(B126+B122)</f>
        <v>232.48808261772683</v>
      </c>
      <c r="C127" t="s">
        <v>76</v>
      </c>
      <c r="D127" s="129"/>
    </row>
    <row r="128" spans="1:12">
      <c r="A128" s="121"/>
      <c r="B128" s="121"/>
      <c r="C128" s="121"/>
      <c r="D128" s="133"/>
      <c r="E128" s="121"/>
    </row>
    <row r="129" spans="1:8">
      <c r="A129" s="102" t="s">
        <v>331</v>
      </c>
    </row>
    <row r="130" spans="1:8">
      <c r="A130" t="s">
        <v>333</v>
      </c>
      <c r="B130">
        <f>0.256*10^(-4)*((B118*'Moteur Etage 2'!B7)^(1.2)*'Moteur Etage 2'!B6^0.3/(('Moteur Etage 2'!B9/10^6)^0.8*'Moteur Etage 2'!B12^0.6*TAN('Moteur Etage 2'!B27*PI()/180)^0.4))^0.917</f>
        <v>1135.6516649197999</v>
      </c>
      <c r="C130" t="s">
        <v>76</v>
      </c>
      <c r="D130" s="129" t="s">
        <v>363</v>
      </c>
    </row>
    <row r="131" spans="1:8">
      <c r="A131" s="121"/>
      <c r="B131" s="121"/>
      <c r="C131" s="121"/>
      <c r="D131" s="121"/>
      <c r="E131" s="121"/>
    </row>
    <row r="132" spans="1:8">
      <c r="A132" s="102" t="s">
        <v>334</v>
      </c>
    </row>
    <row r="133" spans="1:8">
      <c r="A133" t="s">
        <v>335</v>
      </c>
      <c r="B133" s="78">
        <f>72.2*Géométrie!B101*(2*Géométrie!B81+Géométrie!B78)</f>
        <v>1440.4478900733411</v>
      </c>
      <c r="C133" t="s">
        <v>76</v>
      </c>
      <c r="D133" t="s">
        <v>526</v>
      </c>
      <c r="E133" s="129"/>
      <c r="F133" t="s">
        <v>364</v>
      </c>
      <c r="G133" s="129"/>
      <c r="H133" t="s">
        <v>527</v>
      </c>
    </row>
    <row r="134" spans="1:8">
      <c r="A134" s="121"/>
      <c r="B134" s="121"/>
      <c r="C134" s="121"/>
      <c r="D134" s="121"/>
      <c r="E134" s="121"/>
    </row>
    <row r="135" spans="1:8">
      <c r="A135" s="102" t="s">
        <v>336</v>
      </c>
    </row>
    <row r="136" spans="1:8">
      <c r="A136" t="s">
        <v>337</v>
      </c>
      <c r="B136">
        <f>B118*0.00136+3</f>
        <v>101.37930770243442</v>
      </c>
      <c r="C136" t="s">
        <v>76</v>
      </c>
    </row>
    <row r="137" spans="1:8">
      <c r="A137" s="121"/>
      <c r="B137" s="121"/>
      <c r="C137" s="121"/>
      <c r="D137" s="121"/>
      <c r="E137" s="121"/>
    </row>
    <row r="138" spans="1:8">
      <c r="A138" s="102" t="s">
        <v>338</v>
      </c>
    </row>
    <row r="139" spans="1:8">
      <c r="A139" t="s">
        <v>339</v>
      </c>
      <c r="B139">
        <f>1.36</f>
        <v>1.36</v>
      </c>
      <c r="C139" t="s">
        <v>64</v>
      </c>
      <c r="D139" t="s">
        <v>340</v>
      </c>
    </row>
    <row r="140" spans="1:8">
      <c r="A140" t="s">
        <v>341</v>
      </c>
      <c r="B140">
        <f>1.1</f>
        <v>1.1000000000000001</v>
      </c>
      <c r="C140" t="s">
        <v>64</v>
      </c>
      <c r="D140" t="s">
        <v>528</v>
      </c>
    </row>
    <row r="141" spans="1:8">
      <c r="A141" t="s">
        <v>342</v>
      </c>
      <c r="B141">
        <v>1</v>
      </c>
      <c r="D141" t="s">
        <v>343</v>
      </c>
    </row>
    <row r="142" spans="1:8">
      <c r="A142" t="s">
        <v>344</v>
      </c>
      <c r="B142">
        <v>1</v>
      </c>
      <c r="C142" t="s">
        <v>64</v>
      </c>
      <c r="D142" t="s">
        <v>345</v>
      </c>
    </row>
    <row r="143" spans="1:8">
      <c r="A143" t="s">
        <v>350</v>
      </c>
      <c r="B143">
        <v>1.1000000000000001</v>
      </c>
      <c r="C143" t="s">
        <v>64</v>
      </c>
      <c r="D143" t="s">
        <v>351</v>
      </c>
    </row>
    <row r="144" spans="1:8">
      <c r="A144" t="s">
        <v>346</v>
      </c>
      <c r="B144">
        <f>PI()*(Géométrie!B73+Géométrie!B101)/2*(Géométrie!B98)</f>
        <v>32.553949177297255</v>
      </c>
      <c r="C144" t="s">
        <v>348</v>
      </c>
      <c r="D144" t="s">
        <v>509</v>
      </c>
    </row>
    <row r="145" spans="1:12">
      <c r="A145" t="s">
        <v>347</v>
      </c>
      <c r="B145">
        <f>9*B139*B140*B141*B142*B144*B143</f>
        <v>482.13700889544339</v>
      </c>
      <c r="C145" t="s">
        <v>76</v>
      </c>
    </row>
    <row r="146" spans="1:12">
      <c r="A146" t="s">
        <v>349</v>
      </c>
      <c r="B146">
        <f>PI()*Géométrie!B101*Géométrie!B92</f>
        <v>7.9701685863463467</v>
      </c>
      <c r="C146" t="s">
        <v>348</v>
      </c>
    </row>
    <row r="147" spans="1:12">
      <c r="A147" t="s">
        <v>330</v>
      </c>
      <c r="B147">
        <f>9*B141*B142*B143*B146*B140*B139</f>
        <v>118.04138483122395</v>
      </c>
      <c r="C147" t="s">
        <v>76</v>
      </c>
    </row>
    <row r="148" spans="1:12">
      <c r="A148" s="121"/>
      <c r="B148" s="121"/>
      <c r="C148" s="121"/>
      <c r="D148" s="121"/>
      <c r="E148" s="121"/>
    </row>
    <row r="149" spans="1:12">
      <c r="A149" s="122" t="s">
        <v>352</v>
      </c>
      <c r="B149" s="121"/>
      <c r="C149" s="121"/>
      <c r="D149" s="121" t="s">
        <v>529</v>
      </c>
      <c r="E149" s="121"/>
    </row>
    <row r="150" spans="1:12">
      <c r="A150" s="121" t="s">
        <v>530</v>
      </c>
      <c r="B150" s="124">
        <f>B118+B122+B136+B130+B133+B127</f>
        <v>77523.580936113329</v>
      </c>
      <c r="C150" s="121" t="s">
        <v>76</v>
      </c>
      <c r="D150" s="121" t="s">
        <v>531</v>
      </c>
      <c r="E150" s="121"/>
    </row>
    <row r="151" spans="1:12">
      <c r="A151" s="121" t="s">
        <v>532</v>
      </c>
      <c r="B151" s="121">
        <f>20/100*B150</f>
        <v>15504.716187222666</v>
      </c>
      <c r="C151" s="121" t="s">
        <v>76</v>
      </c>
      <c r="D151" s="133"/>
      <c r="E151" s="121"/>
    </row>
    <row r="152" spans="1:12">
      <c r="A152" s="121"/>
      <c r="B152" s="121"/>
      <c r="C152" s="121"/>
      <c r="D152" s="121"/>
      <c r="E152" s="121"/>
    </row>
    <row r="153" spans="1:12">
      <c r="A153" s="122" t="s">
        <v>354</v>
      </c>
      <c r="B153" s="121"/>
      <c r="C153" s="121"/>
      <c r="D153" s="121"/>
      <c r="E153" s="121"/>
    </row>
    <row r="154" spans="1:12">
      <c r="A154" s="121" t="s">
        <v>355</v>
      </c>
      <c r="B154" s="121">
        <f>70*(1+0.03*Géométrie!B130)</f>
        <v>70</v>
      </c>
      <c r="C154" s="121" t="s">
        <v>76</v>
      </c>
      <c r="D154" s="133"/>
      <c r="E154" s="121"/>
    </row>
    <row r="155" spans="1:12">
      <c r="A155" s="121"/>
      <c r="B155" s="121"/>
      <c r="C155" s="121"/>
      <c r="D155" s="121"/>
      <c r="E155" s="121"/>
      <c r="F155" s="129"/>
    </row>
    <row r="156" spans="1:12">
      <c r="A156" s="102" t="s">
        <v>356</v>
      </c>
    </row>
    <row r="157" spans="1:12">
      <c r="A157" t="s">
        <v>533</v>
      </c>
      <c r="B157" s="78">
        <f>B150+B147+B145+B126</f>
        <v>78172.752417007257</v>
      </c>
      <c r="C157" t="s">
        <v>76</v>
      </c>
    </row>
    <row r="158" spans="1:12">
      <c r="A158" t="s">
        <v>357</v>
      </c>
      <c r="B158">
        <f>3*B157/1000</f>
        <v>234.51825725102177</v>
      </c>
      <c r="C158" t="s">
        <v>76</v>
      </c>
      <c r="D158" s="129"/>
      <c r="H158" s="129"/>
    </row>
    <row r="159" spans="1:12">
      <c r="A159" s="121"/>
      <c r="B159" s="121"/>
      <c r="C159" s="121"/>
      <c r="D159" s="133"/>
      <c r="E159" s="121"/>
      <c r="G159" t="s">
        <v>515</v>
      </c>
      <c r="H159" s="129"/>
      <c r="I159">
        <f>B118</f>
        <v>72337.726251790009</v>
      </c>
      <c r="K159" t="s">
        <v>591</v>
      </c>
      <c r="L159">
        <f>I160/I159</f>
        <v>8.3905656660283545E-2</v>
      </c>
    </row>
    <row r="160" spans="1:12">
      <c r="A160" t="s">
        <v>423</v>
      </c>
      <c r="B160" s="78">
        <f>B158+B157</f>
        <v>78407.270674258281</v>
      </c>
      <c r="C160" t="s">
        <v>76</v>
      </c>
      <c r="D160" s="129"/>
      <c r="G160" t="s">
        <v>534</v>
      </c>
      <c r="H160" s="129"/>
      <c r="I160" s="78">
        <f>(B160-B118)</f>
        <v>6069.5444224682724</v>
      </c>
    </row>
    <row r="161" spans="1:9">
      <c r="A161" s="128"/>
      <c r="B161" s="128"/>
      <c r="C161" s="128"/>
      <c r="D161" s="128"/>
      <c r="E161" s="128"/>
    </row>
    <row r="162" spans="1:9">
      <c r="A162" s="76" t="s">
        <v>317</v>
      </c>
    </row>
    <row r="163" spans="1:9">
      <c r="A163" s="102" t="s">
        <v>325</v>
      </c>
    </row>
    <row r="164" spans="1:9">
      <c r="A164" t="s">
        <v>332</v>
      </c>
      <c r="B164">
        <f>Etagement!C29</f>
        <v>224171.32694565994</v>
      </c>
      <c r="C164" t="s">
        <v>76</v>
      </c>
      <c r="D164" t="s">
        <v>328</v>
      </c>
    </row>
    <row r="165" spans="1:9">
      <c r="A165" s="121"/>
      <c r="B165" s="121"/>
      <c r="C165" s="121"/>
      <c r="D165" s="121"/>
      <c r="E165" s="121"/>
    </row>
    <row r="166" spans="1:9">
      <c r="A166" s="102" t="s">
        <v>326</v>
      </c>
    </row>
    <row r="167" spans="1:9">
      <c r="A167" t="s">
        <v>358</v>
      </c>
      <c r="B167">
        <v>10</v>
      </c>
      <c r="C167" t="s">
        <v>359</v>
      </c>
      <c r="D167" t="s">
        <v>518</v>
      </c>
    </row>
    <row r="168" spans="1:9">
      <c r="A168" t="s">
        <v>519</v>
      </c>
      <c r="B168">
        <f>'Moteur Etage 1'!B12*'Moteur Etage 1'!B25/Etagement!J8/(B167*10^3)</f>
        <v>9002.1456528014187</v>
      </c>
      <c r="C168" t="s">
        <v>76</v>
      </c>
      <c r="D168" s="129" t="s">
        <v>360</v>
      </c>
    </row>
    <row r="169" spans="1:9">
      <c r="A169" t="s">
        <v>361</v>
      </c>
      <c r="B169">
        <f>4*10^(-3)</f>
        <v>4.0000000000000001E-3</v>
      </c>
      <c r="C169" t="s">
        <v>85</v>
      </c>
      <c r="D169" t="s">
        <v>327</v>
      </c>
    </row>
    <row r="170" spans="1:9">
      <c r="A170" t="s">
        <v>362</v>
      </c>
      <c r="B170">
        <f>0.18*Géométrie!B127</f>
        <v>0.61199999999999999</v>
      </c>
      <c r="C170" t="s">
        <v>85</v>
      </c>
      <c r="I170">
        <f>(B164*'Moteur Etage 1'!B10)^1.2</f>
        <v>18269079798.705261</v>
      </c>
    </row>
    <row r="171" spans="1:9">
      <c r="A171" t="s">
        <v>535</v>
      </c>
      <c r="B171">
        <f>1550</f>
        <v>1550</v>
      </c>
      <c r="C171" t="s">
        <v>522</v>
      </c>
      <c r="D171" t="s">
        <v>523</v>
      </c>
      <c r="I171" s="78">
        <f>'Moteur Etage 1'!B9^0.3</f>
        <v>1.9952623149688797</v>
      </c>
    </row>
    <row r="172" spans="1:9">
      <c r="A172" t="s">
        <v>365</v>
      </c>
      <c r="B172">
        <f>PI()*Géométrie!B127*B169*B170*B171</f>
        <v>40.529561160255774</v>
      </c>
      <c r="C172" t="s">
        <v>329</v>
      </c>
      <c r="D172" t="s">
        <v>536</v>
      </c>
      <c r="I172">
        <f>('Moteur Etage 1'!B12/10^6)^0.8*'Moteur Etage 1'!B18^0.6*TAN('Moteur Etage 1'!B32*PI()/180)^0.4</f>
        <v>52.138950700408721</v>
      </c>
    </row>
    <row r="173" spans="1:9">
      <c r="A173" s="134" t="s">
        <v>537</v>
      </c>
      <c r="B173" s="134">
        <f>10/100*(B172+B168)</f>
        <v>904.26752139616747</v>
      </c>
      <c r="C173" s="92" t="s">
        <v>76</v>
      </c>
      <c r="D173" s="92" t="s">
        <v>538</v>
      </c>
      <c r="E173" s="92"/>
      <c r="F173" s="92"/>
      <c r="I173">
        <f>0.256*10^(-4)*(I170*I171/I172)^0.917</f>
        <v>3301.3862437634502</v>
      </c>
    </row>
    <row r="174" spans="1:9">
      <c r="A174" s="121"/>
      <c r="B174" s="121"/>
      <c r="C174" s="121"/>
      <c r="D174" s="133"/>
      <c r="E174" s="121"/>
    </row>
    <row r="175" spans="1:9">
      <c r="A175" s="102" t="s">
        <v>331</v>
      </c>
    </row>
    <row r="176" spans="1:9">
      <c r="A176" t="s">
        <v>333</v>
      </c>
      <c r="B176">
        <f>0.256*10^(-4)*((B164*'Moteur Etage 1'!B10)^(1.2)*'Moteur Etage 1'!B9^(0.3)/(('Moteur Etage 1'!B12/(10^6))^0.8*'Moteur Etage 1'!B18^0.6*TAN('Moteur Etage 1'!B32*PI()/180)^0.4))^0.917</f>
        <v>3301.3862437634502</v>
      </c>
      <c r="C176" t="s">
        <v>76</v>
      </c>
      <c r="D176" s="129" t="s">
        <v>363</v>
      </c>
      <c r="I176" t="s">
        <v>585</v>
      </c>
    </row>
    <row r="177" spans="1:7">
      <c r="A177" s="121"/>
      <c r="B177" s="121"/>
      <c r="C177" s="121"/>
      <c r="D177" s="121"/>
      <c r="E177" s="121"/>
    </row>
    <row r="178" spans="1:7">
      <c r="A178" s="102" t="s">
        <v>334</v>
      </c>
      <c r="F178" s="129"/>
      <c r="G178" s="129"/>
    </row>
    <row r="179" spans="1:7">
      <c r="A179" t="s">
        <v>335</v>
      </c>
      <c r="B179" s="78">
        <f>72.2*(Géométrie!B108+2*Géométrie!B111)*Géométrie!B127</f>
        <v>3609.6991530473279</v>
      </c>
      <c r="C179" t="s">
        <v>76</v>
      </c>
      <c r="D179" t="s">
        <v>526</v>
      </c>
      <c r="F179" t="s">
        <v>364</v>
      </c>
    </row>
    <row r="180" spans="1:7">
      <c r="A180" s="121"/>
      <c r="B180" s="121"/>
      <c r="C180" s="121"/>
      <c r="D180" s="121"/>
      <c r="E180" s="121"/>
    </row>
    <row r="181" spans="1:7">
      <c r="A181" s="102" t="s">
        <v>336</v>
      </c>
    </row>
    <row r="182" spans="1:7">
      <c r="A182" t="s">
        <v>337</v>
      </c>
      <c r="B182">
        <f>B164*0.00136+3</f>
        <v>307.87300464609751</v>
      </c>
      <c r="C182" t="s">
        <v>76</v>
      </c>
    </row>
    <row r="183" spans="1:7">
      <c r="A183" s="121"/>
      <c r="B183" s="121"/>
      <c r="C183" s="121"/>
      <c r="D183" s="121"/>
      <c r="E183" s="121"/>
    </row>
    <row r="184" spans="1:7">
      <c r="A184" s="102" t="s">
        <v>338</v>
      </c>
    </row>
    <row r="185" spans="1:7">
      <c r="A185" t="s">
        <v>339</v>
      </c>
      <c r="B185">
        <f>1.36</f>
        <v>1.36</v>
      </c>
      <c r="C185" t="s">
        <v>64</v>
      </c>
      <c r="D185" t="s">
        <v>340</v>
      </c>
    </row>
    <row r="186" spans="1:7">
      <c r="A186" t="s">
        <v>539</v>
      </c>
      <c r="B186">
        <f>1.1</f>
        <v>1.1000000000000001</v>
      </c>
      <c r="C186" t="s">
        <v>64</v>
      </c>
      <c r="D186" t="s">
        <v>493</v>
      </c>
    </row>
    <row r="187" spans="1:7">
      <c r="A187" t="s">
        <v>342</v>
      </c>
      <c r="B187">
        <v>1</v>
      </c>
      <c r="D187" t="s">
        <v>343</v>
      </c>
    </row>
    <row r="188" spans="1:7">
      <c r="A188" t="s">
        <v>344</v>
      </c>
      <c r="B188">
        <v>1</v>
      </c>
      <c r="C188" t="s">
        <v>64</v>
      </c>
      <c r="D188" t="s">
        <v>345</v>
      </c>
    </row>
    <row r="189" spans="1:7">
      <c r="A189" t="s">
        <v>350</v>
      </c>
      <c r="B189">
        <v>1.1000000000000001</v>
      </c>
      <c r="C189" t="s">
        <v>64</v>
      </c>
      <c r="D189" t="s">
        <v>351</v>
      </c>
    </row>
    <row r="190" spans="1:7">
      <c r="A190" t="s">
        <v>346</v>
      </c>
      <c r="B190">
        <f>PI()*Géométrie!B127*Géométrie!B125</f>
        <v>36.883707934782862</v>
      </c>
      <c r="C190" t="s">
        <v>348</v>
      </c>
      <c r="D190" t="s">
        <v>509</v>
      </c>
    </row>
    <row r="191" spans="1:7">
      <c r="A191" t="s">
        <v>347</v>
      </c>
      <c r="B191">
        <f>9*B185*B186*B187*B188*B190*B189</f>
        <v>546.26246799730825</v>
      </c>
      <c r="C191" t="s">
        <v>76</v>
      </c>
    </row>
    <row r="192" spans="1:7">
      <c r="A192" t="s">
        <v>540</v>
      </c>
      <c r="B192">
        <v>1</v>
      </c>
      <c r="C192" t="s">
        <v>64</v>
      </c>
      <c r="D192" t="s">
        <v>407</v>
      </c>
    </row>
    <row r="193" spans="1:12">
      <c r="A193" t="s">
        <v>349</v>
      </c>
      <c r="B193">
        <f>2*PI()*Géométrie!B127/2*Géométrie!B122</f>
        <v>39.375259373449161</v>
      </c>
      <c r="C193" t="s">
        <v>348</v>
      </c>
    </row>
    <row r="194" spans="1:12">
      <c r="A194" t="s">
        <v>330</v>
      </c>
      <c r="B194">
        <f>9*B187*B188*B189*B193*B192*B185</f>
        <v>530.14849220411952</v>
      </c>
      <c r="C194" t="s">
        <v>76</v>
      </c>
    </row>
    <row r="195" spans="1:12">
      <c r="A195" s="121"/>
      <c r="B195" s="121"/>
      <c r="C195" s="121"/>
      <c r="D195" s="121"/>
      <c r="E195" s="121"/>
    </row>
    <row r="196" spans="1:12">
      <c r="A196" s="122" t="s">
        <v>352</v>
      </c>
      <c r="B196" s="121"/>
      <c r="C196" s="121"/>
      <c r="D196" s="133"/>
      <c r="E196" s="121"/>
    </row>
    <row r="197" spans="1:12">
      <c r="A197" s="121" t="s">
        <v>541</v>
      </c>
      <c r="B197" s="124">
        <f>B176+B168+B164+B179+B173+B182</f>
        <v>241296.69852131439</v>
      </c>
      <c r="C197" s="121" t="s">
        <v>76</v>
      </c>
      <c r="D197" s="121" t="s">
        <v>531</v>
      </c>
      <c r="E197" s="121"/>
    </row>
    <row r="198" spans="1:12">
      <c r="A198" s="121" t="s">
        <v>532</v>
      </c>
      <c r="B198" s="121">
        <f>20/100*B197</f>
        <v>48259.339704262879</v>
      </c>
      <c r="C198" s="121" t="s">
        <v>76</v>
      </c>
      <c r="D198" s="133"/>
      <c r="E198" s="121"/>
    </row>
    <row r="199" spans="1:12">
      <c r="A199" s="121"/>
      <c r="B199" s="121"/>
      <c r="C199" s="121"/>
      <c r="D199" s="133"/>
      <c r="E199" s="121"/>
    </row>
    <row r="200" spans="1:12">
      <c r="A200" s="122" t="s">
        <v>354</v>
      </c>
      <c r="B200" s="121"/>
      <c r="C200" s="121"/>
      <c r="D200" s="121"/>
      <c r="E200" s="121"/>
    </row>
    <row r="201" spans="1:12">
      <c r="A201" s="121" t="s">
        <v>355</v>
      </c>
      <c r="B201" s="121">
        <f>70*(1+0.03*Géométrie!B130)</f>
        <v>70</v>
      </c>
      <c r="C201" s="121" t="s">
        <v>76</v>
      </c>
      <c r="D201" s="133"/>
      <c r="E201" s="121"/>
      <c r="F201" s="129"/>
    </row>
    <row r="202" spans="1:12">
      <c r="A202" s="121"/>
      <c r="B202" s="121"/>
      <c r="C202" s="121"/>
      <c r="D202" s="121"/>
      <c r="E202" s="121"/>
    </row>
    <row r="203" spans="1:12">
      <c r="A203" s="102" t="s">
        <v>356</v>
      </c>
    </row>
    <row r="204" spans="1:12">
      <c r="A204" t="s">
        <v>533</v>
      </c>
      <c r="B204" s="78">
        <f>B197+B194+B191+B172</f>
        <v>242413.63904267605</v>
      </c>
      <c r="C204" t="s">
        <v>76</v>
      </c>
    </row>
    <row r="205" spans="1:12">
      <c r="A205" t="s">
        <v>357</v>
      </c>
      <c r="B205">
        <f>3*B204/1000</f>
        <v>727.24091712802806</v>
      </c>
      <c r="C205" t="s">
        <v>76</v>
      </c>
      <c r="D205" s="129"/>
    </row>
    <row r="206" spans="1:12">
      <c r="A206" s="121"/>
      <c r="B206" s="121"/>
      <c r="C206" s="121"/>
      <c r="D206" s="121"/>
      <c r="E206" s="121"/>
      <c r="G206" t="s">
        <v>515</v>
      </c>
      <c r="I206">
        <f>B164</f>
        <v>224171.32694565994</v>
      </c>
      <c r="K206" t="s">
        <v>590</v>
      </c>
      <c r="L206">
        <f>I207/I206</f>
        <v>8.462078211609296E-2</v>
      </c>
    </row>
    <row r="207" spans="1:12">
      <c r="A207" t="s">
        <v>424</v>
      </c>
      <c r="B207" s="78">
        <f>B204+B205</f>
        <v>243140.87995980406</v>
      </c>
      <c r="C207" t="s">
        <v>76</v>
      </c>
      <c r="G207" t="s">
        <v>542</v>
      </c>
      <c r="I207" s="78">
        <f>(B207-B164)</f>
        <v>18969.553014144127</v>
      </c>
    </row>
    <row r="208" spans="1:12">
      <c r="A208" s="128"/>
      <c r="B208" s="128"/>
      <c r="C208" s="128"/>
      <c r="D208" s="128"/>
      <c r="E208" s="128"/>
    </row>
    <row r="210" spans="1:9">
      <c r="A210" t="s">
        <v>425</v>
      </c>
      <c r="B210" s="78">
        <f>B207+B160+B114+B20</f>
        <v>338284.97340189409</v>
      </c>
      <c r="C210" t="s">
        <v>76</v>
      </c>
    </row>
    <row r="211" spans="1:9">
      <c r="B211" s="78">
        <f>B210/1000</f>
        <v>338.28497340189409</v>
      </c>
      <c r="C211" t="s">
        <v>543</v>
      </c>
      <c r="I211" s="78">
        <f>I207+I206+'Bilan Masse'!I160+'Bilan Masse'!I159+'Bilan Masse'!I114+'Bilan Masse'!I113+'Bilan Masse'!I20</f>
        <v>334971.85933533136</v>
      </c>
    </row>
    <row r="213" spans="1:9">
      <c r="A213" s="140" t="s">
        <v>426</v>
      </c>
      <c r="B213" s="140">
        <f>1.25*B210</f>
        <v>422856.21675236762</v>
      </c>
      <c r="C213" s="140" t="s">
        <v>76</v>
      </c>
      <c r="D213" s="140"/>
      <c r="E213" s="140"/>
    </row>
    <row r="214" spans="1:9">
      <c r="B214">
        <f>B213/1000</f>
        <v>422.85621675236763</v>
      </c>
      <c r="C214" t="s">
        <v>543</v>
      </c>
    </row>
  </sheetData>
  <pageMargins left="0.7" right="0.7" top="0.75" bottom="0.75" header="0.3" footer="0.3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 enableFormatConditionsCalculation="0"/>
  <dimension ref="A1:P41"/>
  <sheetViews>
    <sheetView workbookViewId="0">
      <selection activeCell="D18" sqref="D18"/>
    </sheetView>
  </sheetViews>
  <sheetFormatPr baseColWidth="10" defaultRowHeight="13" x14ac:dyDescent="0"/>
  <cols>
    <col min="1" max="1" width="22.140625" bestFit="1" customWidth="1"/>
    <col min="2" max="2" width="15" style="78" customWidth="1"/>
    <col min="3" max="3" width="6" bestFit="1" customWidth="1"/>
    <col min="4" max="4" width="29.42578125" customWidth="1"/>
    <col min="5" max="5" width="18.28515625" bestFit="1" customWidth="1"/>
    <col min="6" max="6" width="12.7109375" customWidth="1"/>
    <col min="14" max="14" width="21.140625" customWidth="1"/>
    <col min="15" max="15" width="15.140625" bestFit="1" customWidth="1"/>
  </cols>
  <sheetData>
    <row r="1" spans="1:6">
      <c r="A1" s="76" t="s">
        <v>55</v>
      </c>
      <c r="F1" s="77" t="s">
        <v>78</v>
      </c>
    </row>
    <row r="2" spans="1:6">
      <c r="A2" t="s">
        <v>165</v>
      </c>
      <c r="E2" t="s">
        <v>99</v>
      </c>
    </row>
    <row r="3" spans="1:6">
      <c r="A3" s="94"/>
      <c r="B3" s="95"/>
      <c r="C3" s="94"/>
      <c r="D3" s="94"/>
      <c r="E3" s="94"/>
      <c r="F3" s="94"/>
    </row>
    <row r="4" spans="1:6">
      <c r="A4" s="94"/>
      <c r="B4" s="95"/>
      <c r="C4" s="94"/>
      <c r="D4" s="94"/>
      <c r="E4" s="94"/>
      <c r="F4" s="94"/>
    </row>
    <row r="5" spans="1:6">
      <c r="A5" s="92" t="s">
        <v>56</v>
      </c>
      <c r="B5" s="93">
        <f>B6*Etagement!J8</f>
        <v>17.1675</v>
      </c>
      <c r="C5" s="92" t="s">
        <v>57</v>
      </c>
      <c r="D5" t="s">
        <v>270</v>
      </c>
    </row>
    <row r="6" spans="1:6">
      <c r="A6" s="79" t="s">
        <v>56</v>
      </c>
      <c r="B6" s="80">
        <v>1.75</v>
      </c>
      <c r="C6" s="79" t="s">
        <v>59</v>
      </c>
    </row>
    <row r="7" spans="1:6">
      <c r="A7" s="92" t="s">
        <v>58</v>
      </c>
      <c r="B7" s="93">
        <f>B8/(Etagement!C26-B14*B18*B16)/Etagement!J8</f>
        <v>2.3493510896957175</v>
      </c>
      <c r="C7" s="92" t="s">
        <v>59</v>
      </c>
      <c r="D7" t="s">
        <v>170</v>
      </c>
    </row>
    <row r="8" spans="1:6">
      <c r="A8" t="s">
        <v>60</v>
      </c>
      <c r="B8" s="78">
        <f>B5*Etagement!C26</f>
        <v>5800795.100708209</v>
      </c>
      <c r="C8" t="s">
        <v>61</v>
      </c>
    </row>
    <row r="9" spans="1:6">
      <c r="A9" t="s">
        <v>62</v>
      </c>
      <c r="B9" s="78">
        <v>10</v>
      </c>
      <c r="C9" t="s">
        <v>64</v>
      </c>
      <c r="D9" t="s">
        <v>65</v>
      </c>
      <c r="E9" t="s">
        <v>63</v>
      </c>
    </row>
    <row r="10" spans="1:6">
      <c r="A10" t="s">
        <v>66</v>
      </c>
      <c r="B10" s="78">
        <v>1588</v>
      </c>
      <c r="C10" t="s">
        <v>67</v>
      </c>
      <c r="E10" t="s">
        <v>63</v>
      </c>
    </row>
    <row r="11" spans="1:6">
      <c r="A11" t="s">
        <v>72</v>
      </c>
      <c r="B11" s="78">
        <v>0.98</v>
      </c>
      <c r="C11" t="s">
        <v>64</v>
      </c>
    </row>
    <row r="12" spans="1:6">
      <c r="A12" t="s">
        <v>70</v>
      </c>
      <c r="B12" s="78">
        <f>70*101300</f>
        <v>7091000</v>
      </c>
      <c r="C12" t="s">
        <v>71</v>
      </c>
      <c r="D12" t="s">
        <v>272</v>
      </c>
      <c r="E12" t="s">
        <v>63</v>
      </c>
    </row>
    <row r="13" spans="1:6">
      <c r="A13" t="s">
        <v>71</v>
      </c>
      <c r="B13" s="78">
        <f>40.28*101300</f>
        <v>4080364</v>
      </c>
      <c r="C13" t="s">
        <v>71</v>
      </c>
      <c r="D13" t="s">
        <v>273</v>
      </c>
    </row>
    <row r="14" spans="1:6">
      <c r="A14" s="79" t="s">
        <v>271</v>
      </c>
      <c r="B14" s="80">
        <v>0.33333333333333331</v>
      </c>
      <c r="C14" s="79" t="s">
        <v>64</v>
      </c>
    </row>
    <row r="15" spans="1:6">
      <c r="A15" t="s">
        <v>584</v>
      </c>
      <c r="B15" s="78">
        <f>B13*B8/(Etagement!J8*Etagement!B10*'Moteur Etage 1'!B13-'Moteur Etage 1'!B10*'Moteur Etage 1'!B11*101300*'Moteur Etage 1'!B9)</f>
        <v>2378.4234107574657</v>
      </c>
      <c r="C15" t="s">
        <v>69</v>
      </c>
    </row>
    <row r="16" spans="1:6">
      <c r="A16" t="s">
        <v>592</v>
      </c>
      <c r="B16" s="78">
        <f>B15</f>
        <v>2378.4234107574657</v>
      </c>
      <c r="C16" t="s">
        <v>69</v>
      </c>
      <c r="D16" t="s">
        <v>75</v>
      </c>
    </row>
    <row r="17" spans="1:16">
      <c r="A17" s="79" t="s">
        <v>593</v>
      </c>
      <c r="B17" s="80">
        <v>36.243044682023921</v>
      </c>
      <c r="C17" s="79" t="s">
        <v>74</v>
      </c>
    </row>
    <row r="18" spans="1:16">
      <c r="A18" s="92" t="s">
        <v>73</v>
      </c>
      <c r="B18" s="93">
        <f>B17/B14</f>
        <v>108.72913404607176</v>
      </c>
      <c r="C18" s="92" t="s">
        <v>74</v>
      </c>
      <c r="E18" s="81" t="s">
        <v>595</v>
      </c>
      <c r="F18" s="84">
        <f>(B19*Etagement!J8*Etagement!B10-101300*B29)</f>
        <v>4458720.9003478317</v>
      </c>
    </row>
    <row r="19" spans="1:16">
      <c r="A19" t="s">
        <v>77</v>
      </c>
      <c r="B19" s="78">
        <f>(Etagement!C29-B17*B16)/((1-B14)/B14*B17)</f>
        <v>1903.3999793239871</v>
      </c>
      <c r="C19" t="s">
        <v>69</v>
      </c>
      <c r="E19" s="85" t="s">
        <v>596</v>
      </c>
      <c r="F19" s="87">
        <f>(B16*Etagement!J8*Etagement!B10-101300*B29)</f>
        <v>5800795.1007082099</v>
      </c>
    </row>
    <row r="20" spans="1:16">
      <c r="A20" t="s">
        <v>594</v>
      </c>
      <c r="B20" s="78">
        <f>B18-B17</f>
        <v>72.486089364047842</v>
      </c>
      <c r="C20" t="s">
        <v>74</v>
      </c>
      <c r="D20" s="78"/>
      <c r="E20" s="103" t="s">
        <v>597</v>
      </c>
      <c r="F20" s="147">
        <f>F19/F18-1</f>
        <v>0.3009998226746331</v>
      </c>
    </row>
    <row r="21" spans="1:16">
      <c r="A21" s="142"/>
      <c r="B21" s="143"/>
      <c r="C21" s="142"/>
      <c r="D21" s="142"/>
      <c r="E21" s="142"/>
      <c r="F21" s="142"/>
    </row>
    <row r="22" spans="1:16">
      <c r="A22" s="79" t="s">
        <v>100</v>
      </c>
      <c r="B22" s="80">
        <v>0.75</v>
      </c>
      <c r="C22" s="79" t="s">
        <v>64</v>
      </c>
      <c r="D22" t="s">
        <v>102</v>
      </c>
      <c r="E22" t="s">
        <v>99</v>
      </c>
    </row>
    <row r="23" spans="1:16" ht="14" thickBot="1">
      <c r="A23" s="79" t="s">
        <v>101</v>
      </c>
      <c r="B23" s="80">
        <v>0.9</v>
      </c>
      <c r="C23" s="79" t="s">
        <v>64</v>
      </c>
      <c r="D23" t="s">
        <v>183</v>
      </c>
      <c r="E23" t="s">
        <v>99</v>
      </c>
    </row>
    <row r="24" spans="1:16">
      <c r="A24" s="79" t="s">
        <v>80</v>
      </c>
      <c r="B24" s="80">
        <v>1800</v>
      </c>
      <c r="C24" s="79" t="s">
        <v>81</v>
      </c>
      <c r="D24" t="s">
        <v>104</v>
      </c>
      <c r="E24" t="s">
        <v>105</v>
      </c>
      <c r="N24" s="237" t="s">
        <v>60</v>
      </c>
      <c r="O24" s="231">
        <f>B8</f>
        <v>5800795.100708209</v>
      </c>
      <c r="P24" s="175" t="s">
        <v>61</v>
      </c>
    </row>
    <row r="25" spans="1:16">
      <c r="A25" t="s">
        <v>82</v>
      </c>
      <c r="B25" s="78">
        <f>Etagement!C29/B24</f>
        <v>124.53962608092219</v>
      </c>
      <c r="C25" t="s">
        <v>83</v>
      </c>
      <c r="N25" s="41" t="s">
        <v>592</v>
      </c>
      <c r="O25" s="232">
        <f>B16</f>
        <v>2378.4234107574657</v>
      </c>
      <c r="P25" s="233" t="s">
        <v>69</v>
      </c>
    </row>
    <row r="26" spans="1:16">
      <c r="A26" t="s">
        <v>106</v>
      </c>
      <c r="B26" s="78">
        <f>B25/B23</f>
        <v>138.37736231213577</v>
      </c>
      <c r="C26" t="s">
        <v>83</v>
      </c>
      <c r="N26" s="41" t="s">
        <v>77</v>
      </c>
      <c r="O26" s="232">
        <f>B19</f>
        <v>1903.3999793239871</v>
      </c>
      <c r="P26" s="233" t="s">
        <v>69</v>
      </c>
    </row>
    <row r="27" spans="1:16">
      <c r="A27" s="94"/>
      <c r="B27" s="95"/>
      <c r="C27" s="94"/>
      <c r="D27" s="94"/>
      <c r="E27" s="94"/>
      <c r="F27" s="94"/>
      <c r="N27" s="41" t="s">
        <v>73</v>
      </c>
      <c r="O27" s="232">
        <f>B18</f>
        <v>108.72913404607176</v>
      </c>
      <c r="P27" s="233" t="s">
        <v>74</v>
      </c>
    </row>
    <row r="28" spans="1:16">
      <c r="A28" s="81" t="s">
        <v>111</v>
      </c>
      <c r="B28" s="82">
        <f>B15*B10*B11/B13</f>
        <v>0.90712437634416887</v>
      </c>
      <c r="C28" s="83" t="s">
        <v>112</v>
      </c>
      <c r="D28" s="83"/>
      <c r="E28" s="84"/>
      <c r="N28" s="41" t="s">
        <v>594</v>
      </c>
      <c r="O28" s="232">
        <f>B20</f>
        <v>72.486089364047842</v>
      </c>
      <c r="P28" s="233" t="s">
        <v>74</v>
      </c>
    </row>
    <row r="29" spans="1:16">
      <c r="A29" s="85" t="s">
        <v>113</v>
      </c>
      <c r="B29" s="86">
        <f>B28*B9</f>
        <v>9.0712437634416894</v>
      </c>
      <c r="C29" s="39" t="s">
        <v>112</v>
      </c>
      <c r="D29" s="39"/>
      <c r="E29" s="87"/>
      <c r="N29" s="41" t="s">
        <v>82</v>
      </c>
      <c r="O29" s="232">
        <f>B25</f>
        <v>124.53962608092219</v>
      </c>
      <c r="P29" s="233" t="s">
        <v>83</v>
      </c>
    </row>
    <row r="30" spans="1:16">
      <c r="A30" s="85" t="s">
        <v>107</v>
      </c>
      <c r="B30" s="86">
        <f>2*SQRT(B28/(PI()))</f>
        <v>1.0747030417536827</v>
      </c>
      <c r="C30" s="39" t="s">
        <v>85</v>
      </c>
      <c r="D30" s="39"/>
      <c r="E30" s="87"/>
      <c r="N30" s="41" t="s">
        <v>106</v>
      </c>
      <c r="O30" s="232">
        <f>B26</f>
        <v>138.37736231213577</v>
      </c>
      <c r="P30" s="233" t="s">
        <v>83</v>
      </c>
    </row>
    <row r="31" spans="1:16">
      <c r="A31" s="85" t="s">
        <v>110</v>
      </c>
      <c r="B31" s="86">
        <f>2*SQRT(B29/PI())</f>
        <v>3.3985094202526764</v>
      </c>
      <c r="C31" s="39" t="s">
        <v>85</v>
      </c>
      <c r="D31" s="39"/>
      <c r="E31" s="87"/>
      <c r="N31" s="41" t="s">
        <v>111</v>
      </c>
      <c r="O31" s="232">
        <f>B28</f>
        <v>0.90712437634416887</v>
      </c>
      <c r="P31" s="233" t="s">
        <v>112</v>
      </c>
    </row>
    <row r="32" spans="1:16">
      <c r="A32" s="85" t="s">
        <v>97</v>
      </c>
      <c r="B32" s="86">
        <v>19</v>
      </c>
      <c r="C32" s="39" t="s">
        <v>98</v>
      </c>
      <c r="D32" s="39" t="s">
        <v>109</v>
      </c>
      <c r="E32" s="87" t="s">
        <v>108</v>
      </c>
      <c r="N32" s="41" t="s">
        <v>113</v>
      </c>
      <c r="O32" s="232">
        <f>B29</f>
        <v>9.0712437634416894</v>
      </c>
      <c r="P32" s="233" t="s">
        <v>112</v>
      </c>
    </row>
    <row r="33" spans="1:16">
      <c r="A33" s="88" t="s">
        <v>114</v>
      </c>
      <c r="B33" s="89">
        <f>(B31-B30)/(2*TAN(B32*PI()/180))</f>
        <v>3.3744118810246193</v>
      </c>
      <c r="C33" s="90" t="s">
        <v>85</v>
      </c>
      <c r="D33" s="90"/>
      <c r="E33" s="91"/>
      <c r="N33" s="41" t="s">
        <v>114</v>
      </c>
      <c r="O33" s="232">
        <f>B33</f>
        <v>3.3744118810246193</v>
      </c>
      <c r="P33" s="233" t="s">
        <v>85</v>
      </c>
    </row>
    <row r="34" spans="1:16" ht="14" thickBot="1">
      <c r="A34" s="94"/>
      <c r="B34" s="95"/>
      <c r="C34" s="94"/>
      <c r="D34" s="94"/>
      <c r="E34" s="94"/>
      <c r="F34" s="94"/>
      <c r="N34" s="234" t="s">
        <v>79</v>
      </c>
      <c r="O34" s="235">
        <f>B37</f>
        <v>13.289906267327673</v>
      </c>
      <c r="P34" s="236" t="s">
        <v>87</v>
      </c>
    </row>
    <row r="35" spans="1:16">
      <c r="A35" t="s">
        <v>84</v>
      </c>
      <c r="B35" s="78">
        <f>B25/(PI()*B36)*2</f>
        <v>23.318937766582465</v>
      </c>
      <c r="C35" t="s">
        <v>85</v>
      </c>
      <c r="D35" t="s">
        <v>166</v>
      </c>
    </row>
    <row r="36" spans="1:16">
      <c r="A36" s="79" t="s">
        <v>86</v>
      </c>
      <c r="B36" s="80">
        <f>Géométrie!B127</f>
        <v>3.4</v>
      </c>
      <c r="C36" s="79" t="s">
        <v>85</v>
      </c>
      <c r="D36" t="s">
        <v>182</v>
      </c>
    </row>
    <row r="37" spans="1:16">
      <c r="A37" t="s">
        <v>79</v>
      </c>
      <c r="B37" s="78">
        <f>B36*0.85/2/B18*1000</f>
        <v>13.289906267327673</v>
      </c>
      <c r="C37" t="s">
        <v>87</v>
      </c>
      <c r="D37" t="s">
        <v>88</v>
      </c>
      <c r="E37" t="s">
        <v>89</v>
      </c>
    </row>
    <row r="38" spans="1:16">
      <c r="A38" s="94"/>
      <c r="B38" s="95"/>
      <c r="C38" s="94"/>
      <c r="D38" s="94"/>
      <c r="E38" s="94"/>
      <c r="F38" s="94"/>
    </row>
    <row r="39" spans="1:16">
      <c r="A39" s="94"/>
      <c r="B39" s="95"/>
      <c r="C39" s="94"/>
      <c r="D39" s="94"/>
      <c r="E39" s="94"/>
      <c r="F39" s="94"/>
    </row>
    <row r="41" spans="1:16">
      <c r="A41" s="79"/>
      <c r="B41" s="96" t="s">
        <v>164</v>
      </c>
    </row>
  </sheetData>
  <hyperlinks>
    <hyperlink ref="F1" r:id="rId1"/>
  </hyperlinks>
  <pageMargins left="0.78740157499999996" right="0.78740157499999996" top="0.984251969" bottom="0.984251969" header="0.5" footer="0.5"/>
  <headerFooter alignWithMargins="0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 enableFormatConditionsCalculation="0"/>
  <dimension ref="A1:K44"/>
  <sheetViews>
    <sheetView topLeftCell="A19" workbookViewId="0">
      <selection activeCell="B32" sqref="B32"/>
    </sheetView>
  </sheetViews>
  <sheetFormatPr baseColWidth="10" defaultRowHeight="13" x14ac:dyDescent="0"/>
  <cols>
    <col min="1" max="1" width="25.140625" customWidth="1"/>
    <col min="4" max="4" width="30.7109375" customWidth="1"/>
    <col min="6" max="6" width="51.28515625" customWidth="1"/>
    <col min="9" max="9" width="19.85546875" customWidth="1"/>
  </cols>
  <sheetData>
    <row r="1" spans="1:7">
      <c r="A1" s="76" t="s">
        <v>55</v>
      </c>
      <c r="B1" s="78"/>
      <c r="G1" s="94"/>
    </row>
    <row r="2" spans="1:7">
      <c r="A2" t="s">
        <v>173</v>
      </c>
      <c r="B2" s="78"/>
      <c r="E2" t="s">
        <v>99</v>
      </c>
      <c r="G2" s="94"/>
    </row>
    <row r="3" spans="1:7">
      <c r="A3" s="94"/>
      <c r="B3" s="95"/>
      <c r="C3" s="94"/>
      <c r="D3" s="94"/>
      <c r="E3" s="94"/>
      <c r="F3" s="94"/>
      <c r="G3" s="94"/>
    </row>
    <row r="4" spans="1:7">
      <c r="A4" s="94"/>
      <c r="B4" s="95"/>
      <c r="C4" s="94"/>
      <c r="D4" s="94"/>
      <c r="E4" s="94"/>
      <c r="F4" s="94"/>
      <c r="G4" s="94"/>
    </row>
    <row r="5" spans="1:7">
      <c r="A5" s="79" t="s">
        <v>123</v>
      </c>
      <c r="B5" s="80">
        <v>10</v>
      </c>
      <c r="C5" s="79" t="s">
        <v>125</v>
      </c>
      <c r="D5" t="s">
        <v>124</v>
      </c>
      <c r="G5" s="94"/>
    </row>
    <row r="6" spans="1:7">
      <c r="A6" t="s">
        <v>62</v>
      </c>
      <c r="B6" s="78">
        <v>40</v>
      </c>
      <c r="C6" t="s">
        <v>64</v>
      </c>
      <c r="D6" t="s">
        <v>65</v>
      </c>
      <c r="E6" t="s">
        <v>63</v>
      </c>
      <c r="G6" s="94"/>
    </row>
    <row r="7" spans="1:7">
      <c r="A7" t="s">
        <v>66</v>
      </c>
      <c r="B7" s="78">
        <v>1585</v>
      </c>
      <c r="C7" t="s">
        <v>67</v>
      </c>
      <c r="E7" t="s">
        <v>63</v>
      </c>
      <c r="G7" s="94"/>
    </row>
    <row r="8" spans="1:7">
      <c r="A8" t="s">
        <v>72</v>
      </c>
      <c r="B8" s="78">
        <v>0.98</v>
      </c>
      <c r="C8" t="s">
        <v>64</v>
      </c>
      <c r="G8" s="94"/>
    </row>
    <row r="9" spans="1:7">
      <c r="A9" t="s">
        <v>70</v>
      </c>
      <c r="B9" s="78">
        <v>5000000</v>
      </c>
      <c r="C9" t="s">
        <v>71</v>
      </c>
      <c r="D9" t="s">
        <v>272</v>
      </c>
      <c r="E9" t="s">
        <v>63</v>
      </c>
      <c r="G9" s="94"/>
    </row>
    <row r="10" spans="1:7">
      <c r="A10" t="s">
        <v>71</v>
      </c>
      <c r="B10" s="78">
        <v>13000</v>
      </c>
      <c r="C10" t="s">
        <v>71</v>
      </c>
      <c r="D10" t="s">
        <v>273</v>
      </c>
      <c r="G10" s="94"/>
    </row>
    <row r="11" spans="1:7">
      <c r="A11" t="s">
        <v>68</v>
      </c>
      <c r="B11" s="78">
        <f>B5*Etagement!B26/(Etagement!J8*Etagement!E11)</f>
        <v>332.65928641339559</v>
      </c>
      <c r="C11" t="s">
        <v>69</v>
      </c>
      <c r="F11" t="s">
        <v>122</v>
      </c>
      <c r="G11" s="94"/>
    </row>
    <row r="12" spans="1:7">
      <c r="A12" s="92" t="s">
        <v>73</v>
      </c>
      <c r="B12" s="93">
        <f>Etagement!B29/B11</f>
        <v>217.45289912603232</v>
      </c>
      <c r="C12" s="92" t="s">
        <v>74</v>
      </c>
      <c r="D12" t="s">
        <v>151</v>
      </c>
      <c r="G12" s="94"/>
    </row>
    <row r="13" spans="1:7">
      <c r="A13" s="94"/>
      <c r="B13" s="95"/>
      <c r="C13" s="94"/>
      <c r="D13" s="94"/>
      <c r="E13" s="94"/>
      <c r="F13" s="94"/>
      <c r="G13" s="94"/>
    </row>
    <row r="14" spans="1:7">
      <c r="A14" t="s">
        <v>148</v>
      </c>
      <c r="B14" s="78">
        <f>B11*Etagement!E11/Etagement!B26</f>
        <v>1.019367991845056</v>
      </c>
      <c r="C14" t="s">
        <v>59</v>
      </c>
      <c r="G14" s="94"/>
    </row>
    <row r="15" spans="1:7">
      <c r="A15" s="94"/>
      <c r="B15" s="95"/>
      <c r="C15" s="94"/>
      <c r="D15" s="94"/>
      <c r="E15" s="94"/>
      <c r="F15" s="94"/>
      <c r="G15" s="94"/>
    </row>
    <row r="16" spans="1:7">
      <c r="A16" s="79" t="s">
        <v>100</v>
      </c>
      <c r="B16" s="80">
        <v>0.75</v>
      </c>
      <c r="C16" s="79" t="s">
        <v>64</v>
      </c>
      <c r="D16" t="s">
        <v>102</v>
      </c>
      <c r="E16" t="s">
        <v>99</v>
      </c>
      <c r="F16" t="s">
        <v>174</v>
      </c>
      <c r="G16" s="94"/>
    </row>
    <row r="17" spans="1:11">
      <c r="A17" s="79" t="s">
        <v>101</v>
      </c>
      <c r="B17" s="80">
        <v>0.9</v>
      </c>
      <c r="C17" s="79" t="s">
        <v>64</v>
      </c>
      <c r="D17" t="s">
        <v>103</v>
      </c>
      <c r="E17" t="s">
        <v>99</v>
      </c>
      <c r="F17" t="s">
        <v>175</v>
      </c>
      <c r="G17" s="94"/>
    </row>
    <row r="18" spans="1:11">
      <c r="A18" s="79" t="s">
        <v>80</v>
      </c>
      <c r="B18" s="80">
        <v>1800</v>
      </c>
      <c r="C18" s="79" t="s">
        <v>81</v>
      </c>
      <c r="D18" t="s">
        <v>104</v>
      </c>
      <c r="E18" t="s">
        <v>105</v>
      </c>
      <c r="G18" s="94"/>
    </row>
    <row r="19" spans="1:11">
      <c r="A19" t="s">
        <v>82</v>
      </c>
      <c r="B19" s="78">
        <f>Etagement!B29/B18</f>
        <v>40.187625695438896</v>
      </c>
      <c r="C19" t="s">
        <v>83</v>
      </c>
      <c r="G19" s="94"/>
    </row>
    <row r="20" spans="1:11">
      <c r="A20" t="s">
        <v>106</v>
      </c>
      <c r="B20" s="78">
        <f>B19/B17</f>
        <v>44.652917439376552</v>
      </c>
      <c r="C20" t="s">
        <v>83</v>
      </c>
      <c r="G20" s="94"/>
    </row>
    <row r="21" spans="1:11" ht="14" thickBot="1">
      <c r="A21" s="92" t="s">
        <v>232</v>
      </c>
      <c r="B21" s="78">
        <f>B19/(PI()*B31)*2</f>
        <v>7.5247756241834924</v>
      </c>
      <c r="C21" s="92" t="s">
        <v>85</v>
      </c>
      <c r="G21" s="94"/>
    </row>
    <row r="22" spans="1:11">
      <c r="A22" s="94"/>
      <c r="B22" s="94"/>
      <c r="C22" s="94"/>
      <c r="D22" s="94"/>
      <c r="E22" s="94"/>
      <c r="F22" s="94"/>
      <c r="G22" s="94"/>
      <c r="I22" s="237" t="s">
        <v>68</v>
      </c>
      <c r="J22" s="231">
        <f>B11</f>
        <v>332.65928641339559</v>
      </c>
      <c r="K22" s="175" t="s">
        <v>69</v>
      </c>
    </row>
    <row r="23" spans="1:11">
      <c r="A23" s="81" t="s">
        <v>111</v>
      </c>
      <c r="B23" s="82">
        <f>B11/B9*B8*B7</f>
        <v>0.10334393391718548</v>
      </c>
      <c r="C23" s="83" t="s">
        <v>112</v>
      </c>
      <c r="D23" s="83"/>
      <c r="E23" s="84"/>
      <c r="G23" s="94"/>
      <c r="I23" s="41" t="s">
        <v>73</v>
      </c>
      <c r="J23" s="232">
        <f>B12</f>
        <v>217.45289912603232</v>
      </c>
      <c r="K23" s="233" t="s">
        <v>74</v>
      </c>
    </row>
    <row r="24" spans="1:11">
      <c r="A24" s="85" t="s">
        <v>113</v>
      </c>
      <c r="B24" s="86">
        <f>B6*B23</f>
        <v>4.1337573566874193</v>
      </c>
      <c r="C24" s="39" t="s">
        <v>112</v>
      </c>
      <c r="D24" s="39"/>
      <c r="E24" s="87"/>
      <c r="G24" s="94"/>
      <c r="I24" s="41" t="s">
        <v>82</v>
      </c>
      <c r="J24" s="232">
        <f>B19</f>
        <v>40.187625695438896</v>
      </c>
      <c r="K24" s="233" t="s">
        <v>83</v>
      </c>
    </row>
    <row r="25" spans="1:11">
      <c r="A25" s="85" t="s">
        <v>107</v>
      </c>
      <c r="B25" s="86">
        <f>2*SQRT(B23/(PI()))</f>
        <v>0.36274175851679663</v>
      </c>
      <c r="C25" s="39" t="s">
        <v>85</v>
      </c>
      <c r="D25" s="39"/>
      <c r="E25" s="87"/>
      <c r="G25" s="94"/>
      <c r="I25" s="41" t="s">
        <v>106</v>
      </c>
      <c r="J25" s="232">
        <f>B20</f>
        <v>44.652917439376552</v>
      </c>
      <c r="K25" s="233" t="s">
        <v>83</v>
      </c>
    </row>
    <row r="26" spans="1:11">
      <c r="A26" s="85" t="s">
        <v>110</v>
      </c>
      <c r="B26" s="86">
        <f>2*SQRT(B24/PI())</f>
        <v>2.2941803187357177</v>
      </c>
      <c r="C26" s="39" t="s">
        <v>85</v>
      </c>
      <c r="D26" s="39"/>
      <c r="E26" s="87"/>
      <c r="G26" s="94"/>
      <c r="I26" s="41" t="s">
        <v>111</v>
      </c>
      <c r="J26" s="232">
        <f>B23</f>
        <v>0.10334393391718548</v>
      </c>
      <c r="K26" s="233" t="s">
        <v>112</v>
      </c>
    </row>
    <row r="27" spans="1:11">
      <c r="A27" s="98" t="s">
        <v>97</v>
      </c>
      <c r="B27" s="99">
        <v>23</v>
      </c>
      <c r="C27" s="100" t="s">
        <v>98</v>
      </c>
      <c r="D27" s="39" t="s">
        <v>128</v>
      </c>
      <c r="E27" s="87" t="s">
        <v>108</v>
      </c>
      <c r="G27" s="94"/>
      <c r="I27" s="41" t="s">
        <v>113</v>
      </c>
      <c r="J27" s="232">
        <f>B24</f>
        <v>4.1337573566874193</v>
      </c>
      <c r="K27" s="233" t="s">
        <v>112</v>
      </c>
    </row>
    <row r="28" spans="1:11">
      <c r="A28" s="88" t="s">
        <v>114</v>
      </c>
      <c r="B28" s="89">
        <f>(B26-B25)/(2*TAN(B27*PI()/180))</f>
        <v>2.2750920507674843</v>
      </c>
      <c r="C28" s="90" t="s">
        <v>85</v>
      </c>
      <c r="D28" s="90"/>
      <c r="E28" s="91"/>
      <c r="G28" s="94"/>
      <c r="I28" s="41" t="s">
        <v>114</v>
      </c>
      <c r="J28" s="232">
        <f>B28</f>
        <v>2.2750920507674843</v>
      </c>
      <c r="K28" s="233" t="s">
        <v>85</v>
      </c>
    </row>
    <row r="29" spans="1:11" ht="14" thickBot="1">
      <c r="A29" s="94"/>
      <c r="B29" s="94"/>
      <c r="C29" s="94"/>
      <c r="D29" s="94"/>
      <c r="E29" s="94"/>
      <c r="F29" s="94"/>
      <c r="G29" s="94"/>
      <c r="I29" s="234" t="s">
        <v>79</v>
      </c>
      <c r="J29" s="235">
        <f>B32</f>
        <v>6.6451171992078164</v>
      </c>
      <c r="K29" s="236" t="s">
        <v>87</v>
      </c>
    </row>
    <row r="30" spans="1:11">
      <c r="A30" t="s">
        <v>84</v>
      </c>
      <c r="B30" s="78">
        <f>B19/(PI()*B31)*2</f>
        <v>7.5247756241834924</v>
      </c>
      <c r="C30" t="s">
        <v>85</v>
      </c>
      <c r="D30" t="s">
        <v>166</v>
      </c>
      <c r="F30" t="s">
        <v>167</v>
      </c>
      <c r="G30" s="94"/>
    </row>
    <row r="31" spans="1:11">
      <c r="A31" s="79" t="s">
        <v>86</v>
      </c>
      <c r="B31" s="80">
        <f>Géométrie!B101</f>
        <v>3.4</v>
      </c>
      <c r="C31" s="79" t="s">
        <v>85</v>
      </c>
      <c r="G31" s="94"/>
    </row>
    <row r="32" spans="1:11">
      <c r="A32" t="s">
        <v>79</v>
      </c>
      <c r="B32" s="78">
        <f>B31*0.85/2/B12*1000</f>
        <v>6.6451171992078164</v>
      </c>
      <c r="C32" t="s">
        <v>87</v>
      </c>
      <c r="D32" t="s">
        <v>88</v>
      </c>
      <c r="E32" t="s">
        <v>89</v>
      </c>
      <c r="G32" s="94"/>
    </row>
    <row r="33" spans="1:7">
      <c r="A33" s="94"/>
      <c r="B33" s="94"/>
      <c r="C33" s="94"/>
      <c r="D33" s="94"/>
      <c r="E33" s="94"/>
      <c r="F33" s="94"/>
      <c r="G33" s="94"/>
    </row>
    <row r="38" spans="1:7">
      <c r="A38" s="79"/>
      <c r="B38" s="96" t="s">
        <v>164</v>
      </c>
    </row>
    <row r="42" spans="1:7">
      <c r="A42" s="76"/>
    </row>
    <row r="43" spans="1:7">
      <c r="A43" s="79"/>
      <c r="B43" s="80"/>
      <c r="C43" s="79"/>
    </row>
    <row r="44" spans="1:7">
      <c r="A44" s="92"/>
      <c r="B44" s="93"/>
      <c r="C44" s="92"/>
    </row>
  </sheetData>
  <pageMargins left="0.7" right="0.7" top="0.75" bottom="0.75" header="0.3" footer="0.3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 enableFormatConditionsCalculation="0"/>
  <dimension ref="A1:W79"/>
  <sheetViews>
    <sheetView workbookViewId="0">
      <selection activeCell="C11" sqref="C11"/>
    </sheetView>
  </sheetViews>
  <sheetFormatPr baseColWidth="10" defaultRowHeight="13" x14ac:dyDescent="0"/>
  <cols>
    <col min="1" max="1" width="24.28515625" customWidth="1"/>
    <col min="2" max="2" width="11.28515625" customWidth="1"/>
    <col min="3" max="3" width="7.42578125" customWidth="1"/>
    <col min="4" max="4" width="30.42578125" bestFit="1" customWidth="1"/>
    <col min="5" max="5" width="22.28515625" customWidth="1"/>
    <col min="6" max="6" width="21" customWidth="1"/>
    <col min="7" max="7" width="13.7109375" customWidth="1"/>
    <col min="11" max="11" width="21.42578125" customWidth="1"/>
    <col min="12" max="12" width="12.140625" customWidth="1"/>
    <col min="13" max="13" width="6.5703125" customWidth="1"/>
    <col min="14" max="14" width="0.42578125" customWidth="1"/>
    <col min="15" max="15" width="22.140625" customWidth="1"/>
    <col min="16" max="16" width="13.28515625" customWidth="1"/>
    <col min="17" max="17" width="6.28515625" customWidth="1"/>
    <col min="19" max="19" width="14.5703125" customWidth="1"/>
    <col min="21" max="21" width="5.28515625" customWidth="1"/>
  </cols>
  <sheetData>
    <row r="1" spans="1:9">
      <c r="A1" s="76" t="s">
        <v>55</v>
      </c>
      <c r="B1" s="78"/>
      <c r="I1" s="94"/>
    </row>
    <row r="2" spans="1:9">
      <c r="A2" t="s">
        <v>142</v>
      </c>
      <c r="B2" s="78"/>
      <c r="E2" t="s">
        <v>99</v>
      </c>
      <c r="I2" s="94"/>
    </row>
    <row r="3" spans="1:9">
      <c r="A3" s="94"/>
      <c r="B3" s="95"/>
      <c r="C3" s="94"/>
      <c r="D3" s="94"/>
      <c r="E3" s="94"/>
      <c r="F3" s="94"/>
      <c r="G3" s="94"/>
      <c r="H3" s="94"/>
      <c r="I3" s="94"/>
    </row>
    <row r="4" spans="1:9">
      <c r="A4" s="94"/>
      <c r="B4" s="95"/>
      <c r="C4" s="94"/>
      <c r="D4" s="94"/>
      <c r="E4" s="94"/>
      <c r="F4" s="94"/>
      <c r="G4" s="94"/>
      <c r="H4" s="94"/>
      <c r="I4" s="94"/>
    </row>
    <row r="5" spans="1:9">
      <c r="A5" s="79" t="s">
        <v>123</v>
      </c>
      <c r="B5" s="80">
        <v>10</v>
      </c>
      <c r="C5" s="79" t="s">
        <v>125</v>
      </c>
      <c r="D5" t="s">
        <v>124</v>
      </c>
      <c r="I5" s="94"/>
    </row>
    <row r="6" spans="1:9">
      <c r="A6" t="s">
        <v>62</v>
      </c>
      <c r="B6" s="78">
        <v>100</v>
      </c>
      <c r="C6" t="s">
        <v>64</v>
      </c>
      <c r="D6" t="s">
        <v>65</v>
      </c>
      <c r="E6" t="s">
        <v>127</v>
      </c>
      <c r="F6" s="129"/>
      <c r="G6" s="129"/>
      <c r="H6" s="129"/>
      <c r="I6" s="94"/>
    </row>
    <row r="7" spans="1:9">
      <c r="A7" t="s">
        <v>66</v>
      </c>
      <c r="B7" s="78">
        <v>2351</v>
      </c>
      <c r="C7" t="s">
        <v>67</v>
      </c>
      <c r="I7" s="94"/>
    </row>
    <row r="8" spans="1:9">
      <c r="A8" t="s">
        <v>72</v>
      </c>
      <c r="B8" s="78">
        <v>0.95</v>
      </c>
      <c r="C8" t="s">
        <v>64</v>
      </c>
      <c r="E8" t="s">
        <v>149</v>
      </c>
      <c r="I8" s="94"/>
    </row>
    <row r="9" spans="1:9">
      <c r="A9" t="s">
        <v>71</v>
      </c>
      <c r="B9" s="78">
        <f>57.342*101300</f>
        <v>5808744.5999999996</v>
      </c>
      <c r="C9" t="s">
        <v>71</v>
      </c>
      <c r="D9" t="s">
        <v>126</v>
      </c>
      <c r="E9" t="s">
        <v>150</v>
      </c>
      <c r="I9" s="94"/>
    </row>
    <row r="10" spans="1:9">
      <c r="A10" t="s">
        <v>70</v>
      </c>
      <c r="B10" s="78">
        <f>100*101300</f>
        <v>10130000</v>
      </c>
      <c r="C10" t="s">
        <v>71</v>
      </c>
      <c r="D10" t="s">
        <v>272</v>
      </c>
      <c r="I10" s="94"/>
    </row>
    <row r="11" spans="1:9">
      <c r="A11" t="s">
        <v>68</v>
      </c>
      <c r="B11" s="78">
        <f>B5*Etagement!A26/(Etagement!J8*Etagement!E12)</f>
        <v>37.325807451600795</v>
      </c>
      <c r="C11" t="s">
        <v>69</v>
      </c>
      <c r="D11" t="s">
        <v>75</v>
      </c>
      <c r="F11" t="s">
        <v>169</v>
      </c>
      <c r="I11" s="94"/>
    </row>
    <row r="12" spans="1:9">
      <c r="A12" s="92" t="s">
        <v>73</v>
      </c>
      <c r="B12" s="93">
        <f>Etagement!A29/B11</f>
        <v>277.00080353661036</v>
      </c>
      <c r="C12" s="92" t="s">
        <v>74</v>
      </c>
      <c r="D12" t="s">
        <v>151</v>
      </c>
      <c r="F12" t="s">
        <v>168</v>
      </c>
      <c r="I12" s="94"/>
    </row>
    <row r="13" spans="1:9">
      <c r="I13" s="94"/>
    </row>
    <row r="14" spans="1:9">
      <c r="A14" s="121"/>
      <c r="B14" s="124"/>
      <c r="C14" s="121"/>
      <c r="D14" s="121"/>
      <c r="E14" s="121"/>
      <c r="F14" s="121"/>
      <c r="G14" s="121"/>
      <c r="H14" s="121"/>
      <c r="I14" s="94"/>
    </row>
    <row r="15" spans="1:9">
      <c r="A15" s="92" t="s">
        <v>158</v>
      </c>
      <c r="B15" s="93">
        <v>0.18</v>
      </c>
      <c r="C15" s="92"/>
      <c r="D15" s="92" t="s">
        <v>274</v>
      </c>
      <c r="E15" s="121"/>
      <c r="F15" s="92"/>
      <c r="G15" s="92"/>
      <c r="H15" s="92"/>
      <c r="I15" s="94"/>
    </row>
    <row r="16" spans="1:9">
      <c r="A16" s="130" t="s">
        <v>154</v>
      </c>
      <c r="B16" s="93"/>
      <c r="C16" s="92" t="s">
        <v>64</v>
      </c>
      <c r="E16" s="121"/>
      <c r="F16" s="131" t="s">
        <v>153</v>
      </c>
      <c r="I16" s="94"/>
    </row>
    <row r="17" spans="1:9">
      <c r="A17" s="92" t="s">
        <v>157</v>
      </c>
      <c r="B17" s="93">
        <v>71</v>
      </c>
      <c r="C17" s="92" t="s">
        <v>81</v>
      </c>
      <c r="D17" t="s">
        <v>443</v>
      </c>
      <c r="E17" s="121"/>
      <c r="F17" s="92" t="s">
        <v>156</v>
      </c>
      <c r="G17" s="93">
        <v>1141</v>
      </c>
      <c r="H17" s="92" t="s">
        <v>81</v>
      </c>
      <c r="I17" s="94"/>
    </row>
    <row r="18" spans="1:9">
      <c r="A18" t="s">
        <v>159</v>
      </c>
      <c r="B18" s="78">
        <f>B20/B17</f>
        <v>22.213776058896151</v>
      </c>
      <c r="C18" t="s">
        <v>83</v>
      </c>
      <c r="E18" s="121"/>
      <c r="F18" t="s">
        <v>159</v>
      </c>
      <c r="G18" s="78">
        <f>G20/G17</f>
        <v>7.6793168769190112</v>
      </c>
      <c r="H18" t="s">
        <v>83</v>
      </c>
      <c r="I18" s="94"/>
    </row>
    <row r="19" spans="1:9">
      <c r="A19" t="s">
        <v>599</v>
      </c>
      <c r="B19" s="78">
        <f>B20*1.03</f>
        <v>1624.4934431870754</v>
      </c>
      <c r="C19" t="s">
        <v>76</v>
      </c>
      <c r="E19" s="121"/>
      <c r="F19" t="s">
        <v>599</v>
      </c>
      <c r="G19" s="78">
        <f>G20*1.03</f>
        <v>9024.9635732615297</v>
      </c>
      <c r="H19" t="s">
        <v>76</v>
      </c>
      <c r="I19" s="142"/>
    </row>
    <row r="20" spans="1:9">
      <c r="A20" t="s">
        <v>155</v>
      </c>
      <c r="B20" s="78">
        <f>Etagement!A29/(1+1/B15)</f>
        <v>1577.1781001816266</v>
      </c>
      <c r="C20" t="s">
        <v>76</v>
      </c>
      <c r="E20" s="121"/>
      <c r="F20" t="s">
        <v>155</v>
      </c>
      <c r="G20" s="78">
        <f>Etagement!A29-B20</f>
        <v>8762.1005565645919</v>
      </c>
      <c r="H20" t="s">
        <v>76</v>
      </c>
      <c r="I20" s="94"/>
    </row>
    <row r="21" spans="1:9">
      <c r="A21" t="s">
        <v>161</v>
      </c>
      <c r="B21">
        <v>0</v>
      </c>
      <c r="C21" t="s">
        <v>83</v>
      </c>
      <c r="D21" t="s">
        <v>162</v>
      </c>
      <c r="E21" s="121"/>
      <c r="F21" t="s">
        <v>161</v>
      </c>
      <c r="G21">
        <v>0</v>
      </c>
      <c r="H21" t="s">
        <v>83</v>
      </c>
      <c r="I21" s="94"/>
    </row>
    <row r="22" spans="1:9">
      <c r="A22" s="126" t="s">
        <v>160</v>
      </c>
      <c r="B22" s="126">
        <f>Etagement!A29*1.03*1.05/((1+1/B15)*B17)+B21</f>
        <v>24.024198807696187</v>
      </c>
      <c r="C22" s="126" t="s">
        <v>83</v>
      </c>
      <c r="E22" s="121"/>
      <c r="F22" s="126" t="s">
        <v>163</v>
      </c>
      <c r="G22" s="126">
        <f>1/B15*Etagement!A29*1.03*1.05/((1+1/B15)*G17)+G21</f>
        <v>8.3051812023879101</v>
      </c>
      <c r="H22" s="126" t="s">
        <v>83</v>
      </c>
      <c r="I22" s="94"/>
    </row>
    <row r="23" spans="1:9">
      <c r="A23" s="126" t="s">
        <v>600</v>
      </c>
      <c r="B23" s="126">
        <f>(5.5)/(1+5.5)*B11</f>
        <v>31.583375535969903</v>
      </c>
      <c r="C23" s="126"/>
      <c r="E23" s="121"/>
      <c r="F23" s="126"/>
      <c r="G23" s="126"/>
      <c r="H23" s="126"/>
      <c r="I23" s="142"/>
    </row>
    <row r="24" spans="1:9">
      <c r="A24" t="s">
        <v>601</v>
      </c>
      <c r="B24">
        <f>SQRT(4*B11/(B17*25*PI()))</f>
        <v>0.16362907914462357</v>
      </c>
      <c r="D24" t="s">
        <v>172</v>
      </c>
      <c r="E24" s="121"/>
      <c r="I24" s="94"/>
    </row>
    <row r="25" spans="1:9">
      <c r="A25" t="s">
        <v>84</v>
      </c>
      <c r="B25">
        <f>(B22+G22)/(PI()*B38^2/4)</f>
        <v>2.4368222474179961</v>
      </c>
      <c r="E25" s="121"/>
      <c r="I25" s="94"/>
    </row>
    <row r="26" spans="1:9" ht="13.5" customHeight="1">
      <c r="A26" s="121"/>
      <c r="B26" s="121"/>
      <c r="C26" s="121"/>
      <c r="D26" s="121"/>
      <c r="E26" s="121"/>
      <c r="F26" s="121"/>
      <c r="G26" s="121"/>
      <c r="H26" s="121"/>
      <c r="I26" s="94"/>
    </row>
    <row r="27" spans="1:9" ht="13.5" customHeight="1">
      <c r="A27" s="81" t="s">
        <v>129</v>
      </c>
      <c r="B27" s="82">
        <f>B11/B10*B8*B7</f>
        <v>8.2295483368981046E-3</v>
      </c>
      <c r="C27" s="83" t="s">
        <v>112</v>
      </c>
      <c r="D27" s="83"/>
      <c r="E27" s="84"/>
      <c r="F27" t="s">
        <v>147</v>
      </c>
      <c r="I27" s="94"/>
    </row>
    <row r="28" spans="1:9" ht="13.5" customHeight="1">
      <c r="A28" s="85" t="s">
        <v>152</v>
      </c>
      <c r="B28" s="86">
        <f>B6*B27</f>
        <v>0.82295483368981048</v>
      </c>
      <c r="C28" s="39" t="s">
        <v>112</v>
      </c>
      <c r="D28" s="39"/>
      <c r="E28" s="87"/>
      <c r="I28" s="94"/>
    </row>
    <row r="29" spans="1:9">
      <c r="A29" s="85" t="s">
        <v>130</v>
      </c>
      <c r="B29" s="86">
        <f>2*SQRT(B27/(PI()))</f>
        <v>0.10236301274312005</v>
      </c>
      <c r="C29" s="39" t="s">
        <v>85</v>
      </c>
      <c r="D29" s="39"/>
      <c r="E29" s="87"/>
      <c r="I29" s="94"/>
    </row>
    <row r="30" spans="1:9">
      <c r="A30" s="85" t="s">
        <v>110</v>
      </c>
      <c r="B30" s="86">
        <f>2*SQRT(B28/PI())</f>
        <v>1.0236301274312005</v>
      </c>
      <c r="C30" s="39" t="s">
        <v>85</v>
      </c>
      <c r="D30" s="39"/>
      <c r="E30" s="87"/>
      <c r="I30" s="94"/>
    </row>
    <row r="31" spans="1:9">
      <c r="A31" s="98" t="s">
        <v>131</v>
      </c>
      <c r="B31" s="99">
        <v>0.89</v>
      </c>
      <c r="C31" s="100" t="s">
        <v>85</v>
      </c>
      <c r="D31" s="39" t="s">
        <v>133</v>
      </c>
      <c r="E31" s="87" t="s">
        <v>134</v>
      </c>
      <c r="I31" s="94"/>
    </row>
    <row r="32" spans="1:9">
      <c r="A32" s="85" t="s">
        <v>97</v>
      </c>
      <c r="B32" s="86">
        <v>28</v>
      </c>
      <c r="C32" s="39" t="s">
        <v>98</v>
      </c>
      <c r="D32" s="39" t="s">
        <v>135</v>
      </c>
      <c r="E32" s="87" t="s">
        <v>136</v>
      </c>
      <c r="F32" s="73" t="s">
        <v>137</v>
      </c>
      <c r="I32" s="94"/>
    </row>
    <row r="33" spans="1:9">
      <c r="A33" s="85" t="s">
        <v>114</v>
      </c>
      <c r="B33" s="86">
        <f>(B30/2-B29/2)/TAN(B32*PI()/180)</f>
        <v>0.86632572212356362</v>
      </c>
      <c r="C33" s="73" t="s">
        <v>85</v>
      </c>
      <c r="D33" s="39"/>
      <c r="E33" s="87"/>
      <c r="F33" s="73"/>
      <c r="I33" s="94"/>
    </row>
    <row r="34" spans="1:9">
      <c r="A34" s="85" t="s">
        <v>308</v>
      </c>
      <c r="B34" s="86">
        <f>SQRT(B35/(PI()))</f>
        <v>0.15472294308048853</v>
      </c>
      <c r="C34" s="73" t="s">
        <v>85</v>
      </c>
      <c r="D34" s="39"/>
      <c r="E34" s="87"/>
      <c r="F34" s="73"/>
      <c r="I34" s="94"/>
    </row>
    <row r="35" spans="1:9">
      <c r="A35" s="85" t="s">
        <v>146</v>
      </c>
      <c r="B35" s="86">
        <f>B27*(8*B30^(-0.6)+1.25)</f>
        <v>7.5207180658114145E-2</v>
      </c>
      <c r="C35" s="73" t="s">
        <v>112</v>
      </c>
      <c r="D35" s="39"/>
      <c r="E35" s="87" t="s">
        <v>134</v>
      </c>
      <c r="F35" s="73"/>
      <c r="I35" s="94"/>
    </row>
    <row r="36" spans="1:9">
      <c r="A36" s="88" t="s">
        <v>132</v>
      </c>
      <c r="B36" s="89">
        <f>B31*B27/B35</f>
        <v>9.7388280690044599E-2</v>
      </c>
      <c r="C36" s="90" t="s">
        <v>85</v>
      </c>
      <c r="D36" s="90" t="s">
        <v>141</v>
      </c>
      <c r="E36" s="91" t="s">
        <v>134</v>
      </c>
      <c r="I36" s="94"/>
    </row>
    <row r="37" spans="1:9">
      <c r="A37" s="121"/>
      <c r="B37" s="121"/>
      <c r="C37" s="121"/>
      <c r="D37" s="121"/>
      <c r="E37" s="121"/>
      <c r="F37" s="121"/>
      <c r="G37" s="121"/>
      <c r="H37" s="121"/>
      <c r="I37" s="94"/>
    </row>
    <row r="38" spans="1:9">
      <c r="A38" s="92" t="s">
        <v>86</v>
      </c>
      <c r="B38" s="93">
        <f>Géométrie!B73</f>
        <v>4.1100000000000003</v>
      </c>
      <c r="C38" s="92" t="s">
        <v>85</v>
      </c>
      <c r="D38" s="73" t="s">
        <v>171</v>
      </c>
      <c r="I38" s="94"/>
    </row>
    <row r="39" spans="1:9">
      <c r="A39" s="121"/>
      <c r="B39" s="124"/>
      <c r="C39" s="121"/>
      <c r="D39" s="121"/>
      <c r="E39" s="121"/>
      <c r="F39" s="121"/>
      <c r="G39" s="121"/>
      <c r="H39" s="121"/>
      <c r="I39" s="94"/>
    </row>
    <row r="40" spans="1:9">
      <c r="A40" t="s">
        <v>442</v>
      </c>
      <c r="I40" s="94"/>
    </row>
    <row r="41" spans="1:9">
      <c r="A41" t="s">
        <v>138</v>
      </c>
      <c r="D41" t="s">
        <v>139</v>
      </c>
      <c r="E41" t="s">
        <v>140</v>
      </c>
      <c r="I41" s="94"/>
    </row>
    <row r="42" spans="1:9">
      <c r="A42" t="s">
        <v>427</v>
      </c>
      <c r="B42">
        <f>3*101300</f>
        <v>303900</v>
      </c>
      <c r="C42" t="s">
        <v>71</v>
      </c>
      <c r="E42" t="s">
        <v>140</v>
      </c>
      <c r="I42" s="94"/>
    </row>
    <row r="43" spans="1:9">
      <c r="A43" t="s">
        <v>428</v>
      </c>
      <c r="B43">
        <f>4*101300</f>
        <v>405200</v>
      </c>
      <c r="C43" t="s">
        <v>71</v>
      </c>
      <c r="E43" t="s">
        <v>140</v>
      </c>
      <c r="I43" s="94"/>
    </row>
    <row r="44" spans="1:9">
      <c r="A44" t="s">
        <v>143</v>
      </c>
      <c r="B44">
        <v>1.4</v>
      </c>
      <c r="D44" t="s">
        <v>144</v>
      </c>
      <c r="E44" t="s">
        <v>145</v>
      </c>
      <c r="I44" s="94"/>
    </row>
    <row r="45" spans="1:9">
      <c r="A45" t="s">
        <v>429</v>
      </c>
      <c r="B45">
        <v>300</v>
      </c>
      <c r="C45" t="s">
        <v>430</v>
      </c>
      <c r="I45" s="94"/>
    </row>
    <row r="46" spans="1:9">
      <c r="A46" t="s">
        <v>431</v>
      </c>
      <c r="B46">
        <v>300</v>
      </c>
      <c r="C46" t="s">
        <v>430</v>
      </c>
      <c r="D46" t="s">
        <v>434</v>
      </c>
      <c r="E46">
        <f>(B45+B47)/2</f>
        <v>152.19999999999999</v>
      </c>
      <c r="F46" t="s">
        <v>430</v>
      </c>
      <c r="I46" s="94"/>
    </row>
    <row r="47" spans="1:9">
      <c r="A47" t="s">
        <v>432</v>
      </c>
      <c r="B47">
        <v>4.4000000000000004</v>
      </c>
      <c r="C47" t="s">
        <v>430</v>
      </c>
      <c r="D47" t="s">
        <v>435</v>
      </c>
      <c r="E47">
        <f>(B46+B48)/2</f>
        <v>195</v>
      </c>
      <c r="F47" t="s">
        <v>430</v>
      </c>
      <c r="I47" s="94"/>
    </row>
    <row r="48" spans="1:9" ht="15">
      <c r="A48" t="s">
        <v>433</v>
      </c>
      <c r="B48">
        <v>90</v>
      </c>
      <c r="C48" t="s">
        <v>430</v>
      </c>
      <c r="D48" t="s">
        <v>247</v>
      </c>
      <c r="E48">
        <v>8.32</v>
      </c>
      <c r="F48" t="s">
        <v>452</v>
      </c>
      <c r="I48" s="94"/>
    </row>
    <row r="49" spans="1:9">
      <c r="A49" t="s">
        <v>544</v>
      </c>
      <c r="B49">
        <v>300</v>
      </c>
      <c r="C49" t="s">
        <v>430</v>
      </c>
      <c r="I49" s="94"/>
    </row>
    <row r="50" spans="1:9">
      <c r="A50" t="s">
        <v>545</v>
      </c>
      <c r="B50">
        <f>400*101300</f>
        <v>40520000</v>
      </c>
      <c r="C50" t="s">
        <v>71</v>
      </c>
      <c r="I50" s="94"/>
    </row>
    <row r="51" spans="1:9">
      <c r="F51" s="94"/>
      <c r="G51" s="94"/>
      <c r="H51" s="94"/>
      <c r="I51" s="94"/>
    </row>
    <row r="52" spans="1:9">
      <c r="A52" t="s">
        <v>436</v>
      </c>
      <c r="B52">
        <f>'Bilan Masse'!B40</f>
        <v>467.62895373045455</v>
      </c>
      <c r="C52" t="s">
        <v>76</v>
      </c>
      <c r="D52" t="s">
        <v>449</v>
      </c>
    </row>
    <row r="53" spans="1:9">
      <c r="A53" t="s">
        <v>438</v>
      </c>
      <c r="B53">
        <f>B52/'Bilan Masse'!B36/10^3*E48*B49/B50</f>
        <v>1.1990233047161658E-6</v>
      </c>
      <c r="C53" t="s">
        <v>275</v>
      </c>
    </row>
    <row r="55" spans="1:9">
      <c r="A55" t="s">
        <v>437</v>
      </c>
      <c r="B55">
        <f>'Bilan Masse'!F40</f>
        <v>0</v>
      </c>
      <c r="C55" t="s">
        <v>59</v>
      </c>
    </row>
    <row r="56" spans="1:9">
      <c r="A56" t="s">
        <v>439</v>
      </c>
      <c r="B56">
        <f>B43*G22*B49/E47/B50</f>
        <v>0.12777201849827555</v>
      </c>
      <c r="C56" t="s">
        <v>275</v>
      </c>
    </row>
    <row r="58" spans="1:9">
      <c r="A58" s="126" t="s">
        <v>440</v>
      </c>
      <c r="B58" s="126">
        <f>B56</f>
        <v>0.12777201849827555</v>
      </c>
      <c r="C58" s="126" t="s">
        <v>275</v>
      </c>
    </row>
    <row r="59" spans="1:9">
      <c r="A59" s="126" t="s">
        <v>441</v>
      </c>
      <c r="B59" s="126">
        <f>B55</f>
        <v>0</v>
      </c>
      <c r="C59" s="126" t="s">
        <v>76</v>
      </c>
    </row>
    <row r="60" spans="1:9">
      <c r="A60" s="121"/>
      <c r="B60" s="121"/>
      <c r="C60" s="121"/>
      <c r="D60" s="121"/>
      <c r="E60" s="121"/>
      <c r="F60" s="121"/>
      <c r="G60" s="121"/>
      <c r="H60" s="121"/>
      <c r="I60" s="121"/>
    </row>
    <row r="61" spans="1:9">
      <c r="A61" t="s">
        <v>231</v>
      </c>
      <c r="B61">
        <f>(B25+Géométrie!B2)/B38</f>
        <v>2.6725083327051089</v>
      </c>
    </row>
    <row r="63" spans="1:9">
      <c r="A63" s="79"/>
      <c r="B63" s="96" t="s">
        <v>164</v>
      </c>
    </row>
    <row r="67" spans="11:23" ht="14" thickBot="1"/>
    <row r="68" spans="11:23" ht="14">
      <c r="K68" s="11" t="s">
        <v>154</v>
      </c>
      <c r="L68" s="239"/>
      <c r="M68" s="240"/>
      <c r="N68" s="238"/>
      <c r="O68" s="11" t="s">
        <v>153</v>
      </c>
      <c r="P68" s="239"/>
      <c r="Q68" s="240"/>
    </row>
    <row r="69" spans="11:23" ht="15" thickBot="1">
      <c r="K69" s="241" t="s">
        <v>157</v>
      </c>
      <c r="L69" s="242">
        <v>71</v>
      </c>
      <c r="M69" s="243" t="s">
        <v>522</v>
      </c>
      <c r="N69" s="238"/>
      <c r="O69" s="241" t="s">
        <v>156</v>
      </c>
      <c r="P69" s="244">
        <v>1141</v>
      </c>
      <c r="Q69" s="243" t="s">
        <v>522</v>
      </c>
    </row>
    <row r="70" spans="11:23">
      <c r="K70" s="41" t="s">
        <v>159</v>
      </c>
      <c r="L70" s="232">
        <f>B18</f>
        <v>22.213776058896151</v>
      </c>
      <c r="M70" s="233" t="s">
        <v>275</v>
      </c>
      <c r="N70" s="39"/>
      <c r="O70" s="41" t="s">
        <v>159</v>
      </c>
      <c r="P70" s="232">
        <f>G18</f>
        <v>7.6793168769190112</v>
      </c>
      <c r="Q70" s="233" t="s">
        <v>275</v>
      </c>
      <c r="S70" s="11" t="s">
        <v>674</v>
      </c>
      <c r="T70" s="12"/>
      <c r="U70" s="174"/>
      <c r="V70" s="174"/>
      <c r="W70" s="175"/>
    </row>
    <row r="71" spans="11:23">
      <c r="K71" s="41" t="s">
        <v>155</v>
      </c>
      <c r="L71" s="232">
        <f>B20</f>
        <v>1577.1781001816266</v>
      </c>
      <c r="M71" s="233" t="s">
        <v>76</v>
      </c>
      <c r="N71" s="39"/>
      <c r="O71" s="41" t="s">
        <v>155</v>
      </c>
      <c r="P71" s="232">
        <f>G20</f>
        <v>8762.1005565645919</v>
      </c>
      <c r="Q71" s="233" t="s">
        <v>76</v>
      </c>
      <c r="S71" s="41" t="s">
        <v>670</v>
      </c>
      <c r="T71" s="39">
        <f>'Bilan Masse'!F35</f>
        <v>0</v>
      </c>
      <c r="U71" s="39" t="s">
        <v>275</v>
      </c>
      <c r="V71" s="39" t="s">
        <v>673</v>
      </c>
      <c r="W71" s="233"/>
    </row>
    <row r="72" spans="11:23" ht="14" thickBot="1">
      <c r="K72" s="41" t="s">
        <v>668</v>
      </c>
      <c r="L72" s="232">
        <f>B19</f>
        <v>1624.4934431870754</v>
      </c>
      <c r="M72" s="233" t="s">
        <v>76</v>
      </c>
      <c r="N72" s="39"/>
      <c r="O72" s="41" t="s">
        <v>668</v>
      </c>
      <c r="P72" s="232">
        <f>G19</f>
        <v>9024.9635732615297</v>
      </c>
      <c r="Q72" s="233" t="s">
        <v>76</v>
      </c>
      <c r="S72" s="234" t="s">
        <v>671</v>
      </c>
      <c r="T72" s="15">
        <f>'Bilan Masse'!B46</f>
        <v>4</v>
      </c>
      <c r="U72" s="15" t="s">
        <v>275</v>
      </c>
      <c r="V72" s="15" t="s">
        <v>672</v>
      </c>
      <c r="W72" s="236"/>
    </row>
    <row r="73" spans="11:23" ht="14" thickBot="1">
      <c r="K73" s="234" t="s">
        <v>669</v>
      </c>
      <c r="L73" s="235">
        <f>B22</f>
        <v>24.024198807696187</v>
      </c>
      <c r="M73" s="236" t="s">
        <v>275</v>
      </c>
      <c r="N73" s="39"/>
      <c r="O73" s="234" t="s">
        <v>669</v>
      </c>
      <c r="P73" s="235">
        <f>G22</f>
        <v>8.3051812023879101</v>
      </c>
      <c r="Q73" s="236" t="s">
        <v>275</v>
      </c>
    </row>
    <row r="74" spans="11:23" ht="14" thickBot="1"/>
    <row r="75" spans="11:23">
      <c r="K75" s="237" t="s">
        <v>129</v>
      </c>
      <c r="L75" s="231">
        <f>B27</f>
        <v>8.2295483368981046E-3</v>
      </c>
      <c r="M75" s="175" t="s">
        <v>112</v>
      </c>
    </row>
    <row r="76" spans="11:23">
      <c r="K76" s="41" t="s">
        <v>152</v>
      </c>
      <c r="L76" s="232">
        <f>B28</f>
        <v>0.82295483368981048</v>
      </c>
      <c r="M76" s="233" t="s">
        <v>112</v>
      </c>
    </row>
    <row r="77" spans="11:23">
      <c r="K77" s="41" t="s">
        <v>114</v>
      </c>
      <c r="L77" s="232">
        <f>B33</f>
        <v>0.86632572212356362</v>
      </c>
      <c r="M77" s="233" t="s">
        <v>85</v>
      </c>
    </row>
    <row r="78" spans="11:23">
      <c r="K78" s="41" t="s">
        <v>308</v>
      </c>
      <c r="L78" s="232">
        <f>B34</f>
        <v>0.15472294308048853</v>
      </c>
      <c r="M78" s="233" t="s">
        <v>85</v>
      </c>
    </row>
    <row r="79" spans="11:23" ht="14" thickBot="1">
      <c r="K79" s="234" t="s">
        <v>132</v>
      </c>
      <c r="L79" s="235">
        <f>B36</f>
        <v>9.7388280690044599E-2</v>
      </c>
      <c r="M79" s="236" t="s">
        <v>85</v>
      </c>
    </row>
  </sheetData>
  <pageMargins left="0.7" right="0.7" top="0.75" bottom="0.75" header="0.3" footer="0.3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 enableFormatConditionsCalculation="0"/>
  <dimension ref="A1:C6"/>
  <sheetViews>
    <sheetView workbookViewId="0">
      <selection activeCell="C12" sqref="C12"/>
    </sheetView>
  </sheetViews>
  <sheetFormatPr baseColWidth="10" defaultRowHeight="13" x14ac:dyDescent="0"/>
  <cols>
    <col min="1" max="1" width="16.85546875" customWidth="1"/>
  </cols>
  <sheetData>
    <row r="1" spans="1:3">
      <c r="A1" s="76" t="s">
        <v>215</v>
      </c>
    </row>
    <row r="2" spans="1:3">
      <c r="B2" s="102" t="s">
        <v>220</v>
      </c>
      <c r="C2" s="102" t="s">
        <v>219</v>
      </c>
    </row>
    <row r="3" spans="1:3">
      <c r="A3" t="s">
        <v>216</v>
      </c>
      <c r="B3">
        <v>3.15</v>
      </c>
      <c r="C3">
        <f>2.167</f>
        <v>2.1669999999999998</v>
      </c>
    </row>
    <row r="4" spans="1:3">
      <c r="A4" t="s">
        <v>217</v>
      </c>
      <c r="B4">
        <v>4.0999999999999996</v>
      </c>
      <c r="C4">
        <f>MAX(3.05,2.3)</f>
        <v>3.05</v>
      </c>
    </row>
    <row r="5" spans="1:3">
      <c r="A5" t="s">
        <v>218</v>
      </c>
      <c r="B5">
        <v>3.94</v>
      </c>
      <c r="C5">
        <f>MAX(3.29,2.3)</f>
        <v>3.29</v>
      </c>
    </row>
    <row r="6" spans="1:3">
      <c r="A6" s="103" t="s">
        <v>221</v>
      </c>
      <c r="B6" s="104">
        <f>MAX(B3:B5)</f>
        <v>4.0999999999999996</v>
      </c>
      <c r="C6" s="105">
        <f>MAX(C3:C5)</f>
        <v>3.29</v>
      </c>
    </row>
  </sheetData>
  <pageMargins left="0.78740157499999996" right="0.78740157499999996" top="0.984251969" bottom="0.984251969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 enableFormatConditionsCalculation="0"/>
  <dimension ref="A1:R135"/>
  <sheetViews>
    <sheetView topLeftCell="A106" workbookViewId="0">
      <selection activeCell="B128" sqref="B128"/>
    </sheetView>
  </sheetViews>
  <sheetFormatPr baseColWidth="10" defaultRowHeight="13" x14ac:dyDescent="0"/>
  <cols>
    <col min="1" max="1" width="37.28515625" customWidth="1"/>
    <col min="4" max="4" width="11.28515625" customWidth="1"/>
    <col min="5" max="5" width="21.7109375" customWidth="1"/>
    <col min="6" max="6" width="17.140625" customWidth="1"/>
    <col min="9" max="9" width="15.85546875" customWidth="1"/>
    <col min="12" max="12" width="14.5703125" customWidth="1"/>
    <col min="16" max="16" width="16.42578125" customWidth="1"/>
    <col min="17" max="17" width="7.85546875" customWidth="1"/>
  </cols>
  <sheetData>
    <row r="1" spans="1:7">
      <c r="A1" s="76" t="s">
        <v>267</v>
      </c>
      <c r="E1" s="107" t="s">
        <v>222</v>
      </c>
      <c r="F1" s="83">
        <f>B3/2</f>
        <v>2.0562499999999999</v>
      </c>
      <c r="G1" s="84" t="s">
        <v>85</v>
      </c>
    </row>
    <row r="2" spans="1:7">
      <c r="A2" s="126" t="s">
        <v>84</v>
      </c>
      <c r="B2" s="126">
        <f>F13+F14</f>
        <v>8.547187000000001</v>
      </c>
      <c r="C2" s="126" t="s">
        <v>85</v>
      </c>
      <c r="E2" s="108" t="s">
        <v>205</v>
      </c>
      <c r="F2" s="39">
        <f>B4</f>
        <v>14.9</v>
      </c>
      <c r="G2" s="87" t="s">
        <v>98</v>
      </c>
    </row>
    <row r="3" spans="1:7">
      <c r="A3" s="126" t="s">
        <v>86</v>
      </c>
      <c r="B3" s="126">
        <f>B6/0.8</f>
        <v>4.1124999999999998</v>
      </c>
      <c r="C3" s="126" t="s">
        <v>85</v>
      </c>
      <c r="E3" s="108" t="s">
        <v>223</v>
      </c>
      <c r="F3" s="39">
        <f>F8-F9</f>
        <v>3.4786229010685945</v>
      </c>
      <c r="G3" s="87" t="s">
        <v>85</v>
      </c>
    </row>
    <row r="4" spans="1:7">
      <c r="A4" t="s">
        <v>180</v>
      </c>
      <c r="B4">
        <v>14.9</v>
      </c>
      <c r="C4" t="s">
        <v>98</v>
      </c>
      <c r="E4" s="108" t="s">
        <v>224</v>
      </c>
      <c r="F4" s="39">
        <f>F9+F10</f>
        <v>4.5501780836491932</v>
      </c>
      <c r="G4" s="87" t="s">
        <v>85</v>
      </c>
    </row>
    <row r="5" spans="1:7">
      <c r="A5" t="s">
        <v>177</v>
      </c>
      <c r="B5">
        <v>1.17</v>
      </c>
      <c r="C5" t="s">
        <v>85</v>
      </c>
      <c r="E5" s="108" t="s">
        <v>225</v>
      </c>
      <c r="F5" s="39">
        <f>TAN(B4*PI()/180)</f>
        <v>0.26607942669201468</v>
      </c>
      <c r="G5" s="87" t="s">
        <v>64</v>
      </c>
    </row>
    <row r="6" spans="1:7">
      <c r="A6" t="s">
        <v>178</v>
      </c>
      <c r="B6">
        <f>Satellites!C6</f>
        <v>3.29</v>
      </c>
      <c r="C6" t="s">
        <v>85</v>
      </c>
      <c r="E6" s="108" t="s">
        <v>191</v>
      </c>
      <c r="F6" s="39">
        <f>B5/SQRT(1+F5^2)</f>
        <v>1.1306600128059554</v>
      </c>
      <c r="G6" s="87" t="s">
        <v>85</v>
      </c>
    </row>
    <row r="7" spans="1:7">
      <c r="A7" t="s">
        <v>179</v>
      </c>
      <c r="B7">
        <f>Satellites!B6</f>
        <v>4.0999999999999996</v>
      </c>
      <c r="C7" t="s">
        <v>85</v>
      </c>
      <c r="E7" s="108" t="s">
        <v>226</v>
      </c>
      <c r="F7" s="39">
        <f>SQRT(F4^2-B5^2)</f>
        <v>4.3971832566907469</v>
      </c>
      <c r="G7" s="87" t="s">
        <v>85</v>
      </c>
    </row>
    <row r="8" spans="1:7">
      <c r="A8" t="s">
        <v>258</v>
      </c>
      <c r="B8">
        <f>F6/B3</f>
        <v>0.27493252591026274</v>
      </c>
      <c r="C8" t="s">
        <v>64</v>
      </c>
      <c r="E8" s="108" t="s">
        <v>227</v>
      </c>
      <c r="F8" s="39">
        <f>F1/F5</f>
        <v>7.7279556167267938</v>
      </c>
      <c r="G8" s="87" t="s">
        <v>85</v>
      </c>
    </row>
    <row r="9" spans="1:7">
      <c r="A9" t="s">
        <v>257</v>
      </c>
      <c r="B9">
        <f>B2/B3</f>
        <v>2.078343343465046</v>
      </c>
      <c r="C9" t="s">
        <v>64</v>
      </c>
      <c r="E9" s="108" t="s">
        <v>228</v>
      </c>
      <c r="F9" s="39">
        <f>F6/F5</f>
        <v>4.2493327156581993</v>
      </c>
      <c r="G9" s="87" t="s">
        <v>85</v>
      </c>
    </row>
    <row r="10" spans="1:7">
      <c r="A10" t="s">
        <v>292</v>
      </c>
      <c r="B10">
        <f>SQRT(1-F6^2/B5^2)*PI()*B5^2*(F3^2/F6^2-2)+2*PI()*B5*(B5+F3)</f>
        <v>42.429113741943809</v>
      </c>
      <c r="C10" t="s">
        <v>112</v>
      </c>
      <c r="E10" s="108" t="s">
        <v>229</v>
      </c>
      <c r="F10" s="39">
        <f>SQRT(B5^2-F6^2)</f>
        <v>0.30084536799099382</v>
      </c>
      <c r="G10" s="87" t="s">
        <v>85</v>
      </c>
    </row>
    <row r="11" spans="1:7">
      <c r="E11" s="108"/>
      <c r="F11" s="39"/>
      <c r="G11" s="87"/>
    </row>
    <row r="12" spans="1:7">
      <c r="A12" s="122" t="s">
        <v>546</v>
      </c>
      <c r="B12" s="121"/>
      <c r="C12" s="121"/>
      <c r="E12" s="108" t="s">
        <v>547</v>
      </c>
      <c r="F12" s="39"/>
      <c r="G12" s="87"/>
    </row>
    <row r="13" spans="1:7">
      <c r="A13" s="121" t="s">
        <v>395</v>
      </c>
      <c r="B13" s="121">
        <v>0.3</v>
      </c>
      <c r="C13" s="121" t="s">
        <v>85</v>
      </c>
      <c r="E13" s="108" t="s">
        <v>548</v>
      </c>
      <c r="F13" s="39">
        <v>4.3477779999999999</v>
      </c>
      <c r="G13" s="87" t="s">
        <v>85</v>
      </c>
    </row>
    <row r="14" spans="1:7">
      <c r="E14" s="108" t="s">
        <v>121</v>
      </c>
      <c r="F14" s="39">
        <v>4.1994090000000002</v>
      </c>
      <c r="G14" s="87" t="s">
        <v>85</v>
      </c>
    </row>
    <row r="15" spans="1:7">
      <c r="A15" s="76" t="s">
        <v>420</v>
      </c>
      <c r="E15" s="108"/>
      <c r="F15" s="39"/>
      <c r="G15" s="87"/>
    </row>
    <row r="16" spans="1:7">
      <c r="A16" t="s">
        <v>395</v>
      </c>
      <c r="B16">
        <v>1</v>
      </c>
      <c r="C16" t="s">
        <v>85</v>
      </c>
      <c r="E16" s="108" t="s">
        <v>230</v>
      </c>
      <c r="F16" s="39">
        <f>F3-F10</f>
        <v>3.1777775330776006</v>
      </c>
      <c r="G16" s="87" t="s">
        <v>85</v>
      </c>
    </row>
    <row r="17" spans="1:15">
      <c r="E17" s="108"/>
      <c r="F17" s="39"/>
      <c r="G17" s="87"/>
    </row>
    <row r="18" spans="1:15">
      <c r="A18" t="s">
        <v>602</v>
      </c>
      <c r="B18">
        <f>(B16+F14+B72+B102+B128)/B3</f>
        <v>9.4242379802790186</v>
      </c>
      <c r="E18" s="108"/>
      <c r="F18" s="39"/>
      <c r="G18" s="87"/>
    </row>
    <row r="19" spans="1:15">
      <c r="A19" s="128"/>
      <c r="B19" s="128"/>
      <c r="C19" s="128"/>
      <c r="D19" s="128"/>
      <c r="E19" s="108" t="s">
        <v>263</v>
      </c>
      <c r="F19" s="39">
        <f>F16+B5</f>
        <v>4.3477775330776005</v>
      </c>
      <c r="G19" s="87" t="s">
        <v>85</v>
      </c>
    </row>
    <row r="20" spans="1:15">
      <c r="A20" s="76" t="s">
        <v>312</v>
      </c>
      <c r="E20" s="109" t="s">
        <v>121</v>
      </c>
      <c r="F20" s="90">
        <f>B7-(F1-B6/2)/F5</f>
        <v>2.5544088766546413</v>
      </c>
      <c r="G20" s="91" t="s">
        <v>85</v>
      </c>
    </row>
    <row r="21" spans="1:15">
      <c r="A21" s="102" t="s">
        <v>549</v>
      </c>
      <c r="O21" s="92"/>
    </row>
    <row r="22" spans="1:15">
      <c r="A22" t="s">
        <v>280</v>
      </c>
      <c r="B22" s="78">
        <f>'Moteur Etage 3'!B38/2</f>
        <v>2.0550000000000002</v>
      </c>
      <c r="C22" t="s">
        <v>85</v>
      </c>
      <c r="D22" s="121" t="s">
        <v>324</v>
      </c>
      <c r="E22" s="121"/>
      <c r="F22" s="122" t="s">
        <v>289</v>
      </c>
      <c r="G22" s="121"/>
      <c r="H22" s="121"/>
      <c r="I22" s="121"/>
      <c r="J22" s="121"/>
      <c r="K22" s="121"/>
      <c r="L22" s="122" t="s">
        <v>450</v>
      </c>
      <c r="M22" s="121"/>
      <c r="N22" s="121"/>
      <c r="O22" s="92"/>
    </row>
    <row r="23" spans="1:15">
      <c r="A23" t="s">
        <v>281</v>
      </c>
      <c r="B23">
        <f>B24/(PI()*B22^2)</f>
        <v>0.47947100598299075</v>
      </c>
      <c r="C23" t="s">
        <v>85</v>
      </c>
      <c r="F23" s="121" t="s">
        <v>287</v>
      </c>
      <c r="G23" s="121">
        <v>5</v>
      </c>
      <c r="H23" s="123" t="s">
        <v>64</v>
      </c>
      <c r="I23" s="121"/>
      <c r="J23" s="121"/>
      <c r="K23" s="121"/>
      <c r="L23" s="121" t="s">
        <v>451</v>
      </c>
      <c r="M23" s="121">
        <v>5</v>
      </c>
      <c r="N23" s="121" t="s">
        <v>64</v>
      </c>
      <c r="O23" s="92"/>
    </row>
    <row r="24" spans="1:15">
      <c r="A24" t="s">
        <v>282</v>
      </c>
      <c r="B24">
        <f>'Moteur Etage 3'!B22-2*B27</f>
        <v>6.3611534951578577</v>
      </c>
      <c r="C24" t="s">
        <v>275</v>
      </c>
      <c r="F24" s="121" t="s">
        <v>288</v>
      </c>
      <c r="G24" s="121">
        <f>('Moteur Etage 3'!B22/G23*3/(PI()*4))^(1/3)</f>
        <v>1.0467993231632668</v>
      </c>
      <c r="H24" s="123" t="s">
        <v>85</v>
      </c>
      <c r="I24" s="121"/>
      <c r="J24" s="121"/>
      <c r="K24" s="121"/>
      <c r="L24" s="121" t="s">
        <v>280</v>
      </c>
      <c r="M24" s="124">
        <f>B73/2</f>
        <v>2.0550000000000002</v>
      </c>
      <c r="N24" s="121" t="s">
        <v>85</v>
      </c>
      <c r="O24" s="92"/>
    </row>
    <row r="25" spans="1:15" ht="12.75" customHeight="1">
      <c r="A25" t="s">
        <v>283</v>
      </c>
      <c r="B25">
        <f xml:space="preserve"> 1.15*B22</f>
        <v>2.3632499999999999</v>
      </c>
      <c r="C25" t="s">
        <v>85</v>
      </c>
      <c r="F25" s="121"/>
      <c r="G25" s="121"/>
      <c r="H25" s="121"/>
      <c r="I25" s="121"/>
      <c r="J25" s="121"/>
      <c r="K25" s="121"/>
      <c r="L25" s="121" t="s">
        <v>281</v>
      </c>
      <c r="M25" s="121">
        <f>M26/(PI()*M24^2)</f>
        <v>-0.96918534592295946</v>
      </c>
      <c r="N25" s="121" t="s">
        <v>85</v>
      </c>
      <c r="O25" s="92"/>
    </row>
    <row r="26" spans="1:15" ht="12.75" customHeight="1">
      <c r="A26" t="s">
        <v>284</v>
      </c>
      <c r="B26" s="78">
        <f>B25-SQRT(B25^2-B22^2)</f>
        <v>1.1962343349380442</v>
      </c>
      <c r="C26" t="s">
        <v>85</v>
      </c>
      <c r="F26" s="122" t="s">
        <v>323</v>
      </c>
      <c r="G26" s="121"/>
      <c r="H26" s="121"/>
      <c r="I26" s="121"/>
      <c r="J26" s="121"/>
      <c r="K26" s="121"/>
      <c r="L26" s="121" t="s">
        <v>282</v>
      </c>
      <c r="M26" s="121">
        <f>'Moteur Etage 3'!B22/M23-2*M29</f>
        <v>-12.858205550999092</v>
      </c>
      <c r="N26" s="121" t="s">
        <v>275</v>
      </c>
      <c r="O26" s="92"/>
    </row>
    <row r="27" spans="1:15">
      <c r="A27" t="s">
        <v>285</v>
      </c>
      <c r="B27">
        <f>PI()*B26^2*(B25-B26/3)</f>
        <v>8.8315226562691649</v>
      </c>
      <c r="C27" t="s">
        <v>275</v>
      </c>
      <c r="F27" s="121" t="s">
        <v>278</v>
      </c>
      <c r="G27" s="124">
        <f>'Moteur Etage 3'!B38/(2*SQRT(2)+2)</f>
        <v>0.85120887067671047</v>
      </c>
      <c r="H27" s="121" t="s">
        <v>85</v>
      </c>
      <c r="I27" s="121"/>
      <c r="J27" s="121"/>
      <c r="K27" s="121"/>
      <c r="L27" s="121" t="s">
        <v>283</v>
      </c>
      <c r="M27" s="121">
        <f xml:space="preserve"> 1.15*M24</f>
        <v>2.3632499999999999</v>
      </c>
      <c r="N27" s="121" t="s">
        <v>85</v>
      </c>
      <c r="O27" s="92"/>
    </row>
    <row r="28" spans="1:15">
      <c r="B28" s="78">
        <f>2*B26+B23</f>
        <v>2.8719396758590792</v>
      </c>
      <c r="F28" s="121" t="s">
        <v>276</v>
      </c>
      <c r="G28" s="125">
        <v>0.05</v>
      </c>
      <c r="H28" s="121" t="s">
        <v>64</v>
      </c>
      <c r="I28" s="121"/>
      <c r="J28" s="121"/>
      <c r="K28" s="121"/>
      <c r="L28" s="121" t="s">
        <v>284</v>
      </c>
      <c r="M28" s="124">
        <f>M27-SQRT(M27^2-M24^2)</f>
        <v>1.1962343349380442</v>
      </c>
      <c r="N28" s="121" t="s">
        <v>85</v>
      </c>
      <c r="O28" s="92"/>
    </row>
    <row r="29" spans="1:15">
      <c r="A29" s="102" t="s">
        <v>550</v>
      </c>
      <c r="F29" s="121" t="s">
        <v>277</v>
      </c>
      <c r="G29" s="121">
        <f>G27-G27*G28</f>
        <v>0.80864842714287499</v>
      </c>
      <c r="H29" s="121" t="s">
        <v>85</v>
      </c>
      <c r="I29" s="121"/>
      <c r="J29" s="121"/>
      <c r="K29" s="121"/>
      <c r="L29" s="121" t="s">
        <v>285</v>
      </c>
      <c r="M29" s="121">
        <f>PI()*M28^2*(M27-M28/3)</f>
        <v>8.8315226562691649</v>
      </c>
      <c r="N29" s="121" t="s">
        <v>275</v>
      </c>
      <c r="O29" s="92"/>
    </row>
    <row r="30" spans="1:15">
      <c r="A30" t="s">
        <v>293</v>
      </c>
      <c r="B30">
        <f xml:space="preserve"> SQRT('Moteur Etage 3'!G22/(2*PI()^2*B31))</f>
        <v>0.54646120561574618</v>
      </c>
      <c r="C30" t="s">
        <v>85</v>
      </c>
      <c r="F30" s="121"/>
      <c r="G30" s="121"/>
      <c r="H30" s="121"/>
      <c r="I30" s="121"/>
      <c r="J30" s="121"/>
      <c r="K30" s="121"/>
      <c r="L30" s="121"/>
      <c r="M30" s="121"/>
      <c r="N30" s="121"/>
      <c r="O30" s="92"/>
    </row>
    <row r="31" spans="1:15">
      <c r="A31" t="s">
        <v>294</v>
      </c>
      <c r="B31" s="78">
        <v>1.4089666040672959</v>
      </c>
      <c r="C31" t="s">
        <v>85</v>
      </c>
      <c r="F31" s="122" t="s">
        <v>290</v>
      </c>
      <c r="G31" s="121"/>
      <c r="H31" s="121"/>
      <c r="I31" s="122" t="s">
        <v>291</v>
      </c>
      <c r="J31" s="121"/>
      <c r="K31" s="121"/>
      <c r="L31" s="121"/>
      <c r="M31" s="121"/>
      <c r="N31" s="121"/>
      <c r="O31" s="92"/>
    </row>
    <row r="32" spans="1:15">
      <c r="A32" t="s">
        <v>84</v>
      </c>
      <c r="B32">
        <f>2*B30</f>
        <v>1.0929224112314924</v>
      </c>
      <c r="C32" t="s">
        <v>85</v>
      </c>
      <c r="F32" s="121" t="s">
        <v>551</v>
      </c>
      <c r="G32" s="124">
        <v>1</v>
      </c>
      <c r="H32" s="121" t="s">
        <v>85</v>
      </c>
      <c r="I32" s="121" t="s">
        <v>551</v>
      </c>
      <c r="J32" s="124">
        <v>1.7</v>
      </c>
      <c r="K32" s="121" t="s">
        <v>85</v>
      </c>
      <c r="L32" s="121"/>
      <c r="M32" s="121"/>
      <c r="N32" s="121"/>
      <c r="O32" s="92"/>
    </row>
    <row r="33" spans="1:18">
      <c r="A33" t="s">
        <v>279</v>
      </c>
      <c r="B33">
        <f>B31+B30</f>
        <v>1.9554278096830422</v>
      </c>
      <c r="C33" t="s">
        <v>85</v>
      </c>
      <c r="F33" s="121" t="s">
        <v>281</v>
      </c>
      <c r="G33" s="121">
        <f>G35/(PI()*G32^2)</f>
        <v>1.9957626779639865</v>
      </c>
      <c r="H33" s="121" t="s">
        <v>85</v>
      </c>
      <c r="I33" s="121" t="s">
        <v>281</v>
      </c>
      <c r="J33" s="121">
        <f>J35/(PI()*J32^2)</f>
        <v>-0.18661178013496324</v>
      </c>
      <c r="K33" s="121" t="s">
        <v>85</v>
      </c>
      <c r="L33" s="121"/>
      <c r="M33" s="121"/>
      <c r="N33" s="121"/>
      <c r="O33" s="92"/>
    </row>
    <row r="34" spans="1:18">
      <c r="A34" t="s">
        <v>603</v>
      </c>
      <c r="B34" s="78">
        <f>B31+B30</f>
        <v>1.9554278096830422</v>
      </c>
      <c r="C34" t="s">
        <v>85</v>
      </c>
      <c r="F34" s="121"/>
      <c r="G34" s="121"/>
      <c r="H34" s="121"/>
      <c r="I34" s="121"/>
      <c r="J34" s="121"/>
      <c r="K34" s="121"/>
      <c r="L34" s="121"/>
      <c r="M34" s="121"/>
      <c r="N34" s="121"/>
      <c r="O34" s="92"/>
    </row>
    <row r="35" spans="1:18">
      <c r="F35" s="121" t="s">
        <v>552</v>
      </c>
      <c r="G35" s="121">
        <f>'Moteur Etage 3'!G22-2*G38</f>
        <v>6.2698733674003524</v>
      </c>
      <c r="H35" s="121" t="s">
        <v>275</v>
      </c>
      <c r="I35" s="121" t="s">
        <v>552</v>
      </c>
      <c r="J35" s="121">
        <f>'Moteur Etage 3'!G22-2*J38</f>
        <v>-1.6942861909059577</v>
      </c>
      <c r="K35" s="121" t="s">
        <v>275</v>
      </c>
      <c r="L35" s="121"/>
      <c r="M35" s="121"/>
      <c r="N35" s="121"/>
      <c r="O35" s="92"/>
    </row>
    <row r="36" spans="1:18">
      <c r="A36" s="126" t="s">
        <v>316</v>
      </c>
      <c r="B36" s="126">
        <f>B23+2*B26+2*B30</f>
        <v>3.9648620870905713</v>
      </c>
      <c r="C36" s="126" t="s">
        <v>85</v>
      </c>
      <c r="D36" s="126"/>
      <c r="F36" s="121" t="s">
        <v>283</v>
      </c>
      <c r="G36" s="121">
        <f xml:space="preserve"> 1.15*G32</f>
        <v>1.1499999999999999</v>
      </c>
      <c r="H36" s="121" t="s">
        <v>85</v>
      </c>
      <c r="I36" s="121" t="s">
        <v>283</v>
      </c>
      <c r="J36" s="121">
        <f xml:space="preserve"> 1.15*J32</f>
        <v>1.9549999999999998</v>
      </c>
      <c r="K36" s="121" t="s">
        <v>85</v>
      </c>
      <c r="L36" s="121"/>
      <c r="M36" s="121"/>
      <c r="N36" s="121"/>
      <c r="O36" s="92"/>
    </row>
    <row r="37" spans="1:18">
      <c r="A37" s="92"/>
      <c r="B37" s="92"/>
      <c r="C37" s="92"/>
      <c r="D37" s="92"/>
      <c r="F37" s="121" t="s">
        <v>284</v>
      </c>
      <c r="G37" s="124">
        <f>G36-SQRT(G36^2-G32^2)</f>
        <v>0.58210916541997271</v>
      </c>
      <c r="H37" s="121" t="s">
        <v>85</v>
      </c>
      <c r="I37" s="121" t="s">
        <v>284</v>
      </c>
      <c r="J37" s="124">
        <f>J36-SQRT(J36^2-J32^2)</f>
        <v>0.98958558121395335</v>
      </c>
      <c r="K37" s="121" t="s">
        <v>85</v>
      </c>
      <c r="L37" s="121"/>
      <c r="M37" s="121"/>
      <c r="N37" s="121"/>
      <c r="O37" s="92"/>
    </row>
    <row r="38" spans="1:18" ht="14" thickBot="1">
      <c r="A38" s="139" t="s">
        <v>553</v>
      </c>
      <c r="B38" s="92"/>
      <c r="C38" s="92"/>
      <c r="D38" s="92"/>
      <c r="F38" s="121" t="s">
        <v>554</v>
      </c>
      <c r="G38" s="121">
        <f>PI()*G37^2*(G36-G37/3)</f>
        <v>1.0176539174937789</v>
      </c>
      <c r="H38" s="121" t="s">
        <v>275</v>
      </c>
      <c r="I38" s="121" t="s">
        <v>285</v>
      </c>
      <c r="J38" s="121">
        <f>PI()*J37^2*(J36-J37/3)</f>
        <v>4.9997336966469339</v>
      </c>
      <c r="K38" s="121" t="s">
        <v>275</v>
      </c>
      <c r="L38" s="121"/>
      <c r="M38" s="121"/>
      <c r="N38" s="121"/>
      <c r="O38" s="92"/>
    </row>
    <row r="39" spans="1:18">
      <c r="A39" s="92" t="s">
        <v>555</v>
      </c>
      <c r="B39" s="92">
        <v>1</v>
      </c>
      <c r="C39" s="92" t="s">
        <v>64</v>
      </c>
      <c r="D39" s="92"/>
      <c r="F39" s="121"/>
      <c r="G39" s="121"/>
      <c r="H39" s="121"/>
      <c r="I39" s="121" t="s">
        <v>320</v>
      </c>
      <c r="J39" s="121">
        <f>J37*2+J33</f>
        <v>1.7925593822929435</v>
      </c>
      <c r="K39" s="121"/>
      <c r="L39" s="121"/>
      <c r="M39" s="121"/>
      <c r="N39" s="121"/>
      <c r="O39" s="92"/>
      <c r="P39" s="11" t="s">
        <v>675</v>
      </c>
      <c r="Q39" s="174"/>
      <c r="R39" s="175"/>
    </row>
    <row r="40" spans="1:18">
      <c r="A40" s="92" t="s">
        <v>556</v>
      </c>
      <c r="B40" s="92">
        <f>(3*'Moteur Etage 3'!B56/B39/PI()/4)^(1/3)</f>
        <v>0.31245133321875668</v>
      </c>
      <c r="C40" s="92" t="s">
        <v>85</v>
      </c>
      <c r="D40" s="92"/>
      <c r="F40" s="122" t="s">
        <v>286</v>
      </c>
      <c r="G40" s="121"/>
      <c r="H40" s="121"/>
      <c r="I40" s="121"/>
      <c r="J40" s="121"/>
      <c r="K40" s="121"/>
      <c r="L40" s="121"/>
      <c r="M40" s="121"/>
      <c r="N40" s="121"/>
      <c r="O40" s="92"/>
      <c r="P40" s="41" t="s">
        <v>319</v>
      </c>
      <c r="Q40" s="232">
        <f>G41</f>
        <v>1.2562811237781477</v>
      </c>
      <c r="R40" s="233" t="s">
        <v>85</v>
      </c>
    </row>
    <row r="41" spans="1:18">
      <c r="A41" s="121" t="s">
        <v>557</v>
      </c>
      <c r="B41" s="121">
        <v>1</v>
      </c>
      <c r="C41" s="121" t="s">
        <v>64</v>
      </c>
      <c r="D41" s="92" t="s">
        <v>558</v>
      </c>
      <c r="F41" s="121" t="s">
        <v>319</v>
      </c>
      <c r="G41" s="121">
        <f>('Moteur Etage 3'!G22*3/(PI()*4))^(1/3)</f>
        <v>1.2562811237781477</v>
      </c>
      <c r="H41" s="121"/>
      <c r="I41" s="121" t="s">
        <v>321</v>
      </c>
      <c r="J41" s="121">
        <f>B23+2*B26+J39</f>
        <v>4.6644990581520229</v>
      </c>
      <c r="K41" s="121"/>
      <c r="L41" s="121"/>
      <c r="M41" s="121"/>
      <c r="N41" s="121"/>
      <c r="O41" s="92"/>
      <c r="P41" s="41" t="s">
        <v>677</v>
      </c>
      <c r="Q41" s="232">
        <f>2*Q40</f>
        <v>2.5125622475562954</v>
      </c>
      <c r="R41" s="233" t="s">
        <v>85</v>
      </c>
    </row>
    <row r="42" spans="1:18">
      <c r="A42" s="121" t="s">
        <v>559</v>
      </c>
      <c r="B42" s="121">
        <f>(3*'Moteur Etage 3'!B53/B41/PI()/4)^(1/3)</f>
        <v>6.5904186711404902E-3</v>
      </c>
      <c r="C42" s="121" t="s">
        <v>85</v>
      </c>
      <c r="D42" s="92" t="s">
        <v>560</v>
      </c>
      <c r="F42" s="92"/>
      <c r="G42" s="92"/>
      <c r="H42" s="92"/>
      <c r="I42" s="92"/>
      <c r="J42" s="92"/>
      <c r="K42" s="92"/>
      <c r="L42" s="92"/>
      <c r="M42" s="92"/>
      <c r="N42" s="92"/>
      <c r="O42" s="92"/>
      <c r="P42" s="41"/>
      <c r="Q42" s="232"/>
      <c r="R42" s="233"/>
    </row>
    <row r="43" spans="1:18">
      <c r="F43" s="92" t="s">
        <v>561</v>
      </c>
      <c r="G43" s="92"/>
      <c r="H43" s="92">
        <f>(B3-B73)/2</f>
        <v>1.2499999999997513E-3</v>
      </c>
      <c r="I43" s="92" t="s">
        <v>85</v>
      </c>
      <c r="P43" s="245" t="s">
        <v>676</v>
      </c>
      <c r="Q43" s="232"/>
      <c r="R43" s="233"/>
    </row>
    <row r="44" spans="1:18">
      <c r="A44" s="102" t="s">
        <v>562</v>
      </c>
      <c r="F44" s="92" t="s">
        <v>563</v>
      </c>
      <c r="G44" s="92"/>
      <c r="H44" s="92">
        <f>ATAN((H43/B70))/PI()*180</f>
        <v>4.4867917061954136E-2</v>
      </c>
      <c r="I44" s="92" t="s">
        <v>98</v>
      </c>
      <c r="P44" s="41" t="s">
        <v>551</v>
      </c>
      <c r="Q44" s="232">
        <f>J32</f>
        <v>1.7</v>
      </c>
      <c r="R44" s="233" t="s">
        <v>85</v>
      </c>
    </row>
    <row r="45" spans="1:18">
      <c r="A45" t="s">
        <v>564</v>
      </c>
      <c r="B45">
        <f>(B31^2+B60^2)^(-1/2)</f>
        <v>0.50884906368462679</v>
      </c>
      <c r="C45" t="s">
        <v>85</v>
      </c>
      <c r="F45" s="92" t="s">
        <v>565</v>
      </c>
      <c r="H45">
        <f>H43/SIN(H44*PI()/180)</f>
        <v>1.5962348243711204</v>
      </c>
      <c r="I45" s="92" t="s">
        <v>85</v>
      </c>
      <c r="P45" s="41" t="s">
        <v>281</v>
      </c>
      <c r="Q45" s="232">
        <f>J33</f>
        <v>-0.18661178013496324</v>
      </c>
      <c r="R45" s="233" t="s">
        <v>85</v>
      </c>
    </row>
    <row r="46" spans="1:18">
      <c r="A46" t="s">
        <v>566</v>
      </c>
      <c r="B46" s="78">
        <f>2*B30+B60</f>
        <v>2.4629224112314922</v>
      </c>
      <c r="C46" t="s">
        <v>85</v>
      </c>
      <c r="P46" s="41" t="s">
        <v>552</v>
      </c>
      <c r="Q46" s="232">
        <f>J35</f>
        <v>-1.6942861909059577</v>
      </c>
      <c r="R46" s="233" t="s">
        <v>275</v>
      </c>
    </row>
    <row r="47" spans="1:18">
      <c r="P47" s="41" t="s">
        <v>283</v>
      </c>
      <c r="Q47" s="232">
        <f>J36</f>
        <v>1.9549999999999998</v>
      </c>
      <c r="R47" s="233" t="s">
        <v>85</v>
      </c>
    </row>
    <row r="48" spans="1:18">
      <c r="A48" s="102" t="s">
        <v>567</v>
      </c>
      <c r="H48" t="s">
        <v>666</v>
      </c>
      <c r="P48" s="41" t="s">
        <v>284</v>
      </c>
      <c r="Q48" s="232">
        <f>J37</f>
        <v>0.98958558121395335</v>
      </c>
      <c r="R48" s="233" t="s">
        <v>85</v>
      </c>
    </row>
    <row r="49" spans="1:18">
      <c r="A49" t="s">
        <v>568</v>
      </c>
      <c r="B49">
        <f>B39</f>
        <v>1</v>
      </c>
      <c r="C49" t="s">
        <v>64</v>
      </c>
      <c r="H49">
        <f>B23+J33+B70+B66-2*B30</f>
        <v>5.0188741266928885</v>
      </c>
      <c r="P49" s="41" t="s">
        <v>285</v>
      </c>
      <c r="Q49" s="232">
        <f>J38</f>
        <v>4.9997336966469339</v>
      </c>
      <c r="R49" s="233" t="s">
        <v>275</v>
      </c>
    </row>
    <row r="50" spans="1:18" ht="14" thickBot="1">
      <c r="A50" t="s">
        <v>564</v>
      </c>
      <c r="B50">
        <f>3*B30+3*B40+0.3</f>
        <v>2.8767376165035086</v>
      </c>
      <c r="C50" t="s">
        <v>85</v>
      </c>
      <c r="H50" t="s">
        <v>667</v>
      </c>
      <c r="I50">
        <f>H49/B73</f>
        <v>1.2211372571028924</v>
      </c>
      <c r="P50" s="234" t="s">
        <v>677</v>
      </c>
      <c r="Q50" s="235">
        <f>J39</f>
        <v>1.7925593822929435</v>
      </c>
      <c r="R50" s="236" t="s">
        <v>85</v>
      </c>
    </row>
    <row r="51" spans="1:18">
      <c r="A51" t="s">
        <v>569</v>
      </c>
      <c r="B51">
        <f>B41</f>
        <v>1</v>
      </c>
      <c r="C51" t="s">
        <v>64</v>
      </c>
    </row>
    <row r="52" spans="1:18">
      <c r="A52" t="s">
        <v>566</v>
      </c>
      <c r="B52">
        <f>(('Moteur Etage 3'!B38/2-'Moteur Etage 3'!B33)^2+(Géométrie!B58-'Moteur Etage 3'!B36)^2)^(-1/2)+ 2*B30+B67+2*B26+B23+B73/2</f>
        <v>6.9941114433589302</v>
      </c>
      <c r="C52" t="s">
        <v>85</v>
      </c>
      <c r="H52" t="s">
        <v>700</v>
      </c>
    </row>
    <row r="53" spans="1:18">
      <c r="E53">
        <f>B26+B67+2*B30+0.2</f>
        <v>2.8891567461695367</v>
      </c>
      <c r="H53" t="s">
        <v>701</v>
      </c>
      <c r="I53" s="256">
        <f>B23+Q45+B67+B54+'Moteur Etage 3'!L77-Géométrie!B59</f>
        <v>1.8254757394178265</v>
      </c>
    </row>
    <row r="54" spans="1:18">
      <c r="A54" t="s">
        <v>604</v>
      </c>
      <c r="B54">
        <f>'Moteur Etage 3'!B24*10</f>
        <v>1.6362907914462357</v>
      </c>
      <c r="C54" t="s">
        <v>85</v>
      </c>
    </row>
    <row r="55" spans="1:18">
      <c r="A55" t="s">
        <v>605</v>
      </c>
      <c r="B55">
        <f>TAN(PI()/4)*('Moteur Etage 3'!B34-'Moteur Etage 3'!B29/2)</f>
        <v>0.1035414367089285</v>
      </c>
      <c r="C55" t="s">
        <v>85</v>
      </c>
    </row>
    <row r="57" spans="1:18">
      <c r="A57" s="102" t="s">
        <v>295</v>
      </c>
      <c r="D57" t="s">
        <v>313</v>
      </c>
    </row>
    <row r="58" spans="1:18">
      <c r="A58" t="s">
        <v>297</v>
      </c>
      <c r="B58">
        <f>E58</f>
        <v>1.37</v>
      </c>
      <c r="C58" t="s">
        <v>85</v>
      </c>
      <c r="D58" t="s">
        <v>306</v>
      </c>
      <c r="E58">
        <f>E59</f>
        <v>1.37</v>
      </c>
      <c r="F58" t="s">
        <v>85</v>
      </c>
    </row>
    <row r="59" spans="1:18">
      <c r="A59" t="s">
        <v>296</v>
      </c>
      <c r="B59">
        <f>E59</f>
        <v>1.37</v>
      </c>
      <c r="C59" t="s">
        <v>85</v>
      </c>
      <c r="D59" t="s">
        <v>305</v>
      </c>
      <c r="E59">
        <f>1/3*B73</f>
        <v>1.37</v>
      </c>
      <c r="F59" t="s">
        <v>85</v>
      </c>
    </row>
    <row r="60" spans="1:18">
      <c r="A60" t="s">
        <v>298</v>
      </c>
      <c r="B60" s="78">
        <f>E60</f>
        <v>1.37</v>
      </c>
      <c r="C60" t="s">
        <v>85</v>
      </c>
      <c r="D60" t="s">
        <v>304</v>
      </c>
      <c r="E60" s="78">
        <f>E61</f>
        <v>1.37</v>
      </c>
      <c r="F60" t="s">
        <v>85</v>
      </c>
    </row>
    <row r="61" spans="1:18">
      <c r="A61" t="s">
        <v>299</v>
      </c>
      <c r="B61" s="78">
        <f>E61</f>
        <v>1.37</v>
      </c>
      <c r="C61" t="s">
        <v>85</v>
      </c>
      <c r="D61" t="s">
        <v>303</v>
      </c>
      <c r="E61" s="78">
        <f>E58</f>
        <v>1.37</v>
      </c>
      <c r="F61" t="s">
        <v>85</v>
      </c>
    </row>
    <row r="62" spans="1:18">
      <c r="A62" t="s">
        <v>300</v>
      </c>
      <c r="B62" s="78">
        <f>E62</f>
        <v>-0.50367427787643648</v>
      </c>
      <c r="C62" t="s">
        <v>85</v>
      </c>
      <c r="D62" t="s">
        <v>307</v>
      </c>
      <c r="E62" s="78">
        <f>'Moteur Etage 3'!B33-E59</f>
        <v>-0.50367427787643648</v>
      </c>
      <c r="F62" t="s">
        <v>85</v>
      </c>
    </row>
    <row r="63" spans="1:18">
      <c r="A63" t="s">
        <v>309</v>
      </c>
      <c r="B63">
        <f xml:space="preserve"> ATAN(('Moteur Etage 3'!B38/2-'Moteur Etage 3'!B30)/'Moteur Etage 3'!B33)*180/PI()</f>
        <v>49.970554062684279</v>
      </c>
      <c r="C63" t="s">
        <v>98</v>
      </c>
    </row>
    <row r="64" spans="1:18">
      <c r="A64" t="s">
        <v>310</v>
      </c>
      <c r="B64">
        <f>(TAN(15*PI()/180)*'Moteur Etage 3'!B33+'Moteur Etage 3'!B30)*2</f>
        <v>2.5115228101130374</v>
      </c>
      <c r="C64" t="s">
        <v>85</v>
      </c>
    </row>
    <row r="65" spans="1:10">
      <c r="A65" t="s">
        <v>570</v>
      </c>
      <c r="B65">
        <f>(B73-'Moteur Etage 3'!B30)/2/TAN(15*PI()/180)</f>
        <v>5.7592445876883209</v>
      </c>
      <c r="C65" t="s">
        <v>85</v>
      </c>
    </row>
    <row r="66" spans="1:10">
      <c r="A66" t="s">
        <v>571</v>
      </c>
      <c r="B66" s="78">
        <f>B54+2*B30+B67+B26+'Moteur Etage 3'!B36+'Moteur Etage 3'!B33+B55-B59+0.2</f>
        <v>4.2227029771383089</v>
      </c>
      <c r="C66" t="s">
        <v>85</v>
      </c>
    </row>
    <row r="67" spans="1:10">
      <c r="A67" t="s">
        <v>572</v>
      </c>
      <c r="B67" s="78">
        <f>0.4</f>
        <v>0.4</v>
      </c>
      <c r="C67" t="s">
        <v>85</v>
      </c>
    </row>
    <row r="68" spans="1:10">
      <c r="B68">
        <v>0</v>
      </c>
    </row>
    <row r="69" spans="1:10">
      <c r="A69" s="102" t="s">
        <v>311</v>
      </c>
    </row>
    <row r="70" spans="1:10">
      <c r="A70" t="s">
        <v>573</v>
      </c>
      <c r="B70" s="78">
        <f xml:space="preserve"> B26+B67</f>
        <v>1.5962343349380443</v>
      </c>
      <c r="C70" t="s">
        <v>85</v>
      </c>
    </row>
    <row r="71" spans="1:10">
      <c r="A71" s="102" t="s">
        <v>606</v>
      </c>
      <c r="B71">
        <f>B72/B73</f>
        <v>1.5324594447832953</v>
      </c>
      <c r="C71" t="s">
        <v>64</v>
      </c>
    </row>
    <row r="72" spans="1:10">
      <c r="A72" s="126" t="s">
        <v>314</v>
      </c>
      <c r="B72" s="127">
        <f>B70+B66+B23</f>
        <v>6.2984083180593444</v>
      </c>
      <c r="C72" s="126" t="s">
        <v>85</v>
      </c>
    </row>
    <row r="73" spans="1:10">
      <c r="A73" s="126" t="s">
        <v>315</v>
      </c>
      <c r="B73" s="127">
        <v>4.1100000000000003</v>
      </c>
      <c r="C73" s="126" t="s">
        <v>85</v>
      </c>
      <c r="D73">
        <f>B72/B73</f>
        <v>1.5324594447832953</v>
      </c>
      <c r="G73" t="s">
        <v>577</v>
      </c>
      <c r="I73" s="78">
        <f>(B73-B101)/2</f>
        <v>0.3550000000000002</v>
      </c>
      <c r="J73" t="s">
        <v>85</v>
      </c>
    </row>
    <row r="74" spans="1:10">
      <c r="A74" s="128"/>
      <c r="B74" s="128"/>
      <c r="C74" s="128"/>
      <c r="D74" s="128"/>
      <c r="G74" t="s">
        <v>578</v>
      </c>
      <c r="I74">
        <f>ATAN(I73/(B98))/PI()*180</f>
        <v>7.330412739927187</v>
      </c>
      <c r="J74" t="s">
        <v>98</v>
      </c>
    </row>
    <row r="75" spans="1:10">
      <c r="A75" s="76" t="s">
        <v>318</v>
      </c>
      <c r="G75" t="s">
        <v>580</v>
      </c>
      <c r="I75">
        <f>B121+TAN(I74*PI()/180)*(B104+B102)*2</f>
        <v>1.9052674558082465</v>
      </c>
      <c r="J75" t="s">
        <v>85</v>
      </c>
    </row>
    <row r="76" spans="1:10">
      <c r="A76" t="s">
        <v>184</v>
      </c>
      <c r="B76" s="78">
        <f>'Moteur Etage 2'!B20</f>
        <v>44.652917439376552</v>
      </c>
      <c r="C76" t="s">
        <v>275</v>
      </c>
      <c r="G76" t="s">
        <v>581</v>
      </c>
      <c r="I76">
        <f>(B98-B97)/COS(I92*PI()/180)</f>
        <v>2.7595855812139534</v>
      </c>
      <c r="J76" t="s">
        <v>85</v>
      </c>
    </row>
    <row r="77" spans="1:10">
      <c r="A77" t="s">
        <v>280</v>
      </c>
      <c r="B77">
        <f>B101/2</f>
        <v>1.7</v>
      </c>
      <c r="C77" t="s">
        <v>85</v>
      </c>
      <c r="D77" s="129"/>
      <c r="G77" t="s">
        <v>582</v>
      </c>
      <c r="I77">
        <f>B145/COS(I74*PI()/180)</f>
        <v>0</v>
      </c>
      <c r="J77" t="s">
        <v>85</v>
      </c>
    </row>
    <row r="78" spans="1:10">
      <c r="A78" t="s">
        <v>281</v>
      </c>
      <c r="B78">
        <f>B79/(PI()*B77^2)</f>
        <v>3.888711720386747</v>
      </c>
      <c r="C78" t="s">
        <v>85</v>
      </c>
    </row>
    <row r="79" spans="1:10">
      <c r="A79" t="s">
        <v>282</v>
      </c>
      <c r="B79">
        <f>'Moteur Etage 2'!B20-2*B82+B86</f>
        <v>35.306402219090074</v>
      </c>
      <c r="C79" t="s">
        <v>275</v>
      </c>
      <c r="E79" t="s">
        <v>574</v>
      </c>
      <c r="F79">
        <f>B78+2*B81</f>
        <v>5.8678828828146532</v>
      </c>
      <c r="G79" t="s">
        <v>85</v>
      </c>
    </row>
    <row r="80" spans="1:10">
      <c r="A80" t="s">
        <v>283</v>
      </c>
      <c r="B80">
        <f xml:space="preserve"> 1.15*B77</f>
        <v>1.9549999999999998</v>
      </c>
      <c r="C80" t="s">
        <v>85</v>
      </c>
    </row>
    <row r="81" spans="1:10">
      <c r="A81" t="s">
        <v>284</v>
      </c>
      <c r="B81" s="78">
        <f>B80-SQRT(B80^2-B77^2)</f>
        <v>0.98958558121395335</v>
      </c>
      <c r="C81" t="s">
        <v>85</v>
      </c>
    </row>
    <row r="82" spans="1:10">
      <c r="A82" t="s">
        <v>285</v>
      </c>
      <c r="B82">
        <f>PI()*B81^2*(B80-B81/3)</f>
        <v>4.9997336966469339</v>
      </c>
      <c r="C82" t="s">
        <v>275</v>
      </c>
    </row>
    <row r="83" spans="1:10">
      <c r="A83" t="s">
        <v>575</v>
      </c>
      <c r="B83" s="78">
        <f>'Moteur Etage 2'!B28*0.8</f>
        <v>1.8200736406139875</v>
      </c>
      <c r="C83" t="s">
        <v>85</v>
      </c>
    </row>
    <row r="84" spans="1:10">
      <c r="A84" t="s">
        <v>185</v>
      </c>
      <c r="B84">
        <v>15</v>
      </c>
      <c r="C84" t="s">
        <v>98</v>
      </c>
      <c r="D84" t="s">
        <v>322</v>
      </c>
    </row>
    <row r="85" spans="1:10">
      <c r="A85" t="s">
        <v>607</v>
      </c>
      <c r="B85">
        <f>0.2*'Moteur Etage 2'!B28*TAN('Moteur Etage 2'!B27)+'Moteur Etage 2'!B25/2</f>
        <v>0.90400977034346963</v>
      </c>
      <c r="C85" t="s">
        <v>85</v>
      </c>
    </row>
    <row r="86" spans="1:10">
      <c r="A86" t="s">
        <v>608</v>
      </c>
      <c r="B86">
        <f>0.2*'Moteur Etage 2'!B28/3*('Moteur Etage 2'!B23+PI()*B85^2+SQRT('Moteur Etage 2'!B23+PI()*B85^2))</f>
        <v>0.65295217300738928</v>
      </c>
      <c r="C86" t="s">
        <v>275</v>
      </c>
    </row>
    <row r="87" spans="1:10">
      <c r="A87" t="s">
        <v>609</v>
      </c>
      <c r="B87">
        <f>B78+2*B80</f>
        <v>7.7987117203867466</v>
      </c>
      <c r="C87" t="s">
        <v>85</v>
      </c>
    </row>
    <row r="89" spans="1:10">
      <c r="A89" s="102" t="s">
        <v>295</v>
      </c>
    </row>
    <row r="90" spans="1:10">
      <c r="A90" t="s">
        <v>110</v>
      </c>
      <c r="B90" s="78">
        <f>'Moteur Etage 2'!B26</f>
        <v>2.2941803187357177</v>
      </c>
      <c r="C90" t="s">
        <v>85</v>
      </c>
    </row>
    <row r="91" spans="1:10">
      <c r="A91" t="s">
        <v>187</v>
      </c>
      <c r="B91">
        <f>(B101-B90)/(2*TAN(B84*PI()/180))</f>
        <v>2.0634876172439616</v>
      </c>
      <c r="C91" t="s">
        <v>85</v>
      </c>
      <c r="D91" t="s">
        <v>186</v>
      </c>
      <c r="G91" t="s">
        <v>577</v>
      </c>
      <c r="I91" s="78">
        <f>ABS((B127-B101)/2)</f>
        <v>0</v>
      </c>
      <c r="J91" t="s">
        <v>85</v>
      </c>
    </row>
    <row r="92" spans="1:10">
      <c r="A92" t="s">
        <v>188</v>
      </c>
      <c r="B92" s="78">
        <f>B83-B91+B81</f>
        <v>0.74617160458397924</v>
      </c>
      <c r="C92" t="s">
        <v>85</v>
      </c>
      <c r="D92" t="s">
        <v>189</v>
      </c>
      <c r="G92" t="s">
        <v>578</v>
      </c>
      <c r="I92">
        <f>ATAN(I91/(B92+B125))/PI()*180</f>
        <v>0</v>
      </c>
      <c r="J92" t="s">
        <v>98</v>
      </c>
    </row>
    <row r="93" spans="1:10">
      <c r="A93" t="s">
        <v>579</v>
      </c>
      <c r="B93" s="78">
        <f>2*((B127-B101)/2/(B92+B125)*B92)+B101</f>
        <v>3.4</v>
      </c>
      <c r="C93" t="s">
        <v>85</v>
      </c>
      <c r="G93" t="s">
        <v>580</v>
      </c>
      <c r="I93">
        <f>B101+TAN(I92*PI()/180)*(B83+B81)*2</f>
        <v>3.4</v>
      </c>
      <c r="J93" t="s">
        <v>85</v>
      </c>
    </row>
    <row r="94" spans="1:10">
      <c r="G94" t="s">
        <v>581</v>
      </c>
      <c r="I94">
        <f>B92/COS(I92*PI()/180)</f>
        <v>0.74617160458397924</v>
      </c>
      <c r="J94" t="s">
        <v>85</v>
      </c>
    </row>
    <row r="95" spans="1:10">
      <c r="A95" s="102" t="s">
        <v>311</v>
      </c>
      <c r="G95" t="s">
        <v>582</v>
      </c>
      <c r="I95">
        <f>B125/COS(I92*PI()/180)</f>
        <v>3.4530731984579148</v>
      </c>
      <c r="J95" t="s">
        <v>85</v>
      </c>
    </row>
    <row r="96" spans="1:10">
      <c r="A96" t="s">
        <v>296</v>
      </c>
      <c r="B96">
        <f>B91</f>
        <v>2.0634876172439616</v>
      </c>
      <c r="C96" t="s">
        <v>85</v>
      </c>
      <c r="D96" t="s">
        <v>305</v>
      </c>
      <c r="E96">
        <f xml:space="preserve"> B91</f>
        <v>2.0634876172439616</v>
      </c>
      <c r="F96" t="s">
        <v>85</v>
      </c>
    </row>
    <row r="98" spans="1:7">
      <c r="A98" t="s">
        <v>188</v>
      </c>
      <c r="B98" s="78">
        <f>B81+0.4+B59</f>
        <v>2.7595855812139534</v>
      </c>
      <c r="C98" t="s">
        <v>85</v>
      </c>
      <c r="D98" s="129"/>
    </row>
    <row r="99" spans="1:7">
      <c r="B99" s="78"/>
      <c r="D99" s="129"/>
    </row>
    <row r="100" spans="1:7">
      <c r="A100" t="s">
        <v>610</v>
      </c>
      <c r="B100">
        <f>(B102+B128)/B101</f>
        <v>8.0174592281876826</v>
      </c>
    </row>
    <row r="101" spans="1:7">
      <c r="A101" s="126" t="s">
        <v>86</v>
      </c>
      <c r="B101" s="127">
        <v>3.4</v>
      </c>
      <c r="C101" s="126" t="s">
        <v>85</v>
      </c>
    </row>
    <row r="102" spans="1:7">
      <c r="A102" s="126" t="s">
        <v>233</v>
      </c>
      <c r="B102" s="127">
        <f>B78+B98+B92</f>
        <v>7.3944689061846791</v>
      </c>
      <c r="C102" s="126" t="s">
        <v>85</v>
      </c>
    </row>
    <row r="103" spans="1:7">
      <c r="A103" t="s">
        <v>257</v>
      </c>
      <c r="B103" s="78">
        <f>B102/B101</f>
        <v>2.1748437959366704</v>
      </c>
      <c r="C103" t="s">
        <v>64</v>
      </c>
    </row>
    <row r="104" spans="1:7">
      <c r="A104" s="128"/>
      <c r="B104" s="128"/>
      <c r="C104" s="128"/>
      <c r="D104" s="128"/>
    </row>
    <row r="105" spans="1:7">
      <c r="A105" s="76" t="s">
        <v>317</v>
      </c>
    </row>
    <row r="106" spans="1:7">
      <c r="A106" t="s">
        <v>184</v>
      </c>
      <c r="B106" s="78">
        <f>'Moteur Etage 1'!B25</f>
        <v>124.53962608092219</v>
      </c>
      <c r="C106" t="s">
        <v>275</v>
      </c>
      <c r="D106" s="129"/>
    </row>
    <row r="107" spans="1:7">
      <c r="A107" t="s">
        <v>280</v>
      </c>
      <c r="B107">
        <f>B127/2</f>
        <v>1.7</v>
      </c>
      <c r="C107" t="s">
        <v>85</v>
      </c>
    </row>
    <row r="108" spans="1:7">
      <c r="A108" t="s">
        <v>281</v>
      </c>
      <c r="B108">
        <f>B109/(PI()*B107^2)</f>
        <v>12.725485644836748</v>
      </c>
      <c r="C108" t="s">
        <v>85</v>
      </c>
    </row>
    <row r="109" spans="1:7">
      <c r="A109" t="s">
        <v>282</v>
      </c>
      <c r="B109">
        <f>B106-2*B112+B116</f>
        <v>115.53726450187452</v>
      </c>
      <c r="C109" t="s">
        <v>275</v>
      </c>
    </row>
    <row r="110" spans="1:7">
      <c r="A110" t="s">
        <v>283</v>
      </c>
      <c r="B110">
        <f xml:space="preserve"> 1.15*B107</f>
        <v>1.9549999999999998</v>
      </c>
      <c r="C110" t="s">
        <v>85</v>
      </c>
    </row>
    <row r="111" spans="1:7">
      <c r="A111" t="s">
        <v>284</v>
      </c>
      <c r="B111" s="78">
        <f>B110-SQRT(B110^2-B107^2)</f>
        <v>0.98958558121395335</v>
      </c>
      <c r="C111" t="s">
        <v>85</v>
      </c>
      <c r="E111" t="s">
        <v>574</v>
      </c>
      <c r="F111">
        <f>B108+B111*2</f>
        <v>14.704656807264655</v>
      </c>
      <c r="G111" t="s">
        <v>85</v>
      </c>
    </row>
    <row r="112" spans="1:7">
      <c r="A112" t="s">
        <v>285</v>
      </c>
      <c r="B112">
        <f>PI()*B111^2*(B110-B111/3)</f>
        <v>4.9997336966469339</v>
      </c>
      <c r="C112" t="s">
        <v>275</v>
      </c>
    </row>
    <row r="113" spans="1:6">
      <c r="A113" t="s">
        <v>114</v>
      </c>
      <c r="B113" s="78">
        <f>'Moteur Etage 1'!B33*0.8</f>
        <v>2.6995295048196954</v>
      </c>
      <c r="C113" t="s">
        <v>85</v>
      </c>
    </row>
    <row r="114" spans="1:6">
      <c r="A114" t="s">
        <v>185</v>
      </c>
      <c r="B114">
        <f>15</f>
        <v>15</v>
      </c>
      <c r="C114" t="s">
        <v>98</v>
      </c>
      <c r="D114" t="s">
        <v>186</v>
      </c>
    </row>
    <row r="115" spans="1:6">
      <c r="A115" t="s">
        <v>607</v>
      </c>
      <c r="B115">
        <f>0.2*'Moteur Etage 1'!B33*TAN('Moteur Etage 1'!B32*PI()/180)+'Moteur Etage 1'!B30/2</f>
        <v>0.76973215872674072</v>
      </c>
      <c r="C115" t="s">
        <v>85</v>
      </c>
    </row>
    <row r="116" spans="1:6">
      <c r="A116" t="s">
        <v>576</v>
      </c>
      <c r="B116">
        <f>0.2*'Moteur Etage 1'!B33/3*('Moteur Etage 1'!B28+PI()*B115^2+SQRT('Moteur Etage 1'!B28+PI()*B115^2))</f>
        <v>0.99710581424619371</v>
      </c>
      <c r="C116" t="s">
        <v>275</v>
      </c>
    </row>
    <row r="117" spans="1:6">
      <c r="A117" t="s">
        <v>609</v>
      </c>
      <c r="B117">
        <f>B108+2*B111</f>
        <v>14.704656807264655</v>
      </c>
      <c r="C117" t="s">
        <v>85</v>
      </c>
    </row>
    <row r="119" spans="1:6">
      <c r="A119" s="102" t="s">
        <v>295</v>
      </c>
    </row>
    <row r="120" spans="1:6">
      <c r="A120" t="s">
        <v>110</v>
      </c>
      <c r="B120" s="78">
        <f>'Moteur Etage 1'!B31</f>
        <v>3.3985094202526764</v>
      </c>
      <c r="C120" t="s">
        <v>85</v>
      </c>
    </row>
    <row r="121" spans="1:6">
      <c r="A121" t="s">
        <v>187</v>
      </c>
      <c r="B121">
        <f>(B127-B120)/(2*TAN(B114*PI()/180))</f>
        <v>2.7814596748721898E-3</v>
      </c>
      <c r="C121" t="s">
        <v>85</v>
      </c>
      <c r="D121" t="s">
        <v>186</v>
      </c>
    </row>
    <row r="122" spans="1:6">
      <c r="A122" t="s">
        <v>188</v>
      </c>
      <c r="B122" s="78">
        <f>B113-B121+B111</f>
        <v>3.6863336263587767</v>
      </c>
      <c r="C122" t="s">
        <v>85</v>
      </c>
      <c r="F122" s="78"/>
    </row>
    <row r="123" spans="1:6">
      <c r="F123" s="78"/>
    </row>
    <row r="124" spans="1:6">
      <c r="A124" s="102" t="s">
        <v>311</v>
      </c>
      <c r="F124" s="78"/>
    </row>
    <row r="125" spans="1:6">
      <c r="A125" t="s">
        <v>188</v>
      </c>
      <c r="B125" s="78">
        <f>0.4+B96+B111</f>
        <v>3.4530731984579148</v>
      </c>
      <c r="C125" t="s">
        <v>85</v>
      </c>
      <c r="D125" t="s">
        <v>583</v>
      </c>
    </row>
    <row r="126" spans="1:6">
      <c r="B126" s="78"/>
    </row>
    <row r="127" spans="1:6">
      <c r="A127" s="126" t="s">
        <v>86</v>
      </c>
      <c r="B127" s="127">
        <v>3.4</v>
      </c>
      <c r="C127" s="126" t="s">
        <v>85</v>
      </c>
    </row>
    <row r="128" spans="1:6">
      <c r="A128" s="126" t="s">
        <v>234</v>
      </c>
      <c r="B128" s="127">
        <f>B108+B122+B125</f>
        <v>19.864892469653441</v>
      </c>
      <c r="C128" s="126" t="s">
        <v>85</v>
      </c>
    </row>
    <row r="129" spans="1:4">
      <c r="A129" t="s">
        <v>257</v>
      </c>
      <c r="B129" s="78">
        <f>B128/B127</f>
        <v>5.8426154322510122</v>
      </c>
      <c r="C129" t="s">
        <v>64</v>
      </c>
    </row>
    <row r="130" spans="1:4">
      <c r="A130" s="128"/>
      <c r="B130" s="128"/>
      <c r="C130" s="128"/>
      <c r="D130" s="128"/>
    </row>
    <row r="131" spans="1:4">
      <c r="A131" s="76" t="s">
        <v>176</v>
      </c>
      <c r="B131" s="106">
        <f>B128+B102+B2+B72+B16+B121</f>
        <v>43.107738153572335</v>
      </c>
      <c r="C131" s="76" t="s">
        <v>85</v>
      </c>
      <c r="D131" t="s">
        <v>611</v>
      </c>
    </row>
    <row r="132" spans="1:4">
      <c r="A132" s="76" t="s">
        <v>301</v>
      </c>
      <c r="B132" s="76">
        <f>B131/B3</f>
        <v>10.482124778984154</v>
      </c>
      <c r="C132" s="76" t="s">
        <v>64</v>
      </c>
      <c r="D132" t="s">
        <v>302</v>
      </c>
    </row>
    <row r="135" spans="1:4">
      <c r="B135" s="78">
        <f>B131-B121</f>
        <v>43.104956693897464</v>
      </c>
    </row>
  </sheetData>
  <pageMargins left="0.78740157499999996" right="0.78740157499999996" top="0.984251969" bottom="0.984251969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 enableFormatConditionsCalculation="0"/>
  <dimension ref="A1:BM127"/>
  <sheetViews>
    <sheetView topLeftCell="A10" zoomScale="70" zoomScaleNormal="70" zoomScalePageLayoutView="70" workbookViewId="0">
      <selection activeCell="BL7" sqref="BL7"/>
    </sheetView>
  </sheetViews>
  <sheetFormatPr baseColWidth="10" defaultRowHeight="13" x14ac:dyDescent="0"/>
  <cols>
    <col min="1" max="1" width="7.28515625" customWidth="1"/>
    <col min="2" max="2" width="8" customWidth="1"/>
    <col min="3" max="3" width="6.7109375" hidden="1" customWidth="1"/>
    <col min="4" max="4" width="8.42578125" customWidth="1"/>
    <col min="5" max="7" width="7.42578125" customWidth="1"/>
    <col min="8" max="8" width="7.140625" customWidth="1"/>
    <col min="9" max="9" width="9.42578125" customWidth="1"/>
    <col min="10" max="10" width="8" customWidth="1"/>
    <col min="11" max="11" width="7.140625" customWidth="1"/>
    <col min="12" max="12" width="6.5703125" customWidth="1"/>
    <col min="13" max="13" width="6.28515625" customWidth="1"/>
    <col min="14" max="14" width="6.85546875" customWidth="1"/>
    <col min="15" max="15" width="6.42578125" customWidth="1"/>
    <col min="16" max="16" width="7.42578125" customWidth="1"/>
    <col min="17" max="17" width="6.85546875" customWidth="1"/>
    <col min="18" max="18" width="7.140625" customWidth="1"/>
    <col min="19" max="19" width="5.7109375" customWidth="1"/>
    <col min="20" max="20" width="7" customWidth="1"/>
    <col min="21" max="21" width="7.5703125" customWidth="1"/>
    <col min="22" max="22" width="6" customWidth="1"/>
    <col min="23" max="23" width="7.140625" customWidth="1"/>
    <col min="25" max="25" width="11.85546875" customWidth="1"/>
    <col min="26" max="26" width="12.42578125" customWidth="1"/>
    <col min="27" max="27" width="13.5703125" customWidth="1"/>
    <col min="29" max="29" width="11" customWidth="1"/>
    <col min="31" max="31" width="12.28515625" customWidth="1"/>
    <col min="34" max="34" width="11" customWidth="1"/>
    <col min="35" max="35" width="11.140625" bestFit="1" customWidth="1"/>
    <col min="37" max="37" width="8.42578125" customWidth="1"/>
    <col min="38" max="38" width="8.7109375" customWidth="1"/>
  </cols>
  <sheetData>
    <row r="1" spans="1:65" ht="14" thickBot="1">
      <c r="A1" s="102" t="s">
        <v>248</v>
      </c>
      <c r="B1">
        <f>Géométrie!B6^2*PI()/4</f>
        <v>8.5012282604303202</v>
      </c>
      <c r="D1" t="s">
        <v>112</v>
      </c>
    </row>
    <row r="2" spans="1:65" ht="14">
      <c r="A2" s="102" t="s">
        <v>264</v>
      </c>
      <c r="B2">
        <f>Géométrie!B7</f>
        <v>4.0999999999999996</v>
      </c>
      <c r="D2" t="s">
        <v>85</v>
      </c>
      <c r="I2" t="s">
        <v>644</v>
      </c>
      <c r="J2" s="78">
        <f>Géométrie!B18*Géométrie!B3</f>
        <v>38.757178693897465</v>
      </c>
      <c r="K2" t="s">
        <v>85</v>
      </c>
      <c r="Z2" t="s">
        <v>645</v>
      </c>
      <c r="AH2" t="s">
        <v>646</v>
      </c>
      <c r="AI2" t="s">
        <v>647</v>
      </c>
      <c r="AL2" t="s">
        <v>648</v>
      </c>
      <c r="AM2" s="78">
        <f>Géométrie!B115-Géométrie!B110+Géométrie!B111+Géométrie!B140</f>
        <v>-0.19568226005930578</v>
      </c>
      <c r="AN2" t="s">
        <v>85</v>
      </c>
      <c r="BB2" s="173" t="s">
        <v>609</v>
      </c>
      <c r="BC2" s="174"/>
      <c r="BD2" s="174"/>
      <c r="BE2" s="175"/>
    </row>
    <row r="3" spans="1:65" ht="15" thickBot="1">
      <c r="A3" t="s">
        <v>261</v>
      </c>
      <c r="B3" t="s">
        <v>262</v>
      </c>
      <c r="BB3" s="176">
        <v>37.9</v>
      </c>
      <c r="BC3" s="15" t="s">
        <v>85</v>
      </c>
      <c r="BD3" s="177" t="s">
        <v>649</v>
      </c>
      <c r="BE3" s="178"/>
    </row>
    <row r="4" spans="1:65">
      <c r="A4" s="132" t="s">
        <v>258</v>
      </c>
      <c r="B4">
        <f>Géométrie!B8</f>
        <v>0.27493252591026274</v>
      </c>
      <c r="AY4" t="s">
        <v>650</v>
      </c>
    </row>
    <row r="5" spans="1:65">
      <c r="A5" s="119"/>
      <c r="B5" s="334" t="s">
        <v>651</v>
      </c>
      <c r="C5" s="331"/>
      <c r="D5" s="331"/>
      <c r="E5" s="331"/>
      <c r="F5" s="332"/>
      <c r="G5" s="179"/>
      <c r="H5" s="180" t="s">
        <v>652</v>
      </c>
      <c r="I5" s="180"/>
      <c r="J5" s="181"/>
      <c r="K5" s="335" t="s">
        <v>269</v>
      </c>
      <c r="L5" s="335"/>
      <c r="M5" s="335"/>
      <c r="N5" s="335"/>
      <c r="O5" s="336" t="s">
        <v>268</v>
      </c>
      <c r="P5" s="335"/>
      <c r="Q5" s="337"/>
      <c r="R5" s="337"/>
      <c r="S5" s="338"/>
      <c r="T5" s="182"/>
      <c r="U5" s="180" t="s">
        <v>653</v>
      </c>
      <c r="V5" s="182"/>
      <c r="W5" s="182"/>
      <c r="X5" s="334" t="s">
        <v>654</v>
      </c>
      <c r="Y5" s="331"/>
      <c r="Z5" s="331"/>
      <c r="AA5" s="332"/>
      <c r="AB5" s="331" t="s">
        <v>260</v>
      </c>
      <c r="AC5" s="331"/>
      <c r="AD5" s="331"/>
      <c r="AE5" s="331"/>
      <c r="AF5" s="334" t="s">
        <v>699</v>
      </c>
      <c r="AG5" s="331"/>
      <c r="AH5" s="331"/>
      <c r="AI5" s="332"/>
      <c r="AJ5" s="334" t="s">
        <v>181</v>
      </c>
      <c r="AK5" s="331"/>
      <c r="AL5" s="331"/>
      <c r="AM5" s="332"/>
      <c r="AN5" s="328" t="s">
        <v>655</v>
      </c>
      <c r="AO5" s="329"/>
      <c r="AP5" s="329"/>
      <c r="AQ5" s="330"/>
      <c r="AR5" s="331" t="s">
        <v>190</v>
      </c>
      <c r="AS5" s="331"/>
      <c r="AT5" s="331"/>
      <c r="AU5" s="332"/>
      <c r="AV5" s="183" t="s">
        <v>656</v>
      </c>
      <c r="AW5" s="184" t="s">
        <v>657</v>
      </c>
      <c r="AX5" s="120"/>
    </row>
    <row r="6" spans="1:65">
      <c r="A6" s="185" t="s">
        <v>214</v>
      </c>
      <c r="B6" s="186" t="s">
        <v>266</v>
      </c>
      <c r="C6" s="187" t="s">
        <v>253</v>
      </c>
      <c r="D6" s="188" t="s">
        <v>207</v>
      </c>
      <c r="E6" s="188" t="s">
        <v>243</v>
      </c>
      <c r="F6" s="189" t="s">
        <v>265</v>
      </c>
      <c r="G6" s="186" t="s">
        <v>266</v>
      </c>
      <c r="H6" s="188" t="s">
        <v>207</v>
      </c>
      <c r="I6" s="188" t="s">
        <v>243</v>
      </c>
      <c r="J6" s="189" t="s">
        <v>265</v>
      </c>
      <c r="K6" s="190" t="s">
        <v>266</v>
      </c>
      <c r="L6" s="190" t="s">
        <v>207</v>
      </c>
      <c r="M6" s="190" t="s">
        <v>243</v>
      </c>
      <c r="N6" s="190" t="s">
        <v>265</v>
      </c>
      <c r="O6" s="191" t="s">
        <v>266</v>
      </c>
      <c r="P6" s="192" t="s">
        <v>253</v>
      </c>
      <c r="Q6" s="192" t="s">
        <v>207</v>
      </c>
      <c r="R6" s="192" t="s">
        <v>243</v>
      </c>
      <c r="S6" s="193" t="s">
        <v>265</v>
      </c>
      <c r="T6" s="194" t="s">
        <v>266</v>
      </c>
      <c r="U6" s="187" t="s">
        <v>207</v>
      </c>
      <c r="V6" s="187" t="s">
        <v>243</v>
      </c>
      <c r="W6" s="195" t="s">
        <v>265</v>
      </c>
      <c r="X6" s="196" t="s">
        <v>266</v>
      </c>
      <c r="Y6" s="247" t="s">
        <v>207</v>
      </c>
      <c r="Z6" s="247" t="s">
        <v>243</v>
      </c>
      <c r="AA6" s="197" t="s">
        <v>265</v>
      </c>
      <c r="AB6" s="198" t="s">
        <v>266</v>
      </c>
      <c r="AC6" s="199" t="s">
        <v>207</v>
      </c>
      <c r="AD6" s="120" t="s">
        <v>243</v>
      </c>
      <c r="AE6" s="198" t="s">
        <v>265</v>
      </c>
      <c r="AF6" s="186" t="s">
        <v>483</v>
      </c>
      <c r="AG6" s="188" t="s">
        <v>207</v>
      </c>
      <c r="AH6" s="188" t="s">
        <v>243</v>
      </c>
      <c r="AI6" s="189" t="s">
        <v>484</v>
      </c>
      <c r="AJ6" s="199" t="s">
        <v>266</v>
      </c>
      <c r="AK6" s="199" t="s">
        <v>207</v>
      </c>
      <c r="AL6" s="199" t="s">
        <v>243</v>
      </c>
      <c r="AM6" s="199" t="s">
        <v>265</v>
      </c>
      <c r="AN6" s="200" t="s">
        <v>266</v>
      </c>
      <c r="AO6" s="201" t="s">
        <v>207</v>
      </c>
      <c r="AP6" s="201" t="s">
        <v>243</v>
      </c>
      <c r="AQ6" s="202" t="s">
        <v>265</v>
      </c>
      <c r="AR6" s="196" t="s">
        <v>266</v>
      </c>
      <c r="AS6" s="188" t="s">
        <v>207</v>
      </c>
      <c r="AT6" s="187" t="s">
        <v>243</v>
      </c>
      <c r="AU6" s="197" t="s">
        <v>265</v>
      </c>
      <c r="AV6" s="203" t="s">
        <v>207</v>
      </c>
      <c r="AW6" s="204" t="s">
        <v>207</v>
      </c>
      <c r="AX6" s="120"/>
      <c r="AY6" s="205" t="s">
        <v>658</v>
      </c>
      <c r="AZ6" s="199" t="s">
        <v>430</v>
      </c>
      <c r="BA6" s="205" t="s">
        <v>659</v>
      </c>
      <c r="BC6" s="205" t="s">
        <v>660</v>
      </c>
      <c r="BD6" s="206" t="s">
        <v>661</v>
      </c>
      <c r="BE6" s="205" t="s">
        <v>662</v>
      </c>
      <c r="BG6" s="205" t="s">
        <v>663</v>
      </c>
      <c r="BH6" s="206" t="s">
        <v>661</v>
      </c>
      <c r="BI6" s="205" t="s">
        <v>664</v>
      </c>
      <c r="BK6" s="205" t="s">
        <v>243</v>
      </c>
      <c r="BL6" s="205" t="s">
        <v>661</v>
      </c>
      <c r="BM6" s="205" t="s">
        <v>708</v>
      </c>
    </row>
    <row r="7" spans="1:65">
      <c r="A7" s="85">
        <v>0.5</v>
      </c>
      <c r="B7" s="39" t="e">
        <f ca="1">('Tableaux aéro'!U5)*PI()*Géométrie!$B$3^2/4/$B$1</f>
        <v>#NAME?</v>
      </c>
      <c r="C7" s="39" t="e">
        <f ca="1">'Tableaux aéro'!M75*A7*Géométrie!$B$2</f>
        <v>#NAME?</v>
      </c>
      <c r="D7" s="39" t="e">
        <f ca="1">'Tableaux aéro'!J5*PI()*Géométrie!$B$3^2/4/$B$1</f>
        <v>#NAME?</v>
      </c>
      <c r="E7" s="39" t="e">
        <f ca="1">Géométrie!$F$13-('Tableaux aéro'!AE5)*Géométrie!$B$3</f>
        <v>#NAME?</v>
      </c>
      <c r="F7" s="83" t="e">
        <f ca="1">B7*E7/$B$2</f>
        <v>#NAME?</v>
      </c>
      <c r="G7" s="39" t="e">
        <f ca="1">([1]!InterpCn(Géométrie!$B$4,$A7,Géométrie!$B$18)-[1]!InterpCn(Géométrie!$B$4,$A7,0))*PI()*Géométrie!$B$3^2/4/$B$1</f>
        <v>#NAME?</v>
      </c>
      <c r="H7" s="207" t="e">
        <f ca="1">'Tableaux aéro'!S75</f>
        <v>#NAME?</v>
      </c>
      <c r="I7" s="39" t="e">
        <f ca="1">J7/G7*$B$2</f>
        <v>#NAME?</v>
      </c>
      <c r="J7" s="39" t="e">
        <f ca="1">([1]!InterpCm(Géométrie!$B$4,$A7,Géométrie!$B$18)-[1]!InterpCm(Géométrie!$B$4,$A7,0))*PI()*Géométrie!$B$3^2/4/$B$1*$J$2/$B$2+G7*(Géométrie!$F$13-Géométrie!$B$3/(2*TAN(Géométrie!$B$4*PI()/180)))*1/$B$2</f>
        <v>#NAME?</v>
      </c>
      <c r="K7" s="208" t="e">
        <f ca="1">'Tableaux aéro'!L5*PI()/180*PI()*Géométrie!$B$3^2/4/$B$1</f>
        <v>#NAME?</v>
      </c>
      <c r="L7" s="208">
        <f>'Tableaux aéro'!B5*PI()*Géométrie!$B$3^2/4/$B$1</f>
        <v>4.1873693749999996E-2</v>
      </c>
      <c r="M7" s="208" t="e">
        <f ca="1">'Tableaux aéro'!W5*Géométrie!$B$3</f>
        <v>#NAME?</v>
      </c>
      <c r="N7" s="208" t="e">
        <f ca="1">K7*(M7-Géométrie!$F$12)/$B$2</f>
        <v>#NAME?</v>
      </c>
      <c r="O7" s="209" t="e">
        <f ca="1">[1]!InterpCn(10,$A7,Géométrie!$F$13/Géométrie!$B$3)*Géométrie!$B$3^2*PI()/4/$B$1</f>
        <v>#NAME?</v>
      </c>
      <c r="P7" s="208" t="e">
        <f ca="1">'Tableaux aéro'!M75*A7*Géométrie!$F$13</f>
        <v>#NAME?</v>
      </c>
      <c r="Q7" s="208" t="e">
        <f ca="1">0.445/POWER(LOG(P7),2.58)/POWER(1+0.15*A7^2,0.58)*Géométrie!$B$10/$B$1</f>
        <v>#NAME?</v>
      </c>
      <c r="R7" s="208"/>
      <c r="S7" s="208" t="e">
        <f ca="1">[1]!InterpCm(10,$A7,Géométrie!$F$13/Géométrie!$B$3)*Géométrie!$B$3^2*PI()/4/$B$1</f>
        <v>#NAME?</v>
      </c>
      <c r="T7" s="210"/>
      <c r="U7" s="211"/>
      <c r="V7" s="211"/>
      <c r="W7" s="212"/>
      <c r="X7" s="211"/>
      <c r="Y7" s="220" t="e">
        <f ca="1">[1]!interpol(A7,'[2]CA basé sur Ariane 3'!$A$6:$A$23,'[2]CA basé sur Ariane 3'!$B$6:$B$23)*PI()*Géométrie!$B$3^2/4/$B$1</f>
        <v>#NAME?</v>
      </c>
      <c r="Z7" s="213">
        <f>0.6*Géométrie!$B$81+Géométrie!$B$16+Géométrie!$B$2</f>
        <v>10.140938348728373</v>
      </c>
      <c r="AA7" s="212"/>
      <c r="AB7" s="210"/>
      <c r="AC7" s="83" t="e">
        <f ca="1">'Tableaux aéro'!R75</f>
        <v>#NAME?</v>
      </c>
      <c r="AD7" s="214" t="e">
        <f ca="1">R7-M7</f>
        <v>#NAME?</v>
      </c>
      <c r="AE7" s="211"/>
      <c r="AF7" s="248" t="e">
        <f ca="1">[3]!interpol(A7,[4]jupA_data!$A$2:$A$10,[4]jupA_data!$B$2:$B$10)*PI()*(Géométrie!$B$114^2-Géométrie!$B$85^2)/$B$1*COS(Géométrie!$I$96*PI()/180)^2/100</f>
        <v>#NAME?</v>
      </c>
      <c r="AG7" s="83" t="e">
        <f ca="1">[3]!interpol(A7,'[2]CA basé sur Ariane 3'!$A$6:$A$23,'[2]CA basé sur Ariane 3'!$B$6:$B$23)*PI()*Géométrie!$B$73^2/4/$B$1</f>
        <v>#NAME?</v>
      </c>
      <c r="AH7" s="251">
        <f>0.4*(Géométrie!$B$110-Géométrie!$B$111)+Géométrie!$B$84+Géométrie!$B$16+Géométrie!$B$3</f>
        <v>20.498665767514421</v>
      </c>
      <c r="AI7" s="214" t="e">
        <f ca="1">AF7*(AH7)/$B$2</f>
        <v>#NAME?</v>
      </c>
      <c r="AJ7" s="248" t="e">
        <f ca="1">([1]!InterpCn(Géométrie!$I$96,$A7,Géométrie!$B$100)-[1]!InterpCn(Géométrie!$I$96,$A7,0))*PI()*Géométrie!$B$101^2/4</f>
        <v>#NAME?</v>
      </c>
      <c r="AK7" s="83" t="e">
        <f ca="1">'Tableaux aéro'!W75</f>
        <v>#NAME?</v>
      </c>
      <c r="AL7" s="214" t="e">
        <f ca="1">AM7/AJ7*$B$2</f>
        <v>#NAME?</v>
      </c>
      <c r="AM7" s="252" t="e">
        <f ca="1">(([1]!InterpCm(Géométrie!$I$96,$A7,Géométrie!$B$113)-[1]!InterpCm(Géométrie!$I$96,$A7,0))*PI()*Géométrie!$B$114^2/4/$B$1*$AM$2/$B$2)+AJ7*(-Géométrie!$B$114/2/TAN(Géométrie!$I$96*PI()/180)+Géométrie!$B$2+Géométrie!$B$16+Géométrie!$B$84+Géométrie!$B$110-Géométrie!$B$111)/$B$2</f>
        <v>#NAME?</v>
      </c>
      <c r="AN7" s="211"/>
      <c r="AO7" s="214" t="e">
        <f ca="1">[1]!interpol(A7,'[2]CA basé sur Ariane 3'!$A$6:$A$23,'[2]CA basé sur Ariane 3'!$B$6:$B$23)</f>
        <v>#NAME?</v>
      </c>
      <c r="AP7" s="214">
        <f>0.6*(Géométrie!$B$104+Géométrie!$B$137)+Géométrie!$B$16+Géométrie!$B$13+Géométrie!$B$2+Géométrie!$B$84-Géométrie!$B$104</f>
        <v>24.847187000000002</v>
      </c>
      <c r="AQ7" s="212"/>
      <c r="AR7" s="211"/>
      <c r="AS7" s="83" t="e">
        <f ca="1">'Tableaux aéro'!Y75</f>
        <v>#NAME?</v>
      </c>
      <c r="AT7" s="214" t="e">
        <f ca="1">R7-M7</f>
        <v>#NAME?</v>
      </c>
      <c r="AU7" s="212"/>
      <c r="AV7" s="215" t="e">
        <f ca="1">-'Tableaux aéro'!B113*('Tableaux aéro'!$E$112-'Tableaux aéro'!$E$113)/Aerodynamique!$B$1</f>
        <v>#NAME?</v>
      </c>
      <c r="AW7" s="215" t="e">
        <f ca="1">'Tableaux aéro'!S75</f>
        <v>#NAME?</v>
      </c>
      <c r="AX7" s="73"/>
      <c r="AY7" t="e">
        <f ca="1">D7+H7+AV7+AC7+AG7+AK7+AS7</f>
        <v>#NAME?</v>
      </c>
      <c r="AZ7" t="e">
        <f ca="1">(AY7-AV7-'Tableaux aéro'!J5)/AW7</f>
        <v>#NAME?</v>
      </c>
      <c r="BA7" t="e">
        <f ca="1">'Tableaux aéro'!J5+'Tableaux aéro'!T75*AZ7</f>
        <v>#NAME?</v>
      </c>
      <c r="BC7" t="e">
        <f ca="1">B7+G7</f>
        <v>#NAME?</v>
      </c>
      <c r="BD7" t="e">
        <f ca="1">(BC7-'Tableaux aéro'!U5)/(([1]!InterpCn(Géométrie!$B$4,$A7,(Géométrie!$B$131-Géométrie!$B$121)/Géométrie!$B$3)-[1]!InterpCn(Géométrie!$B$4,$A7,0))*PI()*Géométrie!$B$3^2/4/$B$1)</f>
        <v>#NAME?</v>
      </c>
      <c r="BE7" t="e">
        <f ca="1">'Tableaux aéro'!U5+(([1]!InterpCn(Géométrie!$B$4,$A7,$BB$3/Géométrie!$B$3)-[1]!InterpCn(Géométrie!$B$4,$A7,0))*PI()*Géométrie!$B$3^2/4/$B$1)*BD7</f>
        <v>#NAME?</v>
      </c>
      <c r="BG7" t="e">
        <f ca="1">F7+J7</f>
        <v>#NAME?</v>
      </c>
      <c r="BH7" t="e">
        <f ca="1">(BG7-'Tableaux aéro'!U5*'Tableaux aéro'!AE5/$B$2)/(([1]!InterpCm(Géométrie!$B$4,$A7,(Géométrie!$B$131-Géométrie!$B$121)/Géométrie!$B$3)-[1]!InterpCm(Géométrie!$B$4,$A7,0))*PI()*Géométrie!$B$3^2/4/$B$1)</f>
        <v>#NAME?</v>
      </c>
      <c r="BI7" t="e">
        <f ca="1">'Tableaux aéro'!U5*'Tableaux aéro'!AE5/$B$2+BH7*(([1]!InterpCm(Géométrie!$B$4,$A7,$BB$3/Géométrie!$B$3)-[1]!InterpCm(Géométrie!$B$4,$A7,0))*PI()*Géométrie!$B$3^2/4/$B$1)</f>
        <v>#NAME?</v>
      </c>
      <c r="BK7" t="e">
        <f ca="1">E7+I7</f>
        <v>#NAME?</v>
      </c>
    </row>
    <row r="8" spans="1:65">
      <c r="A8" s="85">
        <v>0.6</v>
      </c>
      <c r="B8" s="39" t="e">
        <f ca="1">('Tableaux aéro'!U6)*PI()*Géométrie!$B$3^2/4/$B$1</f>
        <v>#NAME?</v>
      </c>
      <c r="C8" s="39" t="e">
        <f ca="1">'Tableaux aéro'!M76*A8*Géométrie!$B$2</f>
        <v>#NAME?</v>
      </c>
      <c r="D8" s="39" t="e">
        <f ca="1">'Tableaux aéro'!J6*PI()*Géométrie!$B$3^2/4/$B$1</f>
        <v>#NAME?</v>
      </c>
      <c r="E8" s="39" t="e">
        <f ca="1">Géométrie!$F$13-('Tableaux aéro'!AE6)*Géométrie!$B$3</f>
        <v>#NAME?</v>
      </c>
      <c r="F8" s="39" t="e">
        <f t="shared" ref="F8:F39" ca="1" si="0">B8*E8/$B$2</f>
        <v>#NAME?</v>
      </c>
      <c r="G8" s="39" t="e">
        <f ca="1">([1]!InterpCn(Géométrie!$B$4,$A8,Géométrie!$B$18)-[1]!InterpCn(Géométrie!$B$4,$A8,0))*PI()*Géométrie!$B$3^2/4/$B$1</f>
        <v>#NAME?</v>
      </c>
      <c r="H8" s="207" t="e">
        <f ca="1">'Tableaux aéro'!S76</f>
        <v>#NAME?</v>
      </c>
      <c r="I8" s="39" t="e">
        <f t="shared" ref="I8:I40" ca="1" si="1">J8/G8*$B$2</f>
        <v>#NAME?</v>
      </c>
      <c r="J8" s="39" t="e">
        <f ca="1">([1]!InterpCm(Géométrie!$B$4,$A8,Géométrie!$B$18)-[1]!InterpCm(Géométrie!$B$4,$A8,0))*PI()*Géométrie!$B$3^2/4/$B$1*$J$2/$B$2+G8*(Géométrie!$F$13-Géométrie!$B$3/(2*TAN(Géométrie!$B$4*PI()/180)))*1/$B$2</f>
        <v>#NAME?</v>
      </c>
      <c r="K8" s="216" t="e">
        <f ca="1">'Tableaux aéro'!L6*PI()/180*PI()*Géométrie!$B$3^2/4/$B$1</f>
        <v>#NAME?</v>
      </c>
      <c r="L8" s="216">
        <f>'Tableaux aéro'!B6*PI()*Géométrie!$B$3^2/4/$B$1</f>
        <v>5.2531328124999992E-2</v>
      </c>
      <c r="M8" s="216" t="e">
        <f ca="1">'Tableaux aéro'!W6*Géométrie!$B$3</f>
        <v>#NAME?</v>
      </c>
      <c r="N8" s="216" t="e">
        <f ca="1">K8*(M8-Géométrie!$F$12)/$B$2</f>
        <v>#NAME?</v>
      </c>
      <c r="O8" s="217" t="e">
        <f ca="1">[1]!InterpCn(10,$A8,Géométrie!$F$13/Géométrie!$B$3)*Géométrie!$B$3^2*PI()/4/Aerodynamique!$B$1</f>
        <v>#NAME?</v>
      </c>
      <c r="P8" s="216" t="e">
        <f ca="1">'Tableaux aéro'!M76*A8*Géométrie!$F$13</f>
        <v>#NAME?</v>
      </c>
      <c r="Q8" s="216" t="e">
        <f ca="1">0.445/POWER(LOG(P8),2.58)/POWER(1+0.15*A8^2,0.58)*Géométrie!$B$10/$B$1</f>
        <v>#NAME?</v>
      </c>
      <c r="R8" s="216"/>
      <c r="S8" s="216" t="e">
        <f ca="1">[1]!InterpCm(10,$A8,Géométrie!$F$13/Géométrie!$B$3)*Géométrie!$B$3^2*PI()/4/$B$1</f>
        <v>#NAME?</v>
      </c>
      <c r="T8" s="218"/>
      <c r="U8" s="150"/>
      <c r="V8" s="150"/>
      <c r="W8" s="219"/>
      <c r="X8" s="150"/>
      <c r="Y8" s="220" t="e">
        <f ca="1">[1]!interpol(A8,'[2]CA basé sur Ariane 3'!$A$6:$A$23,'[2]CA basé sur Ariane 3'!$B$6:$B$23)*PI()*Géométrie!$B$3^2/4/$B$1</f>
        <v>#NAME?</v>
      </c>
      <c r="Z8" s="213">
        <f>0.6*Géométrie!$B$81+Géométrie!$B$16+Géométrie!$B$2</f>
        <v>10.140938348728373</v>
      </c>
      <c r="AA8" s="219"/>
      <c r="AB8" s="218"/>
      <c r="AC8" s="39" t="e">
        <f ca="1">'Tableaux aéro'!R76</f>
        <v>#NAME?</v>
      </c>
      <c r="AD8" s="220" t="e">
        <f t="shared" ref="AD8:AD40" ca="1" si="2">R8-M8</f>
        <v>#NAME?</v>
      </c>
      <c r="AE8" s="150"/>
      <c r="AF8" s="249" t="e">
        <f ca="1">[1]!interpol(A8,[4]jupA_data!$A$2:$A$10,[4]jupA_data!$B$2:$B$10)*PI()*(Géométrie!$B$114^2-Géométrie!$B$85^2)/$B$1*COS(Géométrie!$I$96*PI()/180)^2/100</f>
        <v>#NAME?</v>
      </c>
      <c r="AG8" s="83" t="e">
        <f ca="1">[3]!interpol(A8,'[2]CA basé sur Ariane 3'!$A$6:$A$23,'[2]CA basé sur Ariane 3'!$B$6:$B$23)*PI()*Géométrie!$B$73^2/4/$B$1</f>
        <v>#NAME?</v>
      </c>
      <c r="AH8" s="220">
        <f>0.4*(Géométrie!$B$110-Géométrie!$B$111)+Géométrie!$B$84+Géométrie!$B$16+Géométrie!$B$3</f>
        <v>20.498665767514421</v>
      </c>
      <c r="AI8" s="220" t="e">
        <f t="shared" ref="AI8:AI40" ca="1" si="3">AF8*(AH8)/$B$2</f>
        <v>#NAME?</v>
      </c>
      <c r="AJ8" s="249" t="e">
        <f ca="1">([1]!InterpCn(Géométrie!$I$96,$A8,Géométrie!$B$113)-[1]!InterpCn(Géométrie!$I$96,$A8,0))*PI()*Géométrie!$B$114^2/4</f>
        <v>#NAME?</v>
      </c>
      <c r="AK8" s="39" t="e">
        <f ca="1">'Tableaux aéro'!W76</f>
        <v>#NAME?</v>
      </c>
      <c r="AL8" s="220" t="e">
        <f t="shared" ref="AL8:AL40" ca="1" si="4">AM8/AJ8*$B$2</f>
        <v>#NAME?</v>
      </c>
      <c r="AM8" s="253" t="e">
        <f ca="1">(([1]!InterpCm(Géométrie!$I$96,$A8,Géométrie!$B$113)-[1]!InterpCm(Géométrie!$I$96,$A8,0))*PI()*Géométrie!$B$114^2/4/$B$1*$AM$2/$B$2)+AJ8*(-Géométrie!$B$114/2/TAN(Géométrie!$I$96*PI()/180)+Géométrie!$B$2+Géométrie!$B$16+Géométrie!$B$84+Géométrie!$B$110-Géométrie!$B$111)/$B$2</f>
        <v>#NAME?</v>
      </c>
      <c r="AN8" s="150"/>
      <c r="AO8" s="220" t="e">
        <f ca="1">[1]!interpol(A8,'[2]CA basé sur Ariane 3'!$A$6:$A$23,'[2]CA basé sur Ariane 3'!$B$6:$B$23)</f>
        <v>#NAME?</v>
      </c>
      <c r="AP8" s="220">
        <f>0.6*(Géométrie!$B$104+Géométrie!$B$137)+Géométrie!$B$16+Géométrie!$B$13+Géométrie!$B$2+Géométrie!$B$84-Géométrie!$B$104</f>
        <v>24.847187000000002</v>
      </c>
      <c r="AQ8" s="219"/>
      <c r="AR8" s="150"/>
      <c r="AS8" s="39" t="e">
        <f ca="1">'Tableaux aéro'!Y76</f>
        <v>#NAME?</v>
      </c>
      <c r="AT8" s="220" t="e">
        <f t="shared" ref="AT8:AT40" ca="1" si="5">R8-M8</f>
        <v>#NAME?</v>
      </c>
      <c r="AU8" s="219"/>
      <c r="AV8" s="221" t="e">
        <f ca="1">-'Tableaux aéro'!B114*('Tableaux aéro'!$E$112-'Tableaux aéro'!$E$113)/Aerodynamique!$B$1</f>
        <v>#NAME?</v>
      </c>
      <c r="AW8" s="221" t="e">
        <f ca="1">'Tableaux aéro'!S76</f>
        <v>#NAME?</v>
      </c>
      <c r="AX8" s="73"/>
      <c r="AY8" t="e">
        <f t="shared" ref="AY8:AY40" ca="1" si="6">D8+H8+AV8+AC8+AG8+AK8+AS8</f>
        <v>#NAME?</v>
      </c>
      <c r="AZ8" t="e">
        <f ca="1">(AY8-AV8-'Tableaux aéro'!J6)/AW8</f>
        <v>#NAME?</v>
      </c>
      <c r="BA8" t="e">
        <f ca="1">'Tableaux aéro'!J6+'Tableaux aéro'!T76*AZ8</f>
        <v>#NAME?</v>
      </c>
      <c r="BC8" t="e">
        <f t="shared" ref="BC8:BC40" ca="1" si="7">B8+G8</f>
        <v>#NAME?</v>
      </c>
      <c r="BD8" t="e">
        <f ca="1">(BC8-'Tableaux aéro'!U6)/(([1]!InterpCn(Géométrie!$B$4,$A8,(Géométrie!$B$131-Géométrie!$B$121)/Géométrie!$B$3)-[1]!InterpCn(Géométrie!$B$4,$A8,0))*PI()*Géométrie!$B$3^2/4/$B$1)</f>
        <v>#NAME?</v>
      </c>
      <c r="BE8" t="e">
        <f ca="1">'Tableaux aéro'!U6+(([1]!InterpCn(Géométrie!$B$4,$A8,$BB$3/Géométrie!$B$3)-[1]!InterpCn(Géométrie!$B$4,$A8,0))*PI()*Géométrie!$B$3^2/4/$B$1)*BD8</f>
        <v>#NAME?</v>
      </c>
      <c r="BG8" t="e">
        <f t="shared" ref="BG8:BG40" ca="1" si="8">F8+J8</f>
        <v>#NAME?</v>
      </c>
      <c r="BH8" t="e">
        <f ca="1">(BG8-'Tableaux aéro'!U6*'Tableaux aéro'!AE6/$B$2)/(([1]!InterpCm(Géométrie!$B$4,$A8,(Géométrie!$B$131-Géométrie!$B$121)/Géométrie!$B$3)-[1]!InterpCm(Géométrie!$B$4,$A8,0))*PI()*Géométrie!$B$3^2/4/$B$1)</f>
        <v>#NAME?</v>
      </c>
      <c r="BI8" t="e">
        <f ca="1">'Tableaux aéro'!U6*'Tableaux aéro'!AE6/$B$2+BH8*(([1]!InterpCm(Géométrie!$B$4,$A8,$BB$3/Géométrie!$B$3)-[1]!InterpCm(Géométrie!$B$4,$A8,0))*PI()*Géométrie!$B$3^2/4/$B$1)</f>
        <v>#NAME?</v>
      </c>
      <c r="BK8" t="e">
        <f t="shared" ref="BK8:BK40" ca="1" si="9">E8+I8</f>
        <v>#NAME?</v>
      </c>
    </row>
    <row r="9" spans="1:65">
      <c r="A9" s="85">
        <v>0.7</v>
      </c>
      <c r="B9" s="39" t="e">
        <f ca="1">('Tableaux aéro'!U7)*PI()*Géométrie!$B$3^2/4/$B$1</f>
        <v>#NAME?</v>
      </c>
      <c r="C9" s="39" t="e">
        <f ca="1">'Tableaux aéro'!M77*A9*Géométrie!$B$2</f>
        <v>#NAME?</v>
      </c>
      <c r="D9" s="39" t="e">
        <f ca="1">'Tableaux aéro'!J7*PI()*Géométrie!$B$3^2/4/$B$1</f>
        <v>#NAME?</v>
      </c>
      <c r="E9" s="39" t="e">
        <f ca="1">Géométrie!$F$13-('Tableaux aéro'!AE7)*Géométrie!$B$3</f>
        <v>#NAME?</v>
      </c>
      <c r="F9" s="39" t="e">
        <f t="shared" ca="1" si="0"/>
        <v>#NAME?</v>
      </c>
      <c r="G9" s="39" t="e">
        <f ca="1">([1]!InterpCn(Géométrie!$B$4,$A9,Géométrie!$B$18)-[1]!InterpCn(Géométrie!$B$4,$A9,0))*PI()*Géométrie!$B$3^2/4/$B$1</f>
        <v>#NAME?</v>
      </c>
      <c r="H9" s="207" t="e">
        <f ca="1">'Tableaux aéro'!S77</f>
        <v>#NAME?</v>
      </c>
      <c r="I9" s="39" t="e">
        <f t="shared" ca="1" si="1"/>
        <v>#NAME?</v>
      </c>
      <c r="J9" s="39" t="e">
        <f ca="1">([1]!InterpCm(Géométrie!$B$4,$A9,Géométrie!$B$18)-[1]!InterpCm(Géométrie!$B$4,$A9,0))*PI()*Géométrie!$B$3^2/4/$B$1*$J$2/$B$2+G9*(Géométrie!$F$13-Géométrie!$B$3/(2*TAN(Géométrie!$B$4*PI()/180)))*1/$B$2</f>
        <v>#NAME?</v>
      </c>
      <c r="K9" s="216" t="e">
        <f ca="1">'Tableaux aéro'!L7*PI()/180*PI()*Géométrie!$B$3^2/4/$B$1</f>
        <v>#NAME?</v>
      </c>
      <c r="L9" s="216">
        <f>'Tableaux aéro'!B7*PI()*Géométrie!$B$3^2/4/$B$1</f>
        <v>7.9362128124999973E-2</v>
      </c>
      <c r="M9" s="216" t="e">
        <f ca="1">'Tableaux aéro'!W7*Géométrie!$B$3</f>
        <v>#NAME?</v>
      </c>
      <c r="N9" s="216" t="e">
        <f ca="1">K9*(M9-Géométrie!$F$12)/$B$2</f>
        <v>#NAME?</v>
      </c>
      <c r="O9" s="217" t="e">
        <f ca="1">[1]!InterpCn(10,$A9,Géométrie!$F$13/Géométrie!$B$3)*Géométrie!$B$3^2*PI()/4/Aerodynamique!$B$1</f>
        <v>#NAME?</v>
      </c>
      <c r="P9" s="216" t="e">
        <f ca="1">'Tableaux aéro'!M77*A9*Géométrie!$F$13</f>
        <v>#NAME?</v>
      </c>
      <c r="Q9" s="216" t="e">
        <f ca="1">0.445/POWER(LOG(P9),2.58)/POWER(1+0.15*A9^2,0.58)*Géométrie!$B$10/$B$1</f>
        <v>#NAME?</v>
      </c>
      <c r="R9" s="216"/>
      <c r="S9" s="216" t="e">
        <f ca="1">[1]!InterpCm(10,$A9,Géométrie!$F$13/Géométrie!$B$3)*Géométrie!$B$3^2*PI()/4/$B$1</f>
        <v>#NAME?</v>
      </c>
      <c r="T9" s="218"/>
      <c r="U9" s="150"/>
      <c r="V9" s="150"/>
      <c r="W9" s="219"/>
      <c r="X9" s="150"/>
      <c r="Y9" s="220" t="e">
        <f ca="1">[1]!interpol(A9,'[2]CA basé sur Ariane 3'!$A$6:$A$23,'[2]CA basé sur Ariane 3'!$B$6:$B$23)*PI()*Géométrie!$B$3^2/4/$B$1</f>
        <v>#NAME?</v>
      </c>
      <c r="Z9" s="213">
        <f>0.6*Géométrie!$B$81+Géométrie!$B$16+Géométrie!$B$2</f>
        <v>10.140938348728373</v>
      </c>
      <c r="AA9" s="219"/>
      <c r="AB9" s="218"/>
      <c r="AC9" s="39" t="e">
        <f ca="1">'Tableaux aéro'!R77</f>
        <v>#NAME?</v>
      </c>
      <c r="AD9" s="220" t="e">
        <f t="shared" ca="1" si="2"/>
        <v>#NAME?</v>
      </c>
      <c r="AE9" s="150"/>
      <c r="AF9" s="249" t="e">
        <f ca="1">[1]!interpol(A9,[4]jupA_data!$A$2:$A$10,[4]jupA_data!$B$2:$B$10)*PI()*(Géométrie!$B$114^2-Géométrie!$B$85^2)/$B$1*COS(Géométrie!$I$96*PI()/180)^2/100</f>
        <v>#NAME?</v>
      </c>
      <c r="AG9" s="83" t="e">
        <f ca="1">[3]!interpol(A9,'[2]CA basé sur Ariane 3'!$A$6:$A$23,'[2]CA basé sur Ariane 3'!$B$6:$B$23)*PI()*Géométrie!$B$73^2/4/$B$1</f>
        <v>#NAME?</v>
      </c>
      <c r="AH9" s="220">
        <f>0.4*(Géométrie!$B$110-Géométrie!$B$111)+Géométrie!$B$84+Géométrie!$B$16+Géométrie!$B$3</f>
        <v>20.498665767514421</v>
      </c>
      <c r="AI9" s="220" t="e">
        <f t="shared" ca="1" si="3"/>
        <v>#NAME?</v>
      </c>
      <c r="AJ9" s="249" t="e">
        <f ca="1">([1]!InterpCn(Géométrie!$I$96,$A9,Géométrie!$B$113)-[1]!InterpCn(Géométrie!$I$96,$A9,0))*PI()*Géométrie!$B$114^2/4</f>
        <v>#NAME?</v>
      </c>
      <c r="AK9" s="39" t="e">
        <f ca="1">'Tableaux aéro'!W77</f>
        <v>#NAME?</v>
      </c>
      <c r="AL9" s="220" t="e">
        <f t="shared" ca="1" si="4"/>
        <v>#NAME?</v>
      </c>
      <c r="AM9" s="253" t="e">
        <f ca="1">(([1]!InterpCm(Géométrie!$I$96,$A9,Géométrie!$B$113)-[1]!InterpCm(Géométrie!$I$96,$A9,0))*PI()*Géométrie!$B$114^2/4/$B$1*$AM$2/$B$2)+AJ9*(-Géométrie!$B$114/2/TAN(Géométrie!$I$96*PI()/180)+Géométrie!$B$2+Géométrie!$B$16+Géométrie!$B$84+Géométrie!$B$110-Géométrie!$B$111)/$B$2</f>
        <v>#NAME?</v>
      </c>
      <c r="AN9" s="150"/>
      <c r="AO9" s="220" t="e">
        <f ca="1">[1]!interpol(A9,'[2]CA basé sur Ariane 3'!$A$6:$A$23,'[2]CA basé sur Ariane 3'!$B$6:$B$23)</f>
        <v>#NAME?</v>
      </c>
      <c r="AP9" s="220">
        <f>0.6*(Géométrie!$B$104+Géométrie!$B$137)+Géométrie!$B$16+Géométrie!$B$13+Géométrie!$B$2+Géométrie!$B$84-Géométrie!$B$104</f>
        <v>24.847187000000002</v>
      </c>
      <c r="AQ9" s="219"/>
      <c r="AR9" s="150"/>
      <c r="AS9" s="39" t="e">
        <f ca="1">'Tableaux aéro'!Y77</f>
        <v>#NAME?</v>
      </c>
      <c r="AT9" s="220" t="e">
        <f t="shared" ca="1" si="5"/>
        <v>#NAME?</v>
      </c>
      <c r="AU9" s="219"/>
      <c r="AV9" s="221" t="e">
        <f ca="1">-'Tableaux aéro'!B115*('Tableaux aéro'!$E$112-'Tableaux aéro'!$E$113)/Aerodynamique!$B$1</f>
        <v>#NAME?</v>
      </c>
      <c r="AW9" s="221" t="e">
        <f ca="1">'Tableaux aéro'!S77</f>
        <v>#NAME?</v>
      </c>
      <c r="AX9" s="73"/>
      <c r="AY9" t="e">
        <f t="shared" ca="1" si="6"/>
        <v>#NAME?</v>
      </c>
      <c r="AZ9" t="e">
        <f ca="1">(AY9-AV9-'Tableaux aéro'!J7)/AW9</f>
        <v>#NAME?</v>
      </c>
      <c r="BA9" t="e">
        <f ca="1">'Tableaux aéro'!J7+'Tableaux aéro'!T77*AZ9</f>
        <v>#NAME?</v>
      </c>
      <c r="BC9" t="e">
        <f t="shared" ca="1" si="7"/>
        <v>#NAME?</v>
      </c>
      <c r="BD9" t="e">
        <f ca="1">(BC9-'Tableaux aéro'!U7)/(([1]!InterpCn(Géométrie!$B$4,$A9,(Géométrie!$B$131-Géométrie!$B$121)/Géométrie!$B$3)-[1]!InterpCn(Géométrie!$B$4,$A9,0))*PI()*Géométrie!$B$3^2/4/$B$1)</f>
        <v>#NAME?</v>
      </c>
      <c r="BE9" t="e">
        <f ca="1">'Tableaux aéro'!U7+(([1]!InterpCn(Géométrie!$B$4,$A9,$BB$3/Géométrie!$B$3)-[1]!InterpCn(Géométrie!$B$4,$A9,0))*PI()*Géométrie!$B$3^2/4/$B$1)*BD9</f>
        <v>#NAME?</v>
      </c>
      <c r="BG9" t="e">
        <f t="shared" ca="1" si="8"/>
        <v>#NAME?</v>
      </c>
      <c r="BH9" t="e">
        <f ca="1">(BG9-'Tableaux aéro'!U7*'Tableaux aéro'!AE7/$B$2)/(([1]!InterpCm(Géométrie!$B$4,$A9,(Géométrie!$B$131-Géométrie!$B$121)/Géométrie!$B$3)-[1]!InterpCm(Géométrie!$B$4,$A9,0))*PI()*Géométrie!$B$3^2/4/$B$1)</f>
        <v>#NAME?</v>
      </c>
      <c r="BI9" t="e">
        <f ca="1">'Tableaux aéro'!U7*'Tableaux aéro'!AE7/$B$2+BH9*(([1]!InterpCm(Géométrie!$B$4,$A9,$BB$3/Géométrie!$B$3)-[1]!InterpCm(Géométrie!$B$4,$A9,0))*PI()*Géométrie!$B$3^2/4/$B$1)</f>
        <v>#NAME?</v>
      </c>
      <c r="BK9" t="e">
        <f t="shared" ca="1" si="9"/>
        <v>#NAME?</v>
      </c>
    </row>
    <row r="10" spans="1:65">
      <c r="A10" s="85">
        <v>0.8</v>
      </c>
      <c r="B10" s="39" t="e">
        <f ca="1">('Tableaux aéro'!U8)*PI()*Géométrie!$B$3^2/4/$B$1</f>
        <v>#NAME?</v>
      </c>
      <c r="C10" s="39" t="e">
        <f ca="1">'Tableaux aéro'!M78*A10*Géométrie!$B$2</f>
        <v>#NAME?</v>
      </c>
      <c r="D10" s="39" t="e">
        <f ca="1">'Tableaux aéro'!J8*PI()*Géométrie!$B$3^2/4/$B$1</f>
        <v>#NAME?</v>
      </c>
      <c r="E10" s="39" t="e">
        <f ca="1">Géométrie!$F$13-('Tableaux aéro'!AE8)*Géométrie!$B$3</f>
        <v>#NAME?</v>
      </c>
      <c r="F10" s="39" t="e">
        <f t="shared" ca="1" si="0"/>
        <v>#NAME?</v>
      </c>
      <c r="G10" s="39" t="e">
        <f ca="1">([1]!InterpCn(Géométrie!$B$4,$A10,Géométrie!$B$18)-[1]!InterpCn(Géométrie!$B$4,$A10,0))*PI()*Géométrie!$B$3^2/4/$B$1</f>
        <v>#NAME?</v>
      </c>
      <c r="H10" s="207" t="e">
        <f ca="1">'Tableaux aéro'!S78</f>
        <v>#NAME?</v>
      </c>
      <c r="I10" s="39" t="e">
        <f t="shared" ca="1" si="1"/>
        <v>#NAME?</v>
      </c>
      <c r="J10" s="39" t="e">
        <f ca="1">([1]!InterpCm(Géométrie!$B$4,$A10,Géométrie!$B$18)-[1]!InterpCm(Géométrie!$B$4,$A10,0))*PI()*Géométrie!$B$3^2/4/$B$1*$J$2/$B$2+G10*(Géométrie!$F$13-Géométrie!$B$3/(2*TAN(Géométrie!$B$4*PI()/180)))*1/$B$2</f>
        <v>#NAME?</v>
      </c>
      <c r="K10" s="216" t="e">
        <f ca="1">'Tableaux aéro'!L8*PI()/180*PI()*Géométrie!$B$3^2/4/$B$1</f>
        <v>#NAME?</v>
      </c>
      <c r="L10" s="216">
        <f>'Tableaux aéro'!B8*PI()*Géométrie!$B$3^2/4/$B$1</f>
        <v>0.11735167031249999</v>
      </c>
      <c r="M10" s="216" t="e">
        <f ca="1">'Tableaux aéro'!W8*Géométrie!$B$3</f>
        <v>#NAME?</v>
      </c>
      <c r="N10" s="216" t="e">
        <f ca="1">K10*(M10-Géométrie!$F$12)/$B$2</f>
        <v>#NAME?</v>
      </c>
      <c r="O10" s="217" t="e">
        <f ca="1">[1]!InterpCn(10,$A10,Géométrie!$F$13/Géométrie!$B$3)*Géométrie!$B$3^2*PI()/4/Aerodynamique!$B$1</f>
        <v>#NAME?</v>
      </c>
      <c r="P10" s="216" t="e">
        <f ca="1">'Tableaux aéro'!M78*A10*Géométrie!$F$13</f>
        <v>#NAME?</v>
      </c>
      <c r="Q10" s="216" t="e">
        <f ca="1">0.445/POWER(LOG(P10),2.58)/POWER(1+0.15*A10^2,0.58)*Géométrie!$B$10/$B$1</f>
        <v>#NAME?</v>
      </c>
      <c r="R10" s="216"/>
      <c r="S10" s="216" t="e">
        <f ca="1">[1]!InterpCm(10,$A10,Géométrie!$F$13/Géométrie!$B$3)*Géométrie!$B$3^2*PI()/4/$B$1</f>
        <v>#NAME?</v>
      </c>
      <c r="T10" s="218"/>
      <c r="U10" s="150"/>
      <c r="V10" s="150"/>
      <c r="W10" s="219"/>
      <c r="X10" s="150"/>
      <c r="Y10" s="220" t="e">
        <f ca="1">[1]!interpol(A10,'[2]CA basé sur Ariane 3'!$A$6:$A$23,'[2]CA basé sur Ariane 3'!$B$6:$B$23)*PI()*Géométrie!$B$3^2/4/$B$1</f>
        <v>#NAME?</v>
      </c>
      <c r="Z10" s="213">
        <f>0.6*Géométrie!$B$81+Géométrie!$B$16+Géométrie!$B$2</f>
        <v>10.140938348728373</v>
      </c>
      <c r="AA10" s="219"/>
      <c r="AB10" s="218"/>
      <c r="AC10" s="39" t="e">
        <f ca="1">'Tableaux aéro'!R78</f>
        <v>#NAME?</v>
      </c>
      <c r="AD10" s="220" t="e">
        <f t="shared" ca="1" si="2"/>
        <v>#NAME?</v>
      </c>
      <c r="AE10" s="150"/>
      <c r="AF10" s="249" t="e">
        <f ca="1">[1]!interpol(A10,[4]jupA_data!$A$2:$A$10,[4]jupA_data!$B$2:$B$10)*PI()*(Géométrie!$B$114^2-Géométrie!$B$85^2)/$B$1*COS(Géométrie!$I$96*PI()/180)^2/100</f>
        <v>#NAME?</v>
      </c>
      <c r="AG10" s="83" t="e">
        <f ca="1">[3]!interpol(A10,'[2]CA basé sur Ariane 3'!$A$6:$A$23,'[2]CA basé sur Ariane 3'!$B$6:$B$23)*PI()*Géométrie!$B$73^2/4/$B$1</f>
        <v>#NAME?</v>
      </c>
      <c r="AH10" s="220">
        <f>0.4*(Géométrie!$B$110-Géométrie!$B$111)+Géométrie!$B$84+Géométrie!$B$16+Géométrie!$B$3</f>
        <v>20.498665767514421</v>
      </c>
      <c r="AI10" s="220" t="e">
        <f t="shared" ca="1" si="3"/>
        <v>#NAME?</v>
      </c>
      <c r="AJ10" s="249" t="e">
        <f ca="1">([1]!InterpCn(Géométrie!$I$96,$A10,Géométrie!$B$113)-[1]!InterpCn(Géométrie!$I$96,$A10,0))*PI()*Géométrie!$B$114^2/4</f>
        <v>#NAME?</v>
      </c>
      <c r="AK10" s="39" t="e">
        <f ca="1">'Tableaux aéro'!W78</f>
        <v>#NAME?</v>
      </c>
      <c r="AL10" s="220" t="e">
        <f t="shared" ca="1" si="4"/>
        <v>#NAME?</v>
      </c>
      <c r="AM10" s="253" t="e">
        <f ca="1">(([1]!InterpCm(Géométrie!$I$96,$A10,Géométrie!$B$113)-[1]!InterpCm(Géométrie!$I$96,$A10,0))*PI()*Géométrie!$B$114^2/4/$B$1*$AM$2/$B$2)+AJ10*(-Géométrie!$B$114/2/TAN(Géométrie!$I$96*PI()/180)+Géométrie!$B$2+Géométrie!$B$16+Géométrie!$B$84+Géométrie!$B$110-Géométrie!$B$111)/$B$2</f>
        <v>#NAME?</v>
      </c>
      <c r="AN10" s="150"/>
      <c r="AO10" s="220" t="e">
        <f ca="1">[1]!interpol(A10,'[2]CA basé sur Ariane 3'!$A$6:$A$23,'[2]CA basé sur Ariane 3'!$B$6:$B$23)</f>
        <v>#NAME?</v>
      </c>
      <c r="AP10" s="220">
        <f>0.6*(Géométrie!$B$104+Géométrie!$B$137)+Géométrie!$B$16+Géométrie!$B$13+Géométrie!$B$2+Géométrie!$B$84-Géométrie!$B$104</f>
        <v>24.847187000000002</v>
      </c>
      <c r="AQ10" s="219"/>
      <c r="AR10" s="150"/>
      <c r="AS10" s="39" t="e">
        <f ca="1">'Tableaux aéro'!Y78</f>
        <v>#NAME?</v>
      </c>
      <c r="AT10" s="220" t="e">
        <f t="shared" ca="1" si="5"/>
        <v>#NAME?</v>
      </c>
      <c r="AU10" s="219"/>
      <c r="AV10" s="221" t="e">
        <f ca="1">-'Tableaux aéro'!B116*('Tableaux aéro'!$E$112-'Tableaux aéro'!$E$113)/Aerodynamique!$B$1</f>
        <v>#NAME?</v>
      </c>
      <c r="AW10" s="221" t="e">
        <f ca="1">'Tableaux aéro'!S78</f>
        <v>#NAME?</v>
      </c>
      <c r="AX10" s="73"/>
      <c r="AY10" t="e">
        <f t="shared" ca="1" si="6"/>
        <v>#NAME?</v>
      </c>
      <c r="AZ10" t="e">
        <f ca="1">(AY10-AV10-'Tableaux aéro'!J8)/AW10</f>
        <v>#NAME?</v>
      </c>
      <c r="BA10" t="e">
        <f ca="1">'Tableaux aéro'!J8+'Tableaux aéro'!T78*AZ10</f>
        <v>#NAME?</v>
      </c>
      <c r="BC10" t="e">
        <f t="shared" ca="1" si="7"/>
        <v>#NAME?</v>
      </c>
      <c r="BD10" t="e">
        <f ca="1">(BC10-'Tableaux aéro'!U8)/(([1]!InterpCn(Géométrie!$B$4,$A10,(Géométrie!$B$131-Géométrie!$B$121)/Géométrie!$B$3)-[1]!InterpCn(Géométrie!$B$4,$A10,0))*PI()*Géométrie!$B$3^2/4/$B$1)</f>
        <v>#NAME?</v>
      </c>
      <c r="BE10" t="e">
        <f ca="1">'Tableaux aéro'!U8+(([1]!InterpCn(Géométrie!$B$4,$A10,$BB$3/Géométrie!$B$3)-[1]!InterpCn(Géométrie!$B$4,$A10,0))*PI()*Géométrie!$B$3^2/4/$B$1)*BD10</f>
        <v>#NAME?</v>
      </c>
      <c r="BG10" t="e">
        <f t="shared" ca="1" si="8"/>
        <v>#NAME?</v>
      </c>
      <c r="BH10" t="e">
        <f ca="1">(BG10-'Tableaux aéro'!U8*'Tableaux aéro'!AE8/$B$2)/(([1]!InterpCm(Géométrie!$B$4,$A10,(Géométrie!$B$131-Géométrie!$B$121)/Géométrie!$B$3)-[1]!InterpCm(Géométrie!$B$4,$A10,0))*PI()*Géométrie!$B$3^2/4/$B$1)</f>
        <v>#NAME?</v>
      </c>
      <c r="BI10" t="e">
        <f ca="1">'Tableaux aéro'!U8*'Tableaux aéro'!AE8/$B$2+BH10*(([1]!InterpCm(Géométrie!$B$4,$A10,$BB$3/Géométrie!$B$3)-[1]!InterpCm(Géométrie!$B$4,$A10,0))*PI()*Géométrie!$B$3^2/4/$B$1)</f>
        <v>#NAME?</v>
      </c>
      <c r="BK10" t="e">
        <f t="shared" ca="1" si="9"/>
        <v>#NAME?</v>
      </c>
    </row>
    <row r="11" spans="1:65">
      <c r="A11" s="85">
        <v>0.9</v>
      </c>
      <c r="B11" s="39" t="e">
        <f ca="1">('Tableaux aéro'!U9)*PI()*Géométrie!$B$3^2/4/$B$1</f>
        <v>#NAME?</v>
      </c>
      <c r="C11" s="39" t="e">
        <f ca="1">'Tableaux aéro'!M79*A11*Géométrie!$B$2</f>
        <v>#NAME?</v>
      </c>
      <c r="D11" s="39" t="e">
        <f ca="1">'Tableaux aéro'!J9*PI()*Géométrie!$B$3^2/4/$B$1</f>
        <v>#NAME?</v>
      </c>
      <c r="E11" s="39" t="e">
        <f ca="1">Géométrie!$F$13-('Tableaux aéro'!AE9)*Géométrie!$B$3</f>
        <v>#NAME?</v>
      </c>
      <c r="F11" s="39" t="e">
        <f t="shared" ca="1" si="0"/>
        <v>#NAME?</v>
      </c>
      <c r="G11" s="39" t="e">
        <f ca="1">([1]!InterpCn(Géométrie!$B$4,$A11,Géométrie!$B$18)-[1]!InterpCn(Géométrie!$B$4,$A11,0))*PI()*Géométrie!$B$3^2/4/$B$1</f>
        <v>#NAME?</v>
      </c>
      <c r="H11" s="207" t="e">
        <f ca="1">'Tableaux aéro'!S79</f>
        <v>#NAME?</v>
      </c>
      <c r="I11" s="39" t="e">
        <f t="shared" ca="1" si="1"/>
        <v>#NAME?</v>
      </c>
      <c r="J11" s="39" t="e">
        <f ca="1">([1]!InterpCm(Géométrie!$B$4,$A11,Géométrie!$B$18)-[1]!InterpCm(Géométrie!$B$4,$A11,0))*PI()*Géométrie!$B$3^2/4/$B$1*$J$2/$B$2+G11*(Géométrie!$F$13-Géométrie!$B$3/(2*TAN(Géométrie!$B$4*PI()/180)))*1/$B$2</f>
        <v>#NAME?</v>
      </c>
      <c r="K11" s="216" t="e">
        <f ca="1">'Tableaux aéro'!L9*PI()/180*PI()*Géométrie!$B$3^2/4/$B$1</f>
        <v>#NAME?</v>
      </c>
      <c r="L11" s="216">
        <f>'Tableaux aéro'!B9*PI()*Géométrie!$B$3^2/4/$B$1</f>
        <v>0.15221161093749999</v>
      </c>
      <c r="M11" s="216" t="e">
        <f ca="1">'Tableaux aéro'!W9*Géométrie!$B$3</f>
        <v>#NAME?</v>
      </c>
      <c r="N11" s="216" t="e">
        <f ca="1">K11*(M11-Géométrie!$F$12)/$B$2</f>
        <v>#NAME?</v>
      </c>
      <c r="O11" s="217" t="e">
        <f ca="1">[1]!InterpCn(10,$A11,Géométrie!$F$13/Géométrie!$B$3)*Géométrie!$B$3^2*PI()/4/Aerodynamique!$B$1</f>
        <v>#NAME?</v>
      </c>
      <c r="P11" s="216" t="e">
        <f ca="1">'Tableaux aéro'!M79*A11*Géométrie!$F$13</f>
        <v>#NAME?</v>
      </c>
      <c r="Q11" s="216" t="e">
        <f ca="1">0.445/POWER(LOG(P11),2.58)/POWER(1+0.15*A11^2,0.58)*Géométrie!$B$10/$B$1</f>
        <v>#NAME?</v>
      </c>
      <c r="R11" s="216"/>
      <c r="S11" s="216" t="e">
        <f ca="1">[1]!InterpCm(10,$A11,Géométrie!$F$13/Géométrie!$B$3)*Géométrie!$B$3^2*PI()/4/$B$1</f>
        <v>#NAME?</v>
      </c>
      <c r="T11" s="218"/>
      <c r="U11" s="150"/>
      <c r="V11" s="150"/>
      <c r="W11" s="219"/>
      <c r="X11" s="150"/>
      <c r="Y11" s="220" t="e">
        <f ca="1">[1]!interpol(A11,'[2]CA basé sur Ariane 3'!$A$6:$A$23,'[2]CA basé sur Ariane 3'!$B$6:$B$23)*PI()*Géométrie!$B$3^2/4/$B$1</f>
        <v>#NAME?</v>
      </c>
      <c r="Z11" s="213">
        <f>0.6*Géométrie!$B$81+Géométrie!$B$16+Géométrie!$B$2</f>
        <v>10.140938348728373</v>
      </c>
      <c r="AA11" s="219"/>
      <c r="AB11" s="218"/>
      <c r="AC11" s="39" t="e">
        <f ca="1">'Tableaux aéro'!R79</f>
        <v>#NAME?</v>
      </c>
      <c r="AD11" s="220" t="e">
        <f t="shared" ca="1" si="2"/>
        <v>#NAME?</v>
      </c>
      <c r="AE11" s="150"/>
      <c r="AF11" s="249" t="e">
        <f ca="1">[1]!interpol(A11,[4]jupA_data!$A$2:$A$10,[4]jupA_data!$B$2:$B$10)*PI()*(Géométrie!$B$114^2-Géométrie!$B$85^2)/$B$1*COS(Géométrie!$I$96*PI()/180)^2/100</f>
        <v>#NAME?</v>
      </c>
      <c r="AG11" s="83" t="e">
        <f ca="1">[3]!interpol(A11,'[2]CA basé sur Ariane 3'!$A$6:$A$23,'[2]CA basé sur Ariane 3'!$B$6:$B$23)*PI()*Géométrie!$B$73^2/4/$B$1</f>
        <v>#NAME?</v>
      </c>
      <c r="AH11" s="220">
        <f>0.4*(Géométrie!$B$110-Géométrie!$B$111)+Géométrie!$B$84+Géométrie!$B$16+Géométrie!$B$3</f>
        <v>20.498665767514421</v>
      </c>
      <c r="AI11" s="220" t="e">
        <f t="shared" ca="1" si="3"/>
        <v>#NAME?</v>
      </c>
      <c r="AJ11" s="249" t="e">
        <f ca="1">([1]!InterpCn(Géométrie!$I$96,$A11,Géométrie!$B$113)-[1]!InterpCn(Géométrie!$I$96,$A11,0))*PI()*Géométrie!$B$114^2/4</f>
        <v>#NAME?</v>
      </c>
      <c r="AK11" s="39" t="e">
        <f ca="1">'Tableaux aéro'!W79</f>
        <v>#NAME?</v>
      </c>
      <c r="AL11" s="220" t="e">
        <f t="shared" ca="1" si="4"/>
        <v>#NAME?</v>
      </c>
      <c r="AM11" s="253" t="e">
        <f ca="1">(([1]!InterpCm(Géométrie!$I$96,$A11,Géométrie!$B$113)-[1]!InterpCm(Géométrie!$I$96,$A11,0))*PI()*Géométrie!$B$114^2/4/$B$1*$AM$2/$B$2)+AJ11*(-Géométrie!$B$114/2/TAN(Géométrie!$I$96*PI()/180)+Géométrie!$B$2+Géométrie!$B$16+Géométrie!$B$84+Géométrie!$B$110-Géométrie!$B$111)/$B$2</f>
        <v>#NAME?</v>
      </c>
      <c r="AN11" s="150"/>
      <c r="AO11" s="220" t="e">
        <f ca="1">[1]!interpol(A11,'[2]CA basé sur Ariane 3'!$A$6:$A$23,'[2]CA basé sur Ariane 3'!$B$6:$B$23)</f>
        <v>#NAME?</v>
      </c>
      <c r="AP11" s="220">
        <f>0.6*(Géométrie!$B$104+Géométrie!$B$137)+Géométrie!$B$16+Géométrie!$B$13+Géométrie!$B$2+Géométrie!$B$84-Géométrie!$B$104</f>
        <v>24.847187000000002</v>
      </c>
      <c r="AQ11" s="219"/>
      <c r="AR11" s="150"/>
      <c r="AS11" s="39" t="e">
        <f ca="1">'Tableaux aéro'!Y79</f>
        <v>#NAME?</v>
      </c>
      <c r="AT11" s="220" t="e">
        <f t="shared" ca="1" si="5"/>
        <v>#NAME?</v>
      </c>
      <c r="AU11" s="219"/>
      <c r="AV11" s="221" t="e">
        <f ca="1">-'Tableaux aéro'!B117*('Tableaux aéro'!$E$112-'Tableaux aéro'!$E$113)/Aerodynamique!$B$1</f>
        <v>#NAME?</v>
      </c>
      <c r="AW11" s="221" t="e">
        <f ca="1">'Tableaux aéro'!S79</f>
        <v>#NAME?</v>
      </c>
      <c r="AX11" s="73"/>
      <c r="AY11" t="e">
        <f t="shared" ca="1" si="6"/>
        <v>#NAME?</v>
      </c>
      <c r="AZ11" t="e">
        <f ca="1">(AY11-AV11-'Tableaux aéro'!J9)/AW11</f>
        <v>#NAME?</v>
      </c>
      <c r="BA11" t="e">
        <f ca="1">'Tableaux aéro'!J9+'Tableaux aéro'!T79*AZ11</f>
        <v>#NAME?</v>
      </c>
      <c r="BC11" t="e">
        <f t="shared" ca="1" si="7"/>
        <v>#NAME?</v>
      </c>
      <c r="BD11" t="e">
        <f ca="1">(BC11-'Tableaux aéro'!U9)/(([1]!InterpCn(Géométrie!$B$4,$A11,(Géométrie!$B$131-Géométrie!$B$121)/Géométrie!$B$3)-[1]!InterpCn(Géométrie!$B$4,$A11,0))*PI()*Géométrie!$B$3^2/4/$B$1)</f>
        <v>#NAME?</v>
      </c>
      <c r="BE11" t="e">
        <f ca="1">'Tableaux aéro'!U9+(([1]!InterpCn(Géométrie!$B$4,$A11,$BB$3/Géométrie!$B$3)-[1]!InterpCn(Géométrie!$B$4,$A11,0))*PI()*Géométrie!$B$3^2/4/$B$1)*BD11</f>
        <v>#NAME?</v>
      </c>
      <c r="BG11" t="e">
        <f t="shared" ca="1" si="8"/>
        <v>#NAME?</v>
      </c>
      <c r="BH11" t="e">
        <f ca="1">(BG11-'Tableaux aéro'!U9*'Tableaux aéro'!AE9/$B$2)/(([1]!InterpCm(Géométrie!$B$4,$A11,(Géométrie!$B$131-Géométrie!$B$121)/Géométrie!$B$3)-[1]!InterpCm(Géométrie!$B$4,$A11,0))*PI()*Géométrie!$B$3^2/4/$B$1)</f>
        <v>#NAME?</v>
      </c>
      <c r="BI11" t="e">
        <f ca="1">'Tableaux aéro'!U9*'Tableaux aéro'!AE9/$B$2+BH11*(([1]!InterpCm(Géométrie!$B$4,$A11,$BB$3/Géométrie!$B$3)-[1]!InterpCm(Géométrie!$B$4,$A11,0))*PI()*Géométrie!$B$3^2/4/$B$1)</f>
        <v>#NAME?</v>
      </c>
      <c r="BK11" t="e">
        <f t="shared" ca="1" si="9"/>
        <v>#NAME?</v>
      </c>
    </row>
    <row r="12" spans="1:65">
      <c r="A12" s="85">
        <v>0.92</v>
      </c>
      <c r="B12" s="39" t="e">
        <f ca="1">('Tableaux aéro'!U10)*PI()*Géométrie!$B$3^2/4/$B$1</f>
        <v>#NAME?</v>
      </c>
      <c r="C12" s="39" t="e">
        <f ca="1">'Tableaux aéro'!M80*A12*Géométrie!$B$2</f>
        <v>#NAME?</v>
      </c>
      <c r="D12" s="39" t="e">
        <f ca="1">'Tableaux aéro'!J10*PI()*Géométrie!$B$3^2/4/$B$1</f>
        <v>#NAME?</v>
      </c>
      <c r="E12" s="39" t="e">
        <f ca="1">Géométrie!$F$13-('Tableaux aéro'!AE10)*Géométrie!$B$3</f>
        <v>#NAME?</v>
      </c>
      <c r="F12" s="39" t="e">
        <f t="shared" ca="1" si="0"/>
        <v>#NAME?</v>
      </c>
      <c r="G12" s="39" t="e">
        <f ca="1">([1]!InterpCn(Géométrie!$B$4,$A12,Géométrie!$B$18)-[1]!InterpCn(Géométrie!$B$4,$A12,0))*PI()*Géométrie!$B$3^2/4/$B$1</f>
        <v>#NAME?</v>
      </c>
      <c r="H12" s="207" t="e">
        <f ca="1">'Tableaux aéro'!S80</f>
        <v>#NAME?</v>
      </c>
      <c r="I12" s="39" t="e">
        <f t="shared" ca="1" si="1"/>
        <v>#NAME?</v>
      </c>
      <c r="J12" s="39" t="e">
        <f ca="1">([1]!InterpCm(Géométrie!$B$4,$A12,Géométrie!$B$18)-[1]!InterpCm(Géométrie!$B$4,$A12,0))*PI()*Géométrie!$B$3^2/4/$B$1*$J$2/$B$2+G12*(Géométrie!$F$13-Géométrie!$B$3/(2*TAN(Géométrie!$B$4*PI()/180)))*1/$B$2</f>
        <v>#NAME?</v>
      </c>
      <c r="K12" s="216" t="e">
        <f ca="1">'Tableaux aéro'!L10*PI()/180*PI()*Géométrie!$B$3^2/4/$B$1</f>
        <v>#NAME?</v>
      </c>
      <c r="L12" s="216">
        <f>'Tableaux aéro'!B10*PI()*Géométrie!$B$3^2/4/$B$1</f>
        <v>0.16100292499999996</v>
      </c>
      <c r="M12" s="216" t="e">
        <f ca="1">'Tableaux aéro'!W10*Géométrie!$B$3</f>
        <v>#NAME?</v>
      </c>
      <c r="N12" s="216" t="e">
        <f ca="1">K12*(M12-Géométrie!$F$12)/$B$2</f>
        <v>#NAME?</v>
      </c>
      <c r="O12" s="217" t="e">
        <f ca="1">[1]!InterpCn(10,$A12,Géométrie!$F$13/Géométrie!$B$3)*Géométrie!$B$3^2*PI()/4/Aerodynamique!$B$1</f>
        <v>#NAME?</v>
      </c>
      <c r="P12" s="216" t="e">
        <f ca="1">'Tableaux aéro'!M80*A12*Géométrie!$F$13</f>
        <v>#NAME?</v>
      </c>
      <c r="Q12" s="216" t="e">
        <f ca="1">0.445/POWER(LOG(P12),2.58)/POWER(1+0.15*A12^2,0.58)*Géométrie!$B$10/$B$1</f>
        <v>#NAME?</v>
      </c>
      <c r="R12" s="216"/>
      <c r="S12" s="216" t="e">
        <f ca="1">[1]!InterpCm(10,$A12,Géométrie!$F$13/Géométrie!$B$3)*Géométrie!$B$3^2*PI()/4/$B$1</f>
        <v>#NAME?</v>
      </c>
      <c r="T12" s="218"/>
      <c r="U12" s="150"/>
      <c r="V12" s="150"/>
      <c r="W12" s="219"/>
      <c r="X12" s="150"/>
      <c r="Y12" s="220" t="e">
        <f ca="1">[1]!interpol(A12,'[2]CA basé sur Ariane 3'!$A$6:$A$23,'[2]CA basé sur Ariane 3'!$B$6:$B$23)*PI()*Géométrie!$B$3^2/4/$B$1</f>
        <v>#NAME?</v>
      </c>
      <c r="Z12" s="213">
        <f>0.6*Géométrie!$B$81+Géométrie!$B$16+Géométrie!$B$2</f>
        <v>10.140938348728373</v>
      </c>
      <c r="AA12" s="219"/>
      <c r="AB12" s="218"/>
      <c r="AC12" s="39" t="e">
        <f ca="1">'Tableaux aéro'!R80</f>
        <v>#NAME?</v>
      </c>
      <c r="AD12" s="220" t="e">
        <f t="shared" ca="1" si="2"/>
        <v>#NAME?</v>
      </c>
      <c r="AE12" s="150"/>
      <c r="AF12" s="249" t="e">
        <f ca="1">[1]!interpol(A12,[4]jupA_data!$A$2:$A$10,[4]jupA_data!$B$2:$B$10)*PI()*(Géométrie!$B$114^2-Géométrie!$B$85^2)/$B$1*COS(Géométrie!$I$96*PI()/180)^2/100</f>
        <v>#NAME?</v>
      </c>
      <c r="AG12" s="83" t="e">
        <f ca="1">[3]!interpol(A12,'[2]CA basé sur Ariane 3'!$A$6:$A$23,'[2]CA basé sur Ariane 3'!$B$6:$B$23)*PI()*Géométrie!$B$73^2/4/$B$1</f>
        <v>#NAME?</v>
      </c>
      <c r="AH12" s="220">
        <f>0.4*(Géométrie!$B$110-Géométrie!$B$111)+Géométrie!$B$84+Géométrie!$B$16+Géométrie!$B$3</f>
        <v>20.498665767514421</v>
      </c>
      <c r="AI12" s="220" t="e">
        <f t="shared" ca="1" si="3"/>
        <v>#NAME?</v>
      </c>
      <c r="AJ12" s="249" t="e">
        <f ca="1">([1]!InterpCn(Géométrie!$I$96,$A12,Géométrie!$B$113)-[1]!InterpCn(Géométrie!$I$96,$A12,0))*PI()*Géométrie!$B$114^2/4</f>
        <v>#NAME?</v>
      </c>
      <c r="AK12" s="39" t="e">
        <f ca="1">'Tableaux aéro'!W80</f>
        <v>#NAME?</v>
      </c>
      <c r="AL12" s="220" t="e">
        <f t="shared" ca="1" si="4"/>
        <v>#NAME?</v>
      </c>
      <c r="AM12" s="253" t="e">
        <f ca="1">(([1]!InterpCm(Géométrie!$I$96,$A12,Géométrie!$B$113)-[1]!InterpCm(Géométrie!$I$96,$A12,0))*PI()*Géométrie!$B$114^2/4/$B$1*$AM$2/$B$2)+AJ12*(-Géométrie!$B$114/2/TAN(Géométrie!$I$96*PI()/180)+Géométrie!$B$2+Géométrie!$B$16+Géométrie!$B$84+Géométrie!$B$110-Géométrie!$B$111)/$B$2</f>
        <v>#NAME?</v>
      </c>
      <c r="AN12" s="150"/>
      <c r="AO12" s="220" t="e">
        <f ca="1">[1]!interpol(A12,'[2]CA basé sur Ariane 3'!$A$6:$A$23,'[2]CA basé sur Ariane 3'!$B$6:$B$23)</f>
        <v>#NAME?</v>
      </c>
      <c r="AP12" s="220">
        <f>0.6*(Géométrie!$B$104+Géométrie!$B$137)+Géométrie!$B$16+Géométrie!$B$13+Géométrie!$B$2+Géométrie!$B$84-Géométrie!$B$104</f>
        <v>24.847187000000002</v>
      </c>
      <c r="AQ12" s="219"/>
      <c r="AR12" s="150"/>
      <c r="AS12" s="39" t="e">
        <f ca="1">'Tableaux aéro'!Y80</f>
        <v>#NAME?</v>
      </c>
      <c r="AT12" s="220" t="e">
        <f t="shared" ca="1" si="5"/>
        <v>#NAME?</v>
      </c>
      <c r="AU12" s="219"/>
      <c r="AV12" s="221" t="e">
        <f ca="1">-'Tableaux aéro'!B118*('Tableaux aéro'!$E$112-'Tableaux aéro'!$E$113)/Aerodynamique!$B$1</f>
        <v>#NAME?</v>
      </c>
      <c r="AW12" s="221" t="e">
        <f ca="1">'Tableaux aéro'!S80</f>
        <v>#NAME?</v>
      </c>
      <c r="AX12" s="73"/>
      <c r="AY12" t="e">
        <f t="shared" ca="1" si="6"/>
        <v>#NAME?</v>
      </c>
      <c r="AZ12" t="e">
        <f ca="1">(AY12-AV12-'Tableaux aéro'!J10)/AW12</f>
        <v>#NAME?</v>
      </c>
      <c r="BA12" t="e">
        <f ca="1">'Tableaux aéro'!J10+'Tableaux aéro'!T80*AZ12</f>
        <v>#NAME?</v>
      </c>
      <c r="BC12" t="e">
        <f t="shared" ca="1" si="7"/>
        <v>#NAME?</v>
      </c>
      <c r="BD12" t="e">
        <f ca="1">(BC12-'Tableaux aéro'!U10)/(([1]!InterpCn(Géométrie!$B$4,$A12,(Géométrie!$B$131-Géométrie!$B$121)/Géométrie!$B$3)-[1]!InterpCn(Géométrie!$B$4,$A12,0))*PI()*Géométrie!$B$3^2/4/$B$1)</f>
        <v>#NAME?</v>
      </c>
      <c r="BE12" t="e">
        <f ca="1">'Tableaux aéro'!U10+(([1]!InterpCn(Géométrie!$B$4,$A12,$BB$3/Géométrie!$B$3)-[1]!InterpCn(Géométrie!$B$4,$A12,0))*PI()*Géométrie!$B$3^2/4/$B$1)*BD12</f>
        <v>#NAME?</v>
      </c>
      <c r="BG12" t="e">
        <f t="shared" ca="1" si="8"/>
        <v>#NAME?</v>
      </c>
      <c r="BH12" t="e">
        <f ca="1">(BG12-'Tableaux aéro'!U10*'Tableaux aéro'!AE10/$B$2)/(([1]!InterpCm(Géométrie!$B$4,$A12,(Géométrie!$B$131-Géométrie!$B$121)/Géométrie!$B$3)-[1]!InterpCm(Géométrie!$B$4,$A12,0))*PI()*Géométrie!$B$3^2/4/$B$1)</f>
        <v>#NAME?</v>
      </c>
      <c r="BI12" t="e">
        <f ca="1">'Tableaux aéro'!U10*'Tableaux aéro'!AE10/$B$2+BH12*(([1]!InterpCm(Géométrie!$B$4,$A12,$BB$3/Géométrie!$B$3)-[1]!InterpCm(Géométrie!$B$4,$A12,0))*PI()*Géométrie!$B$3^2/4/$B$1)</f>
        <v>#NAME?</v>
      </c>
      <c r="BK12" t="e">
        <f t="shared" ca="1" si="9"/>
        <v>#NAME?</v>
      </c>
    </row>
    <row r="13" spans="1:65">
      <c r="A13" s="85">
        <v>0.94</v>
      </c>
      <c r="B13" s="39" t="e">
        <f ca="1">('Tableaux aéro'!U11)*PI()*Géométrie!$B$3^2/4/$B$1</f>
        <v>#NAME?</v>
      </c>
      <c r="C13" s="39" t="e">
        <f ca="1">'Tableaux aéro'!M81*A13*Géométrie!$B$2</f>
        <v>#NAME?</v>
      </c>
      <c r="D13" s="39" t="e">
        <f ca="1">'Tableaux aéro'!J11*PI()*Géométrie!$B$3^2/4/$B$1</f>
        <v>#NAME?</v>
      </c>
      <c r="E13" s="39" t="e">
        <f ca="1">Géométrie!$F$13-('Tableaux aéro'!AE11)*Géométrie!$B$3</f>
        <v>#NAME?</v>
      </c>
      <c r="F13" s="39" t="e">
        <f t="shared" ca="1" si="0"/>
        <v>#NAME?</v>
      </c>
      <c r="G13" s="39" t="e">
        <f ca="1">([1]!InterpCn(Géométrie!$B$4,$A13,Géométrie!$B$18)-[1]!InterpCn(Géométrie!$B$4,$A13,0))*PI()*Géométrie!$B$3^2/4/$B$1</f>
        <v>#NAME?</v>
      </c>
      <c r="H13" s="207" t="e">
        <f ca="1">'Tableaux aéro'!S81</f>
        <v>#NAME?</v>
      </c>
      <c r="I13" s="39" t="e">
        <f t="shared" ca="1" si="1"/>
        <v>#NAME?</v>
      </c>
      <c r="J13" s="39" t="e">
        <f ca="1">([1]!InterpCm(Géométrie!$B$4,$A13,Géométrie!$B$18)-[1]!InterpCm(Géométrie!$B$4,$A13,0))*PI()*Géométrie!$B$3^2/4/$B$1*$J$2/$B$2+G13*(Géométrie!$F$13-Géométrie!$B$3/(2*TAN(Géométrie!$B$4*PI()/180)))*1/$B$2</f>
        <v>#NAME?</v>
      </c>
      <c r="K13" s="216" t="e">
        <f ca="1">'Tableaux aéro'!L11*PI()/180*PI()*Géométrie!$B$3^2/4/$B$1</f>
        <v>#NAME?</v>
      </c>
      <c r="L13" s="216">
        <f>'Tableaux aéro'!B11*PI()*Géométrie!$B$3^2/4/$B$1</f>
        <v>0.17333218281249996</v>
      </c>
      <c r="M13" s="216" t="e">
        <f ca="1">'Tableaux aéro'!W11*Géométrie!$B$3</f>
        <v>#NAME?</v>
      </c>
      <c r="N13" s="216" t="e">
        <f ca="1">K13*(M13-Géométrie!$F$12)/$B$2</f>
        <v>#NAME?</v>
      </c>
      <c r="O13" s="217" t="e">
        <f ca="1">[1]!InterpCn(10,$A13,Géométrie!$F$13/Géométrie!$B$3)*Géométrie!$B$3^2*PI()/4/Aerodynamique!$B$1</f>
        <v>#NAME?</v>
      </c>
      <c r="P13" s="216" t="e">
        <f ca="1">'Tableaux aéro'!M81*A13*Géométrie!$F$13</f>
        <v>#NAME?</v>
      </c>
      <c r="Q13" s="216" t="e">
        <f ca="1">0.445/POWER(LOG(P13),2.58)/POWER(1+0.15*A13^2,0.58)*Géométrie!$B$10/$B$1</f>
        <v>#NAME?</v>
      </c>
      <c r="R13" s="216"/>
      <c r="S13" s="216" t="e">
        <f ca="1">[1]!InterpCm(10,$A13,Géométrie!$F$13/Géométrie!$B$3)*Géométrie!$B$3^2*PI()/4/$B$1</f>
        <v>#NAME?</v>
      </c>
      <c r="T13" s="218"/>
      <c r="U13" s="150"/>
      <c r="V13" s="150"/>
      <c r="W13" s="219"/>
      <c r="X13" s="150"/>
      <c r="Y13" s="220" t="e">
        <f ca="1">[1]!interpol(A13,'[2]CA basé sur Ariane 3'!$A$6:$A$23,'[2]CA basé sur Ariane 3'!$B$6:$B$23)*PI()*Géométrie!$B$3^2/4/$B$1</f>
        <v>#NAME?</v>
      </c>
      <c r="Z13" s="213">
        <f>0.6*Géométrie!$B$81+Géométrie!$B$16+Géométrie!$B$2</f>
        <v>10.140938348728373</v>
      </c>
      <c r="AA13" s="219"/>
      <c r="AB13" s="218"/>
      <c r="AC13" s="39" t="e">
        <f ca="1">'Tableaux aéro'!R81</f>
        <v>#NAME?</v>
      </c>
      <c r="AD13" s="220" t="e">
        <f t="shared" ca="1" si="2"/>
        <v>#NAME?</v>
      </c>
      <c r="AE13" s="150"/>
      <c r="AF13" s="249" t="e">
        <f ca="1">[1]!interpol(A13,[4]jupA_data!$A$2:$A$10,[4]jupA_data!$B$2:$B$10)*PI()*(Géométrie!$B$114^2-Géométrie!$B$85^2)/$B$1*COS(Géométrie!$I$96*PI()/180)^2/100</f>
        <v>#NAME?</v>
      </c>
      <c r="AG13" s="83" t="e">
        <f ca="1">[3]!interpol(A13,'[2]CA basé sur Ariane 3'!$A$6:$A$23,'[2]CA basé sur Ariane 3'!$B$6:$B$23)*PI()*Géométrie!$B$73^2/4/$B$1</f>
        <v>#NAME?</v>
      </c>
      <c r="AH13" s="220">
        <f>0.4*(Géométrie!$B$110-Géométrie!$B$111)+Géométrie!$B$84+Géométrie!$B$16+Géométrie!$B$3</f>
        <v>20.498665767514421</v>
      </c>
      <c r="AI13" s="220" t="e">
        <f t="shared" ca="1" si="3"/>
        <v>#NAME?</v>
      </c>
      <c r="AJ13" s="249" t="e">
        <f ca="1">([1]!InterpCn(Géométrie!$I$96,$A13,Géométrie!$B$113)-[1]!InterpCn(Géométrie!$I$96,$A13,0))*PI()*Géométrie!$B$114^2/4</f>
        <v>#NAME?</v>
      </c>
      <c r="AK13" s="39" t="e">
        <f ca="1">'Tableaux aéro'!W81</f>
        <v>#NAME?</v>
      </c>
      <c r="AL13" s="220" t="e">
        <f t="shared" ca="1" si="4"/>
        <v>#NAME?</v>
      </c>
      <c r="AM13" s="253" t="e">
        <f ca="1">(([1]!InterpCm(Géométrie!$I$96,$A13,Géométrie!$B$113)-[1]!InterpCm(Géométrie!$I$96,$A13,0))*PI()*Géométrie!$B$114^2/4/$B$1*$AM$2/$B$2)+AJ13*(-Géométrie!$B$114/2/TAN(Géométrie!$I$96*PI()/180)+Géométrie!$B$2+Géométrie!$B$16+Géométrie!$B$84+Géométrie!$B$110-Géométrie!$B$111)/$B$2</f>
        <v>#NAME?</v>
      </c>
      <c r="AN13" s="150"/>
      <c r="AO13" s="220" t="e">
        <f ca="1">[1]!interpol(A13,'[2]CA basé sur Ariane 3'!$A$6:$A$23,'[2]CA basé sur Ariane 3'!$B$6:$B$23)</f>
        <v>#NAME?</v>
      </c>
      <c r="AP13" s="220">
        <f>0.6*(Géométrie!$B$104+Géométrie!$B$137)+Géométrie!$B$16+Géométrie!$B$13+Géométrie!$B$2+Géométrie!$B$84-Géométrie!$B$104</f>
        <v>24.847187000000002</v>
      </c>
      <c r="AQ13" s="219"/>
      <c r="AR13" s="150"/>
      <c r="AS13" s="39" t="e">
        <f ca="1">'Tableaux aéro'!Y81</f>
        <v>#NAME?</v>
      </c>
      <c r="AT13" s="220" t="e">
        <f t="shared" ca="1" si="5"/>
        <v>#NAME?</v>
      </c>
      <c r="AU13" s="219"/>
      <c r="AV13" s="221" t="e">
        <f ca="1">-'Tableaux aéro'!B119*('Tableaux aéro'!$E$112-'Tableaux aéro'!$E$113)/Aerodynamique!$B$1</f>
        <v>#NAME?</v>
      </c>
      <c r="AW13" s="221" t="e">
        <f ca="1">'Tableaux aéro'!S81</f>
        <v>#NAME?</v>
      </c>
      <c r="AX13" s="73"/>
      <c r="AY13" t="e">
        <f t="shared" ca="1" si="6"/>
        <v>#NAME?</v>
      </c>
      <c r="AZ13" t="e">
        <f ca="1">(AY13-AV13-'Tableaux aéro'!J11)/AW13</f>
        <v>#NAME?</v>
      </c>
      <c r="BA13" t="e">
        <f ca="1">'Tableaux aéro'!J11+'Tableaux aéro'!T81*AZ13</f>
        <v>#NAME?</v>
      </c>
      <c r="BC13" t="e">
        <f t="shared" ca="1" si="7"/>
        <v>#NAME?</v>
      </c>
      <c r="BD13" t="e">
        <f ca="1">(BC13-'Tableaux aéro'!U11)/(([1]!InterpCn(Géométrie!$B$4,$A13,(Géométrie!$B$131-Géométrie!$B$121)/Géométrie!$B$3)-[1]!InterpCn(Géométrie!$B$4,$A13,0))*PI()*Géométrie!$B$3^2/4/$B$1)</f>
        <v>#NAME?</v>
      </c>
      <c r="BE13" t="e">
        <f ca="1">'Tableaux aéro'!U11+(([1]!InterpCn(Géométrie!$B$4,$A13,$BB$3/Géométrie!$B$3)-[1]!InterpCn(Géométrie!$B$4,$A13,0))*PI()*Géométrie!$B$3^2/4/$B$1)*BD13</f>
        <v>#NAME?</v>
      </c>
      <c r="BG13" t="e">
        <f t="shared" ca="1" si="8"/>
        <v>#NAME?</v>
      </c>
      <c r="BH13" t="e">
        <f ca="1">(BG13-'Tableaux aéro'!U11*'Tableaux aéro'!AE11/$B$2)/(([1]!InterpCm(Géométrie!$B$4,$A13,(Géométrie!$B$131-Géométrie!$B$121)/Géométrie!$B$3)-[1]!InterpCm(Géométrie!$B$4,$A13,0))*PI()*Géométrie!$B$3^2/4/$B$1)</f>
        <v>#NAME?</v>
      </c>
      <c r="BI13" t="e">
        <f ca="1">'Tableaux aéro'!U11*'Tableaux aéro'!AE11/$B$2+BH13*(([1]!InterpCm(Géométrie!$B$4,$A13,$BB$3/Géométrie!$B$3)-[1]!InterpCm(Géométrie!$B$4,$A13,0))*PI()*Géométrie!$B$3^2/4/$B$1)</f>
        <v>#NAME?</v>
      </c>
      <c r="BK13" t="e">
        <f t="shared" ca="1" si="9"/>
        <v>#NAME?</v>
      </c>
    </row>
    <row r="14" spans="1:65">
      <c r="A14" s="85">
        <v>0.96</v>
      </c>
      <c r="B14" s="39" t="e">
        <f ca="1">('Tableaux aéro'!U12)*PI()*Géométrie!$B$3^2/4/$B$1</f>
        <v>#NAME?</v>
      </c>
      <c r="C14" s="39" t="e">
        <f ca="1">'Tableaux aéro'!M82*A14*Géométrie!$B$2</f>
        <v>#NAME?</v>
      </c>
      <c r="D14" s="39" t="e">
        <f ca="1">'Tableaux aéro'!J12*PI()*Géométrie!$B$3^2/4/$B$1</f>
        <v>#NAME?</v>
      </c>
      <c r="E14" s="39" t="e">
        <f ca="1">Géométrie!$F$13-('Tableaux aéro'!AE12)*Géométrie!$B$3</f>
        <v>#NAME?</v>
      </c>
      <c r="F14" s="39" t="e">
        <f t="shared" ca="1" si="0"/>
        <v>#NAME?</v>
      </c>
      <c r="G14" s="39" t="e">
        <f ca="1">([1]!InterpCn(Géométrie!$B$4,$A14,Géométrie!$B$18)-[1]!InterpCn(Géométrie!$B$4,$A14,0))*PI()*Géométrie!$B$3^2/4/$B$1</f>
        <v>#NAME?</v>
      </c>
      <c r="H14" s="207" t="e">
        <f ca="1">'Tableaux aéro'!S82</f>
        <v>#NAME?</v>
      </c>
      <c r="I14" s="39" t="e">
        <f t="shared" ca="1" si="1"/>
        <v>#NAME?</v>
      </c>
      <c r="J14" s="39" t="e">
        <f ca="1">([1]!InterpCm(Géométrie!$B$4,$A14,Géométrie!$B$18)-[1]!InterpCm(Géométrie!$B$4,$A14,0))*PI()*Géométrie!$B$3^2/4/$B$1*$J$2/$B$2+G14*(Géométrie!$F$13-Géométrie!$B$3/(2*TAN(Géométrie!$B$4*PI()/180)))*1/$B$2</f>
        <v>#NAME?</v>
      </c>
      <c r="K14" s="216" t="e">
        <f ca="1">'Tableaux aéro'!L12*PI()/180*PI()*Géométrie!$B$3^2/4/$B$1</f>
        <v>#NAME?</v>
      </c>
      <c r="L14" s="216">
        <f>'Tableaux aéro'!B12*PI()*Géométrie!$B$3^2/4/$B$1</f>
        <v>0.1856614421875</v>
      </c>
      <c r="M14" s="216" t="e">
        <f ca="1">'Tableaux aéro'!W12*Géométrie!$B$3</f>
        <v>#NAME?</v>
      </c>
      <c r="N14" s="216" t="e">
        <f ca="1">K14*(M14-Géométrie!$F$12)/$B$2</f>
        <v>#NAME?</v>
      </c>
      <c r="O14" s="217" t="e">
        <f ca="1">[1]!InterpCn(10,$A14,Géométrie!$F$13/Géométrie!$B$3)*Géométrie!$B$3^2*PI()/4/Aerodynamique!$B$1</f>
        <v>#NAME?</v>
      </c>
      <c r="P14" s="216" t="e">
        <f ca="1">'Tableaux aéro'!M82*A14*Géométrie!$F$13</f>
        <v>#NAME?</v>
      </c>
      <c r="Q14" s="216" t="e">
        <f ca="1">0.445/POWER(LOG(P14),2.58)/POWER(1+0.15*A14^2,0.58)*Géométrie!$B$10/$B$1</f>
        <v>#NAME?</v>
      </c>
      <c r="R14" s="216"/>
      <c r="S14" s="216" t="e">
        <f ca="1">[1]!InterpCm(10,$A14,Géométrie!$F$13/Géométrie!$B$3)*Géométrie!$B$3^2*PI()/4/$B$1</f>
        <v>#NAME?</v>
      </c>
      <c r="T14" s="218"/>
      <c r="U14" s="150"/>
      <c r="V14" s="150"/>
      <c r="W14" s="219"/>
      <c r="X14" s="150"/>
      <c r="Y14" s="220" t="e">
        <f ca="1">[1]!interpol(A14,'[2]CA basé sur Ariane 3'!$A$6:$A$23,'[2]CA basé sur Ariane 3'!$B$6:$B$23)*PI()*Géométrie!$B$3^2/4/$B$1</f>
        <v>#NAME?</v>
      </c>
      <c r="Z14" s="213">
        <f>0.6*Géométrie!$B$81+Géométrie!$B$16+Géométrie!$B$2</f>
        <v>10.140938348728373</v>
      </c>
      <c r="AA14" s="219"/>
      <c r="AB14" s="218"/>
      <c r="AC14" s="39" t="e">
        <f ca="1">'Tableaux aéro'!R82</f>
        <v>#NAME?</v>
      </c>
      <c r="AD14" s="220" t="e">
        <f t="shared" ca="1" si="2"/>
        <v>#NAME?</v>
      </c>
      <c r="AE14" s="150"/>
      <c r="AF14" s="249" t="e">
        <f ca="1">[1]!interpol(A14,[4]jupA_data!$A$2:$A$10,[4]jupA_data!$B$2:$B$10)*PI()*(Géométrie!$B$114^2-Géométrie!$B$85^2)/$B$1*COS(Géométrie!$I$96*PI()/180)^2/100</f>
        <v>#NAME?</v>
      </c>
      <c r="AG14" s="83" t="e">
        <f ca="1">[3]!interpol(A14,'[2]CA basé sur Ariane 3'!$A$6:$A$23,'[2]CA basé sur Ariane 3'!$B$6:$B$23)*PI()*Géométrie!$B$73^2/4/$B$1</f>
        <v>#NAME?</v>
      </c>
      <c r="AH14" s="220">
        <f>0.4*(Géométrie!$B$110-Géométrie!$B$111)+Géométrie!$B$84+Géométrie!$B$16+Géométrie!$B$3</f>
        <v>20.498665767514421</v>
      </c>
      <c r="AI14" s="220" t="e">
        <f t="shared" ca="1" si="3"/>
        <v>#NAME?</v>
      </c>
      <c r="AJ14" s="249" t="e">
        <f ca="1">([1]!InterpCn(Géométrie!$I$96,$A14,Géométrie!$B$113)-[1]!InterpCn(Géométrie!$I$96,$A14,0))*PI()*Géométrie!$B$114^2/4</f>
        <v>#NAME?</v>
      </c>
      <c r="AK14" s="39" t="e">
        <f ca="1">'Tableaux aéro'!W82</f>
        <v>#NAME?</v>
      </c>
      <c r="AL14" s="220" t="e">
        <f t="shared" ca="1" si="4"/>
        <v>#NAME?</v>
      </c>
      <c r="AM14" s="253" t="e">
        <f ca="1">(([1]!InterpCm(Géométrie!$I$96,$A14,Géométrie!$B$113)-[1]!InterpCm(Géométrie!$I$96,$A14,0))*PI()*Géométrie!$B$114^2/4/$B$1*$AM$2/$B$2)+AJ14*(-Géométrie!$B$114/2/TAN(Géométrie!$I$96*PI()/180)+Géométrie!$B$2+Géométrie!$B$16+Géométrie!$B$84+Géométrie!$B$110-Géométrie!$B$111)/$B$2</f>
        <v>#NAME?</v>
      </c>
      <c r="AN14" s="150"/>
      <c r="AO14" s="220" t="e">
        <f ca="1">[1]!interpol(A14,'[2]CA basé sur Ariane 3'!$A$6:$A$23,'[2]CA basé sur Ariane 3'!$B$6:$B$23)</f>
        <v>#NAME?</v>
      </c>
      <c r="AP14" s="220">
        <f>0.6*(Géométrie!$B$104+Géométrie!$B$137)+Géométrie!$B$16+Géométrie!$B$13+Géométrie!$B$2+Géométrie!$B$84-Géométrie!$B$104</f>
        <v>24.847187000000002</v>
      </c>
      <c r="AQ14" s="219"/>
      <c r="AR14" s="150"/>
      <c r="AS14" s="39" t="e">
        <f ca="1">'Tableaux aéro'!Y82</f>
        <v>#NAME?</v>
      </c>
      <c r="AT14" s="220" t="e">
        <f t="shared" ca="1" si="5"/>
        <v>#NAME?</v>
      </c>
      <c r="AU14" s="219"/>
      <c r="AV14" s="221" t="e">
        <f ca="1">-'Tableaux aéro'!B120*('Tableaux aéro'!$E$112-'Tableaux aéro'!$E$113)/Aerodynamique!$B$1</f>
        <v>#NAME?</v>
      </c>
      <c r="AW14" s="221" t="e">
        <f ca="1">'Tableaux aéro'!S82</f>
        <v>#NAME?</v>
      </c>
      <c r="AX14" s="73"/>
      <c r="AY14" t="e">
        <f t="shared" ca="1" si="6"/>
        <v>#NAME?</v>
      </c>
      <c r="AZ14" t="e">
        <f ca="1">(AY14-AV14-'Tableaux aéro'!J12)/AW14</f>
        <v>#NAME?</v>
      </c>
      <c r="BA14" t="e">
        <f ca="1">'Tableaux aéro'!J12+'Tableaux aéro'!T82*AZ14</f>
        <v>#NAME?</v>
      </c>
      <c r="BC14" t="e">
        <f t="shared" ca="1" si="7"/>
        <v>#NAME?</v>
      </c>
      <c r="BD14" t="e">
        <f ca="1">(BC14-'Tableaux aéro'!U12)/(([1]!InterpCn(Géométrie!$B$4,$A14,(Géométrie!$B$131-Géométrie!$B$121)/Géométrie!$B$3)-[1]!InterpCn(Géométrie!$B$4,$A14,0))*PI()*Géométrie!$B$3^2/4/$B$1)</f>
        <v>#NAME?</v>
      </c>
      <c r="BE14" t="e">
        <f ca="1">'Tableaux aéro'!U12+(([1]!InterpCn(Géométrie!$B$4,$A14,$BB$3/Géométrie!$B$3)-[1]!InterpCn(Géométrie!$B$4,$A14,0))*PI()*Géométrie!$B$3^2/4/$B$1)*BD14</f>
        <v>#NAME?</v>
      </c>
      <c r="BG14" t="e">
        <f t="shared" ca="1" si="8"/>
        <v>#NAME?</v>
      </c>
      <c r="BH14" t="e">
        <f ca="1">(BG14-'Tableaux aéro'!U12*'Tableaux aéro'!AE12/$B$2)/(([1]!InterpCm(Géométrie!$B$4,$A14,(Géométrie!$B$131-Géométrie!$B$121)/Géométrie!$B$3)-[1]!InterpCm(Géométrie!$B$4,$A14,0))*PI()*Géométrie!$B$3^2/4/$B$1)</f>
        <v>#NAME?</v>
      </c>
      <c r="BI14" t="e">
        <f ca="1">'Tableaux aéro'!U12*'Tableaux aéro'!AE12/$B$2+BH14*(([1]!InterpCm(Géométrie!$B$4,$A14,$BB$3/Géométrie!$B$3)-[1]!InterpCm(Géométrie!$B$4,$A14,0))*PI()*Géométrie!$B$3^2/4/$B$1)</f>
        <v>#NAME?</v>
      </c>
      <c r="BK14" t="e">
        <f t="shared" ca="1" si="9"/>
        <v>#NAME?</v>
      </c>
    </row>
    <row r="15" spans="1:65">
      <c r="A15" s="85">
        <v>0.98</v>
      </c>
      <c r="B15" s="39" t="e">
        <f ca="1">('Tableaux aéro'!U13)*PI()*Géométrie!$B$3^2/4/$B$1</f>
        <v>#NAME?</v>
      </c>
      <c r="C15" s="39" t="e">
        <f ca="1">'Tableaux aéro'!M83*A15*Géométrie!$B$2</f>
        <v>#NAME?</v>
      </c>
      <c r="D15" s="39" t="e">
        <f ca="1">'Tableaux aéro'!J13*PI()*Géométrie!$B$3^2/4/$B$1</f>
        <v>#NAME?</v>
      </c>
      <c r="E15" s="39" t="e">
        <f ca="1">Géométrie!$F$13-('Tableaux aéro'!AE13)*Géométrie!$B$3</f>
        <v>#NAME?</v>
      </c>
      <c r="F15" s="39" t="e">
        <f t="shared" ca="1" si="0"/>
        <v>#NAME?</v>
      </c>
      <c r="G15" s="39" t="e">
        <f ca="1">([1]!InterpCn(Géométrie!$B$4,$A15,Géométrie!$B$18)-[1]!InterpCn(Géométrie!$B$4,$A15,0))*PI()*Géométrie!$B$3^2/4/$B$1</f>
        <v>#NAME?</v>
      </c>
      <c r="H15" s="207" t="e">
        <f ca="1">'Tableaux aéro'!S83</f>
        <v>#NAME?</v>
      </c>
      <c r="I15" s="39" t="e">
        <f t="shared" ca="1" si="1"/>
        <v>#NAME?</v>
      </c>
      <c r="J15" s="39" t="e">
        <f ca="1">([1]!InterpCm(Géométrie!$B$4,$A15,Géométrie!$B$18)-[1]!InterpCm(Géométrie!$B$4,$A15,0))*PI()*Géométrie!$B$3^2/4/$B$1*$J$2/$B$2+G15*(Géométrie!$F$13-Géométrie!$B$3/(2*TAN(Géométrie!$B$4*PI()/180)))*1/$B$2</f>
        <v>#NAME?</v>
      </c>
      <c r="K15" s="216" t="e">
        <f ca="1">'Tableaux aéro'!L13*PI()/180*PI()*Géométrie!$B$3^2/4/$B$1</f>
        <v>#NAME?</v>
      </c>
      <c r="L15" s="216">
        <f>'Tableaux aéro'!B13*PI()*Géométrie!$B$3^2/4/$B$1</f>
        <v>0.19832784062499997</v>
      </c>
      <c r="M15" s="216" t="e">
        <f ca="1">'Tableaux aéro'!W13*Géométrie!$B$3</f>
        <v>#NAME?</v>
      </c>
      <c r="N15" s="216" t="e">
        <f ca="1">K15*(M15-Géométrie!$F$12)/$B$2</f>
        <v>#NAME?</v>
      </c>
      <c r="O15" s="217" t="e">
        <f ca="1">[1]!InterpCn(10,$A15,Géométrie!$F$13/Géométrie!$B$3)*Géométrie!$B$3^2*PI()/4/Aerodynamique!$B$1</f>
        <v>#NAME?</v>
      </c>
      <c r="P15" s="216" t="e">
        <f ca="1">'Tableaux aéro'!M83*A15*Géométrie!$F$13</f>
        <v>#NAME?</v>
      </c>
      <c r="Q15" s="216" t="e">
        <f ca="1">0.445/POWER(LOG(P15),2.58)/POWER(1+0.15*A15^2,0.58)*Géométrie!$B$10/$B$1</f>
        <v>#NAME?</v>
      </c>
      <c r="R15" s="216"/>
      <c r="S15" s="216" t="e">
        <f ca="1">[1]!InterpCm(10,$A15,Géométrie!$F$13/Géométrie!$B$3)*Géométrie!$B$3^2*PI()/4/$B$1</f>
        <v>#NAME?</v>
      </c>
      <c r="T15" s="218"/>
      <c r="U15" s="150"/>
      <c r="V15" s="150"/>
      <c r="W15" s="219"/>
      <c r="X15" s="150"/>
      <c r="Y15" s="220" t="e">
        <f ca="1">[1]!interpol(A15,'[2]CA basé sur Ariane 3'!$A$6:$A$23,'[2]CA basé sur Ariane 3'!$B$6:$B$23)*PI()*Géométrie!$B$3^2/4/$B$1</f>
        <v>#NAME?</v>
      </c>
      <c r="Z15" s="213">
        <f>0.6*Géométrie!$B$81+Géométrie!$B$16+Géométrie!$B$2</f>
        <v>10.140938348728373</v>
      </c>
      <c r="AA15" s="219"/>
      <c r="AB15" s="218"/>
      <c r="AC15" s="39" t="e">
        <f ca="1">'Tableaux aéro'!R83</f>
        <v>#NAME?</v>
      </c>
      <c r="AD15" s="220" t="e">
        <f t="shared" ca="1" si="2"/>
        <v>#NAME?</v>
      </c>
      <c r="AE15" s="150"/>
      <c r="AF15" s="249" t="e">
        <f ca="1">[1]!interpol(A15,[4]jupA_data!$A$2:$A$10,[4]jupA_data!$B$2:$B$10)*PI()*(Géométrie!$B$114^2-Géométrie!$B$85^2)/$B$1*COS(Géométrie!$I$96*PI()/180)^2/100</f>
        <v>#NAME?</v>
      </c>
      <c r="AG15" s="83" t="e">
        <f ca="1">[3]!interpol(A15,'[2]CA basé sur Ariane 3'!$A$6:$A$23,'[2]CA basé sur Ariane 3'!$B$6:$B$23)*PI()*Géométrie!$B$73^2/4/$B$1</f>
        <v>#NAME?</v>
      </c>
      <c r="AH15" s="220">
        <f>0.4*(Géométrie!$B$110-Géométrie!$B$111)+Géométrie!$B$84+Géométrie!$B$16+Géométrie!$B$3</f>
        <v>20.498665767514421</v>
      </c>
      <c r="AI15" s="220" t="e">
        <f t="shared" ca="1" si="3"/>
        <v>#NAME?</v>
      </c>
      <c r="AJ15" s="249" t="e">
        <f ca="1">([1]!InterpCn(Géométrie!$I$96,$A15,Géométrie!$B$113)-[1]!InterpCn(Géométrie!$I$96,$A15,0))*PI()*Géométrie!$B$114^2/4</f>
        <v>#NAME?</v>
      </c>
      <c r="AK15" s="39" t="e">
        <f ca="1">'Tableaux aéro'!W83</f>
        <v>#NAME?</v>
      </c>
      <c r="AL15" s="220" t="e">
        <f t="shared" ca="1" si="4"/>
        <v>#NAME?</v>
      </c>
      <c r="AM15" s="253" t="e">
        <f ca="1">(([1]!InterpCm(Géométrie!$I$96,$A15,Géométrie!$B$113)-[1]!InterpCm(Géométrie!$I$96,$A15,0))*PI()*Géométrie!$B$114^2/4/$B$1*$AM$2/$B$2)+AJ15*(-Géométrie!$B$114/2/TAN(Géométrie!$I$96*PI()/180)+Géométrie!$B$2+Géométrie!$B$16+Géométrie!$B$84+Géométrie!$B$110-Géométrie!$B$111)/$B$2</f>
        <v>#NAME?</v>
      </c>
      <c r="AN15" s="150"/>
      <c r="AO15" s="220" t="e">
        <f ca="1">[1]!interpol(A15,'[2]CA basé sur Ariane 3'!$A$6:$A$23,'[2]CA basé sur Ariane 3'!$B$6:$B$23)</f>
        <v>#NAME?</v>
      </c>
      <c r="AP15" s="220">
        <f>0.6*(Géométrie!$B$104+Géométrie!$B$137)+Géométrie!$B$16+Géométrie!$B$13+Géométrie!$B$2+Géométrie!$B$84-Géométrie!$B$104</f>
        <v>24.847187000000002</v>
      </c>
      <c r="AQ15" s="219"/>
      <c r="AR15" s="150"/>
      <c r="AS15" s="39" t="e">
        <f ca="1">'Tableaux aéro'!Y83</f>
        <v>#NAME?</v>
      </c>
      <c r="AT15" s="220" t="e">
        <f t="shared" ca="1" si="5"/>
        <v>#NAME?</v>
      </c>
      <c r="AU15" s="219"/>
      <c r="AV15" s="221" t="e">
        <f ca="1">-'Tableaux aéro'!B121*('Tableaux aéro'!$E$112-'Tableaux aéro'!$E$113)/Aerodynamique!$B$1</f>
        <v>#NAME?</v>
      </c>
      <c r="AW15" s="221" t="e">
        <f ca="1">'Tableaux aéro'!S83</f>
        <v>#NAME?</v>
      </c>
      <c r="AX15" s="73"/>
      <c r="AY15" t="e">
        <f t="shared" ca="1" si="6"/>
        <v>#NAME?</v>
      </c>
      <c r="AZ15" t="e">
        <f ca="1">(AY15-AV15-'Tableaux aéro'!J13)/AW15</f>
        <v>#NAME?</v>
      </c>
      <c r="BA15" t="e">
        <f ca="1">'Tableaux aéro'!J13+'Tableaux aéro'!T83*AZ15</f>
        <v>#NAME?</v>
      </c>
      <c r="BC15" t="e">
        <f t="shared" ca="1" si="7"/>
        <v>#NAME?</v>
      </c>
      <c r="BD15" t="e">
        <f ca="1">(BC15-'Tableaux aéro'!U13)/(([1]!InterpCn(Géométrie!$B$4,$A15,(Géométrie!$B$131-Géométrie!$B$121)/Géométrie!$B$3)-[1]!InterpCn(Géométrie!$B$4,$A15,0))*PI()*Géométrie!$B$3^2/4/$B$1)</f>
        <v>#NAME?</v>
      </c>
      <c r="BE15" t="e">
        <f ca="1">'Tableaux aéro'!U13+(([1]!InterpCn(Géométrie!$B$4,$A15,$BB$3/Géométrie!$B$3)-[1]!InterpCn(Géométrie!$B$4,$A15,0))*PI()*Géométrie!$B$3^2/4/$B$1)*BD15</f>
        <v>#NAME?</v>
      </c>
      <c r="BG15" t="e">
        <f t="shared" ca="1" si="8"/>
        <v>#NAME?</v>
      </c>
      <c r="BH15" t="e">
        <f ca="1">(BG15-'Tableaux aéro'!U13*'Tableaux aéro'!AE13/$B$2)/(([1]!InterpCm(Géométrie!$B$4,$A15,(Géométrie!$B$131-Géométrie!$B$121)/Géométrie!$B$3)-[1]!InterpCm(Géométrie!$B$4,$A15,0))*PI()*Géométrie!$B$3^2/4/$B$1)</f>
        <v>#NAME?</v>
      </c>
      <c r="BI15" t="e">
        <f ca="1">'Tableaux aéro'!U13*'Tableaux aéro'!AE13/$B$2+BH15*(([1]!InterpCm(Géométrie!$B$4,$A15,$BB$3/Géométrie!$B$3)-[1]!InterpCm(Géométrie!$B$4,$A15,0))*PI()*Géométrie!$B$3^2/4/$B$1)</f>
        <v>#NAME?</v>
      </c>
      <c r="BK15" t="e">
        <f t="shared" ca="1" si="9"/>
        <v>#NAME?</v>
      </c>
    </row>
    <row r="16" spans="1:65">
      <c r="A16" s="85">
        <v>1</v>
      </c>
      <c r="B16" s="39" t="e">
        <f ca="1">('Tableaux aéro'!U14)*PI()*Géométrie!$B$3^2/4/$B$1</f>
        <v>#NAME?</v>
      </c>
      <c r="C16" s="39" t="e">
        <f ca="1">'Tableaux aéro'!M84*A16*Géométrie!$B$2</f>
        <v>#NAME?</v>
      </c>
      <c r="D16" s="39" t="e">
        <f ca="1">'Tableaux aéro'!J14*PI()*Géométrie!$B$3^2/4/$B$1</f>
        <v>#NAME?</v>
      </c>
      <c r="E16" s="39" t="e">
        <f ca="1">Géométrie!$F$13-('Tableaux aéro'!AE14)*Géométrie!$B$3</f>
        <v>#NAME?</v>
      </c>
      <c r="F16" s="39" t="e">
        <f t="shared" ca="1" si="0"/>
        <v>#NAME?</v>
      </c>
      <c r="G16" s="39" t="e">
        <f ca="1">([1]!InterpCn(Géométrie!$B$4,$A16,Géométrie!$B$18)-[1]!InterpCn(Géométrie!$B$4,$A16,0))*PI()*Géométrie!$B$3^2/4/$B$1</f>
        <v>#NAME?</v>
      </c>
      <c r="H16" s="207" t="e">
        <f ca="1">'Tableaux aéro'!S84</f>
        <v>#NAME?</v>
      </c>
      <c r="I16" s="39" t="e">
        <f t="shared" ca="1" si="1"/>
        <v>#NAME?</v>
      </c>
      <c r="J16" s="39" t="e">
        <f ca="1">([1]!InterpCm(Géométrie!$B$4,$A16,Géométrie!$B$18)-[1]!InterpCm(Géométrie!$B$4,$A16,0))*PI()*Géométrie!$B$3^2/4/$B$1*$J$2/$B$2+G16*(Géométrie!$F$13-Géométrie!$B$3/(2*TAN(Géométrie!$B$4*PI()/180)))*1/$B$2</f>
        <v>#NAME?</v>
      </c>
      <c r="K16" s="216" t="e">
        <f ca="1">'Tableaux aéro'!L14*PI()/180*PI()*Géométrie!$B$3^2/4/$B$1</f>
        <v>#NAME?</v>
      </c>
      <c r="L16" s="216">
        <f>'Tableaux aéro'!B14*PI()*Géométrie!$B$3^2/4/$B$1</f>
        <v>0.21111040468749998</v>
      </c>
      <c r="M16" s="216" t="e">
        <f ca="1">'Tableaux aéro'!W14*Géométrie!$B$3</f>
        <v>#NAME?</v>
      </c>
      <c r="N16" s="216" t="e">
        <f ca="1">K16*(M16-Géométrie!$F$12)/$B$2</f>
        <v>#NAME?</v>
      </c>
      <c r="O16" s="217" t="e">
        <f ca="1">[1]!InterpCn(10,$A16,Géométrie!$F$13/Géométrie!$B$3)*Géométrie!$B$3^2*PI()/4/Aerodynamique!$B$1</f>
        <v>#NAME?</v>
      </c>
      <c r="P16" s="216" t="e">
        <f ca="1">'Tableaux aéro'!M84*A16*Géométrie!$F$13</f>
        <v>#NAME?</v>
      </c>
      <c r="Q16" s="216" t="e">
        <f ca="1">0.445/POWER(LOG(P16),2.58)/POWER(1+0.15*A16^2,0.58)*Géométrie!$B$10/$B$1</f>
        <v>#NAME?</v>
      </c>
      <c r="R16" s="216"/>
      <c r="S16" s="216" t="e">
        <f ca="1">[1]!InterpCm(10,$A16,Géométrie!$F$13/Géométrie!$B$3)*Géométrie!$B$3^2*PI()/4/$B$1</f>
        <v>#NAME?</v>
      </c>
      <c r="T16" s="218"/>
      <c r="U16" s="150"/>
      <c r="V16" s="150"/>
      <c r="W16" s="219"/>
      <c r="X16" s="150"/>
      <c r="Y16" s="220" t="e">
        <f ca="1">[1]!interpol(A16,'[2]CA basé sur Ariane 3'!$A$6:$A$23,'[2]CA basé sur Ariane 3'!$B$6:$B$23)*PI()*Géométrie!$B$3^2/4/$B$1</f>
        <v>#NAME?</v>
      </c>
      <c r="Z16" s="213">
        <f>0.6*Géométrie!$B$81+Géométrie!$B$16+Géométrie!$B$2</f>
        <v>10.140938348728373</v>
      </c>
      <c r="AA16" s="219"/>
      <c r="AB16" s="218"/>
      <c r="AC16" s="39" t="e">
        <f ca="1">'Tableaux aéro'!R84</f>
        <v>#NAME?</v>
      </c>
      <c r="AD16" s="220" t="e">
        <f t="shared" ca="1" si="2"/>
        <v>#NAME?</v>
      </c>
      <c r="AE16" s="150"/>
      <c r="AF16" s="249" t="e">
        <f ca="1">[1]!interpol(A16,[4]jupA_data!$A$2:$A$10,[4]jupA_data!$B$2:$B$10)*PI()*(Géométrie!$B$114^2-Géométrie!$B$85^2)/$B$1*COS(Géométrie!$I$96*PI()/180)^2/100</f>
        <v>#NAME?</v>
      </c>
      <c r="AG16" s="83" t="e">
        <f ca="1">[3]!interpol(A16,'[2]CA basé sur Ariane 3'!$A$6:$A$23,'[2]CA basé sur Ariane 3'!$B$6:$B$23)*PI()*Géométrie!$B$73^2/4/$B$1</f>
        <v>#NAME?</v>
      </c>
      <c r="AH16" s="220">
        <f>0.4*(Géométrie!$B$110-Géométrie!$B$111)+Géométrie!$B$84+Géométrie!$B$16+Géométrie!$B$3</f>
        <v>20.498665767514421</v>
      </c>
      <c r="AI16" s="220" t="e">
        <f t="shared" ca="1" si="3"/>
        <v>#NAME?</v>
      </c>
      <c r="AJ16" s="249" t="e">
        <f ca="1">([1]!InterpCn(Géométrie!$I$96,$A16,Géométrie!$B$113)-[1]!InterpCn(Géométrie!$I$96,$A16,0))*PI()*Géométrie!$B$114^2/4</f>
        <v>#NAME?</v>
      </c>
      <c r="AK16" s="39" t="e">
        <f ca="1">'Tableaux aéro'!W84</f>
        <v>#NAME?</v>
      </c>
      <c r="AL16" s="220" t="e">
        <f t="shared" ca="1" si="4"/>
        <v>#NAME?</v>
      </c>
      <c r="AM16" s="253" t="e">
        <f ca="1">(([1]!InterpCm(Géométrie!$I$96,$A16,Géométrie!$B$113)-[1]!InterpCm(Géométrie!$I$96,$A16,0))*PI()*Géométrie!$B$114^2/4/$B$1*$AM$2/$B$2)+AJ16*(-Géométrie!$B$114/2/TAN(Géométrie!$I$96*PI()/180)+Géométrie!$B$2+Géométrie!$B$16+Géométrie!$B$84+Géométrie!$B$110-Géométrie!$B$111)/$B$2</f>
        <v>#NAME?</v>
      </c>
      <c r="AN16" s="150"/>
      <c r="AO16" s="220" t="e">
        <f ca="1">[1]!interpol(A16,'[2]CA basé sur Ariane 3'!$A$6:$A$23,'[2]CA basé sur Ariane 3'!$B$6:$B$23)</f>
        <v>#NAME?</v>
      </c>
      <c r="AP16" s="220">
        <f>0.6*(Géométrie!$B$104+Géométrie!$B$137)+Géométrie!$B$16+Géométrie!$B$13+Géométrie!$B$2+Géométrie!$B$84-Géométrie!$B$104</f>
        <v>24.847187000000002</v>
      </c>
      <c r="AQ16" s="219"/>
      <c r="AR16" s="150"/>
      <c r="AS16" s="39" t="e">
        <f ca="1">'Tableaux aéro'!Y84</f>
        <v>#NAME?</v>
      </c>
      <c r="AT16" s="220" t="e">
        <f t="shared" ca="1" si="5"/>
        <v>#NAME?</v>
      </c>
      <c r="AU16" s="219"/>
      <c r="AV16" s="221" t="e">
        <f ca="1">-'Tableaux aéro'!B122*('Tableaux aéro'!$E$112-'Tableaux aéro'!$E$113)/Aerodynamique!$B$1</f>
        <v>#NAME?</v>
      </c>
      <c r="AW16" s="221" t="e">
        <f ca="1">'Tableaux aéro'!S84</f>
        <v>#NAME?</v>
      </c>
      <c r="AX16" s="73"/>
      <c r="AY16" t="e">
        <f t="shared" ca="1" si="6"/>
        <v>#NAME?</v>
      </c>
      <c r="AZ16" t="e">
        <f ca="1">(AY16-AV16-'Tableaux aéro'!J14)/AW16</f>
        <v>#NAME?</v>
      </c>
      <c r="BA16" t="e">
        <f ca="1">'Tableaux aéro'!J14+'Tableaux aéro'!T84*AZ16</f>
        <v>#NAME?</v>
      </c>
      <c r="BC16" t="e">
        <f t="shared" ca="1" si="7"/>
        <v>#NAME?</v>
      </c>
      <c r="BD16" t="e">
        <f ca="1">(BC16-'Tableaux aéro'!U14)/(([1]!InterpCn(Géométrie!$B$4,$A16,(Géométrie!$B$131-Géométrie!$B$121)/Géométrie!$B$3)-[1]!InterpCn(Géométrie!$B$4,$A16,0))*PI()*Géométrie!$B$3^2/4/$B$1)</f>
        <v>#NAME?</v>
      </c>
      <c r="BE16" t="e">
        <f ca="1">'Tableaux aéro'!U14+(([1]!InterpCn(Géométrie!$B$4,$A16,$BB$3/Géométrie!$B$3)-[1]!InterpCn(Géométrie!$B$4,$A16,0))*PI()*Géométrie!$B$3^2/4/$B$1)*BD16</f>
        <v>#NAME?</v>
      </c>
      <c r="BG16" t="e">
        <f t="shared" ca="1" si="8"/>
        <v>#NAME?</v>
      </c>
      <c r="BH16" t="e">
        <f ca="1">(BG16-'Tableaux aéro'!U14*'Tableaux aéro'!AE14/$B$2)/(([1]!InterpCm(Géométrie!$B$4,$A16,(Géométrie!$B$131-Géométrie!$B$121)/Géométrie!$B$3)-[1]!InterpCm(Géométrie!$B$4,$A16,0))*PI()*Géométrie!$B$3^2/4/$B$1)</f>
        <v>#NAME?</v>
      </c>
      <c r="BI16" t="e">
        <f ca="1">'Tableaux aéro'!U14*'Tableaux aéro'!AE14/$B$2+BH16*(([1]!InterpCm(Géométrie!$B$4,$A16,$BB$3/Géométrie!$B$3)-[1]!InterpCm(Géométrie!$B$4,$A16,0))*PI()*Géométrie!$B$3^2/4/$B$1)</f>
        <v>#NAME?</v>
      </c>
      <c r="BK16" t="e">
        <f t="shared" ca="1" si="9"/>
        <v>#NAME?</v>
      </c>
    </row>
    <row r="17" spans="1:63">
      <c r="A17" s="85">
        <v>1.02</v>
      </c>
      <c r="B17" s="39" t="e">
        <f ca="1">('Tableaux aéro'!U15)*PI()*Géométrie!$B$3^2/4/$B$1</f>
        <v>#NAME?</v>
      </c>
      <c r="C17" s="39" t="e">
        <f ca="1">'Tableaux aéro'!M85*A17*Géométrie!$B$2</f>
        <v>#NAME?</v>
      </c>
      <c r="D17" s="39" t="e">
        <f ca="1">'Tableaux aéro'!J15*PI()*Géométrie!$B$3^2/4/$B$1</f>
        <v>#NAME?</v>
      </c>
      <c r="E17" s="39" t="e">
        <f ca="1">Géométrie!$F$13-('Tableaux aéro'!AE15)*Géométrie!$B$3</f>
        <v>#NAME?</v>
      </c>
      <c r="F17" s="39" t="e">
        <f t="shared" ca="1" si="0"/>
        <v>#NAME?</v>
      </c>
      <c r="G17" s="39" t="e">
        <f ca="1">([1]!InterpCn(Géométrie!$B$4,$A17,Géométrie!$B$18)-[1]!InterpCn(Géométrie!$B$4,$A17,0))*PI()*Géométrie!$B$3^2/4/$B$1</f>
        <v>#NAME?</v>
      </c>
      <c r="H17" s="207" t="e">
        <f ca="1">'Tableaux aéro'!S85</f>
        <v>#NAME?</v>
      </c>
      <c r="I17" s="39" t="e">
        <f t="shared" ca="1" si="1"/>
        <v>#NAME?</v>
      </c>
      <c r="J17" s="39" t="e">
        <f ca="1">([1]!InterpCm(Géométrie!$B$4,$A17,Géométrie!$B$18)-[1]!InterpCm(Géométrie!$B$4,$A17,0))*PI()*Géométrie!$B$3^2/4/$B$1*$J$2/$B$2+G17*(Géométrie!$F$13-Géométrie!$B$3/(2*TAN(Géométrie!$B$4*PI()/180)))*1/$B$2</f>
        <v>#NAME?</v>
      </c>
      <c r="K17" s="216" t="e">
        <f ca="1">'Tableaux aéro'!L15*PI()/180*PI()*Géométrie!$B$3^2/4/$B$1</f>
        <v>#NAME?</v>
      </c>
      <c r="L17" s="216">
        <f>'Tableaux aéro'!B15*PI()*Géométrie!$B$3^2/4/$B$1</f>
        <v>0.22389296874999992</v>
      </c>
      <c r="M17" s="216" t="e">
        <f ca="1">'Tableaux aéro'!W15*Géométrie!$B$3</f>
        <v>#NAME?</v>
      </c>
      <c r="N17" s="216" t="e">
        <f ca="1">K17*(M17-Géométrie!$F$12)/$B$2</f>
        <v>#NAME?</v>
      </c>
      <c r="O17" s="217" t="e">
        <f ca="1">[1]!InterpCn(10,$A17,Géométrie!$F$13/Géométrie!$B$3)*Géométrie!$B$3^2*PI()/4/Aerodynamique!$B$1</f>
        <v>#NAME?</v>
      </c>
      <c r="P17" s="216" t="e">
        <f ca="1">'Tableaux aéro'!M85*A17*Géométrie!$F$13</f>
        <v>#NAME?</v>
      </c>
      <c r="Q17" s="216" t="e">
        <f ca="1">0.445/POWER(LOG(P17),2.58)/POWER(1+0.15*A17^2,0.58)*Géométrie!$B$10/$B$1</f>
        <v>#NAME?</v>
      </c>
      <c r="R17" s="216"/>
      <c r="S17" s="216" t="e">
        <f ca="1">[1]!InterpCm(10,$A17,Géométrie!$F$13/Géométrie!$B$3)*Géométrie!$B$3^2*PI()/4/$B$1</f>
        <v>#NAME?</v>
      </c>
      <c r="T17" s="218"/>
      <c r="U17" s="150"/>
      <c r="V17" s="150"/>
      <c r="W17" s="219"/>
      <c r="X17" s="150"/>
      <c r="Y17" s="220" t="e">
        <f ca="1">[1]!interpol(A17,'[2]CA basé sur Ariane 3'!$A$6:$A$23,'[2]CA basé sur Ariane 3'!$B$6:$B$23)*PI()*Géométrie!$B$3^2/4/$B$1</f>
        <v>#NAME?</v>
      </c>
      <c r="Z17" s="213">
        <f>0.6*Géométrie!$B$81+Géométrie!$B$16+Géométrie!$B$2</f>
        <v>10.140938348728373</v>
      </c>
      <c r="AA17" s="219"/>
      <c r="AB17" s="218"/>
      <c r="AC17" s="39" t="e">
        <f ca="1">'Tableaux aéro'!R85</f>
        <v>#NAME?</v>
      </c>
      <c r="AD17" s="220" t="e">
        <f t="shared" ca="1" si="2"/>
        <v>#NAME?</v>
      </c>
      <c r="AE17" s="150"/>
      <c r="AF17" s="249" t="e">
        <f ca="1">[1]!interpol(A17,[4]jupA_data!$A$2:$A$10,[4]jupA_data!$B$2:$B$10)*PI()*(Géométrie!$B$114^2-Géométrie!$B$85^2)/$B$1*COS(Géométrie!$I$96*PI()/180)^2/100</f>
        <v>#NAME?</v>
      </c>
      <c r="AG17" s="83" t="e">
        <f ca="1">[3]!interpol(A17,'[2]CA basé sur Ariane 3'!$A$6:$A$23,'[2]CA basé sur Ariane 3'!$B$6:$B$23)*PI()*Géométrie!$B$73^2/4/$B$1</f>
        <v>#NAME?</v>
      </c>
      <c r="AH17" s="220">
        <f>0.4*(Géométrie!$B$110-Géométrie!$B$111)+Géométrie!$B$84+Géométrie!$B$16+Géométrie!$B$3</f>
        <v>20.498665767514421</v>
      </c>
      <c r="AI17" s="220" t="e">
        <f t="shared" ca="1" si="3"/>
        <v>#NAME?</v>
      </c>
      <c r="AJ17" s="249" t="e">
        <f ca="1">([1]!InterpCn(Géométrie!$I$96,$A17,Géométrie!$B$113)-[1]!InterpCn(Géométrie!$I$96,$A17,0))*PI()*Géométrie!$B$114^2/4</f>
        <v>#NAME?</v>
      </c>
      <c r="AK17" s="39" t="e">
        <f ca="1">'Tableaux aéro'!W85</f>
        <v>#NAME?</v>
      </c>
      <c r="AL17" s="220" t="e">
        <f t="shared" ca="1" si="4"/>
        <v>#NAME?</v>
      </c>
      <c r="AM17" s="253" t="e">
        <f ca="1">(([1]!InterpCm(Géométrie!$I$96,$A17,Géométrie!$B$113)-[1]!InterpCm(Géométrie!$I$96,$A17,0))*PI()*Géométrie!$B$114^2/4/$B$1*$AM$2/$B$2)+AJ17*(-Géométrie!$B$114/2/TAN(Géométrie!$I$96*PI()/180)+Géométrie!$B$2+Géométrie!$B$16+Géométrie!$B$84+Géométrie!$B$110-Géométrie!$B$111)/$B$2</f>
        <v>#NAME?</v>
      </c>
      <c r="AN17" s="150"/>
      <c r="AO17" s="220" t="e">
        <f ca="1">[1]!interpol(A17,'[2]CA basé sur Ariane 3'!$A$6:$A$23,'[2]CA basé sur Ariane 3'!$B$6:$B$23)</f>
        <v>#NAME?</v>
      </c>
      <c r="AP17" s="220">
        <f>0.6*(Géométrie!$B$104+Géométrie!$B$137)+Géométrie!$B$16+Géométrie!$B$13+Géométrie!$B$2+Géométrie!$B$84-Géométrie!$B$104</f>
        <v>24.847187000000002</v>
      </c>
      <c r="AQ17" s="219"/>
      <c r="AR17" s="150"/>
      <c r="AS17" s="39" t="e">
        <f ca="1">'Tableaux aéro'!Y85</f>
        <v>#NAME?</v>
      </c>
      <c r="AT17" s="220" t="e">
        <f t="shared" ca="1" si="5"/>
        <v>#NAME?</v>
      </c>
      <c r="AU17" s="219"/>
      <c r="AV17" s="221" t="e">
        <f ca="1">-'Tableaux aéro'!B123*('Tableaux aéro'!$E$112-'Tableaux aéro'!$E$113)/Aerodynamique!$B$1</f>
        <v>#NAME?</v>
      </c>
      <c r="AW17" s="221" t="e">
        <f ca="1">'Tableaux aéro'!S85</f>
        <v>#NAME?</v>
      </c>
      <c r="AX17" s="73"/>
      <c r="AY17" t="e">
        <f t="shared" ca="1" si="6"/>
        <v>#NAME?</v>
      </c>
      <c r="AZ17" t="e">
        <f ca="1">(AY17-AV17-'Tableaux aéro'!J15)/AW17</f>
        <v>#NAME?</v>
      </c>
      <c r="BA17" t="e">
        <f ca="1">'Tableaux aéro'!J15+'Tableaux aéro'!T85*AZ17</f>
        <v>#NAME?</v>
      </c>
      <c r="BC17" t="e">
        <f t="shared" ca="1" si="7"/>
        <v>#NAME?</v>
      </c>
      <c r="BD17" t="e">
        <f ca="1">(BC17-'Tableaux aéro'!U15)/(([1]!InterpCn(Géométrie!$B$4,$A17,(Géométrie!$B$131-Géométrie!$B$121)/Géométrie!$B$3)-[1]!InterpCn(Géométrie!$B$4,$A17,0))*PI()*Géométrie!$B$3^2/4/$B$1)</f>
        <v>#NAME?</v>
      </c>
      <c r="BE17" t="e">
        <f ca="1">'Tableaux aéro'!U15+(([1]!InterpCn(Géométrie!$B$4,$A17,$BB$3/Géométrie!$B$3)-[1]!InterpCn(Géométrie!$B$4,$A17,0))*PI()*Géométrie!$B$3^2/4/$B$1)*BD17</f>
        <v>#NAME?</v>
      </c>
      <c r="BG17" t="e">
        <f t="shared" ca="1" si="8"/>
        <v>#NAME?</v>
      </c>
      <c r="BH17" t="e">
        <f ca="1">(BG17-'Tableaux aéro'!U15*'Tableaux aéro'!AE15/$B$2)/(([1]!InterpCm(Géométrie!$B$4,$A17,(Géométrie!$B$131-Géométrie!$B$121)/Géométrie!$B$3)-[1]!InterpCm(Géométrie!$B$4,$A17,0))*PI()*Géométrie!$B$3^2/4/$B$1)</f>
        <v>#NAME?</v>
      </c>
      <c r="BI17" t="e">
        <f ca="1">'Tableaux aéro'!U15*'Tableaux aéro'!AE15/$B$2+BH17*(([1]!InterpCm(Géométrie!$B$4,$A17,$BB$3/Géométrie!$B$3)-[1]!InterpCm(Géométrie!$B$4,$A17,0))*PI()*Géométrie!$B$3^2/4/$B$1)</f>
        <v>#NAME?</v>
      </c>
      <c r="BK17" t="e">
        <f t="shared" ca="1" si="9"/>
        <v>#NAME?</v>
      </c>
    </row>
    <row r="18" spans="1:63">
      <c r="A18" s="85">
        <v>1.04</v>
      </c>
      <c r="B18" s="39" t="e">
        <f ca="1">('Tableaux aéro'!U16)*PI()*Géométrie!$B$3^2/4/$B$1</f>
        <v>#NAME?</v>
      </c>
      <c r="C18" s="39" t="e">
        <f ca="1">'Tableaux aéro'!M86*A18*Géométrie!$B$2</f>
        <v>#NAME?</v>
      </c>
      <c r="D18" s="39" t="e">
        <f ca="1">'Tableaux aéro'!J16*PI()*Géométrie!$B$3^2/4/$B$1</f>
        <v>#NAME?</v>
      </c>
      <c r="E18" s="39" t="e">
        <f ca="1">Géométrie!$F$13-('Tableaux aéro'!AE16)*Géométrie!$B$3</f>
        <v>#NAME?</v>
      </c>
      <c r="F18" s="39" t="e">
        <f t="shared" ca="1" si="0"/>
        <v>#NAME?</v>
      </c>
      <c r="G18" s="39" t="e">
        <f ca="1">([1]!InterpCn(Géométrie!$B$4,$A18,Géométrie!$B$18)-[1]!InterpCn(Géométrie!$B$4,$A18,0))*PI()*Géométrie!$B$3^2/4/$B$1</f>
        <v>#NAME?</v>
      </c>
      <c r="H18" s="207" t="e">
        <f ca="1">'Tableaux aéro'!S86</f>
        <v>#NAME?</v>
      </c>
      <c r="I18" s="39" t="e">
        <f t="shared" ca="1" si="1"/>
        <v>#NAME?</v>
      </c>
      <c r="J18" s="39" t="e">
        <f ca="1">([1]!InterpCm(Géométrie!$B$4,$A18,Géométrie!$B$18)-[1]!InterpCm(Géométrie!$B$4,$A18,0))*PI()*Géométrie!$B$3^2/4/$B$1*$J$2/$B$2+G18*(Géométrie!$F$13-Géométrie!$B$3/(2*TAN(Géométrie!$B$4*PI()/180)))*1/$B$2</f>
        <v>#NAME?</v>
      </c>
      <c r="K18" s="216" t="e">
        <f ca="1">'Tableaux aéro'!L16*PI()/180*PI()*Géométrie!$B$3^2/4/$B$1</f>
        <v>#NAME?</v>
      </c>
      <c r="L18" s="216">
        <f>'Tableaux aéro'!B16*PI()*Géométrie!$B$3^2/4/$B$1</f>
        <v>0.23667553124999999</v>
      </c>
      <c r="M18" s="216" t="e">
        <f ca="1">'Tableaux aéro'!W16*Géométrie!$B$3</f>
        <v>#NAME?</v>
      </c>
      <c r="N18" s="216" t="e">
        <f ca="1">K18*(M18-Géométrie!$F$12)/$B$2</f>
        <v>#NAME?</v>
      </c>
      <c r="O18" s="217" t="e">
        <f ca="1">[1]!InterpCn(10,$A18,Géométrie!$F$13/Géométrie!$B$3)*Géométrie!$B$3^2*PI()/4/Aerodynamique!$B$1</f>
        <v>#NAME?</v>
      </c>
      <c r="P18" s="216" t="e">
        <f ca="1">'Tableaux aéro'!M86*A18*Géométrie!$F$13</f>
        <v>#NAME?</v>
      </c>
      <c r="Q18" s="216" t="e">
        <f ca="1">0.445/POWER(LOG(P18),2.58)/POWER(1+0.15*A18^2,0.58)*Géométrie!$B$10/$B$1</f>
        <v>#NAME?</v>
      </c>
      <c r="R18" s="216"/>
      <c r="S18" s="216" t="e">
        <f ca="1">[1]!InterpCm(10,$A18,Géométrie!$F$13/Géométrie!$B$3)*Géométrie!$B$3^2*PI()/4/$B$1</f>
        <v>#NAME?</v>
      </c>
      <c r="T18" s="218"/>
      <c r="U18" s="150"/>
      <c r="V18" s="150"/>
      <c r="W18" s="219"/>
      <c r="X18" s="150"/>
      <c r="Y18" s="220" t="e">
        <f ca="1">[1]!interpol(A18,'[2]CA basé sur Ariane 3'!$A$6:$A$23,'[2]CA basé sur Ariane 3'!$B$6:$B$23)*PI()*Géométrie!$B$3^2/4/$B$1</f>
        <v>#NAME?</v>
      </c>
      <c r="Z18" s="213">
        <f>0.6*Géométrie!$B$81+Géométrie!$B$16+Géométrie!$B$2</f>
        <v>10.140938348728373</v>
      </c>
      <c r="AA18" s="219"/>
      <c r="AB18" s="218"/>
      <c r="AC18" s="39" t="e">
        <f ca="1">'Tableaux aéro'!R86</f>
        <v>#NAME?</v>
      </c>
      <c r="AD18" s="220" t="e">
        <f ca="1">R18-M18</f>
        <v>#NAME?</v>
      </c>
      <c r="AE18" s="150"/>
      <c r="AF18" s="249" t="e">
        <f ca="1">[1]!interpol(A18,[4]jupA_data!$A$2:$A$10,[4]jupA_data!$B$2:$B$10)*PI()*(Géométrie!$B$114^2-Géométrie!$B$85^2)/$B$1*COS(Géométrie!$I$96*PI()/180)^2/100</f>
        <v>#NAME?</v>
      </c>
      <c r="AG18" s="83" t="e">
        <f ca="1">[3]!interpol(A18,'[2]CA basé sur Ariane 3'!$A$6:$A$23,'[2]CA basé sur Ariane 3'!$B$6:$B$23)*PI()*Géométrie!$B$73^2/4/$B$1</f>
        <v>#NAME?</v>
      </c>
      <c r="AH18" s="220">
        <f>0.4*(Géométrie!$B$110-Géométrie!$B$111)+Géométrie!$B$84+Géométrie!$B$16+Géométrie!$B$3</f>
        <v>20.498665767514421</v>
      </c>
      <c r="AI18" s="220" t="e">
        <f t="shared" ca="1" si="3"/>
        <v>#NAME?</v>
      </c>
      <c r="AJ18" s="249" t="e">
        <f ca="1">([1]!InterpCn(Géométrie!$I$96,$A18,Géométrie!$B$113)-[1]!InterpCn(Géométrie!$I$96,$A18,0))*PI()*Géométrie!$B$114^2/4</f>
        <v>#NAME?</v>
      </c>
      <c r="AK18" s="39" t="e">
        <f ca="1">'Tableaux aéro'!W86</f>
        <v>#NAME?</v>
      </c>
      <c r="AL18" s="220" t="e">
        <f t="shared" ca="1" si="4"/>
        <v>#NAME?</v>
      </c>
      <c r="AM18" s="253" t="e">
        <f ca="1">(([1]!InterpCm(Géométrie!$I$96,$A18,Géométrie!$B$113)-[1]!InterpCm(Géométrie!$I$96,$A18,0))*PI()*Géométrie!$B$114^2/4/$B$1*$AM$2/$B$2)+AJ18*(-Géométrie!$B$114/2/TAN(Géométrie!$I$96*PI()/180)+Géométrie!$B$2+Géométrie!$B$16+Géométrie!$B$84+Géométrie!$B$110-Géométrie!$B$111)/$B$2</f>
        <v>#NAME?</v>
      </c>
      <c r="AN18" s="150"/>
      <c r="AO18" s="220" t="e">
        <f ca="1">[1]!interpol(A18,'[2]CA basé sur Ariane 3'!$A$6:$A$23,'[2]CA basé sur Ariane 3'!$B$6:$B$23)</f>
        <v>#NAME?</v>
      </c>
      <c r="AP18" s="220">
        <f>0.6*(Géométrie!$B$104+Géométrie!$B$137)+Géométrie!$B$16+Géométrie!$B$13+Géométrie!$B$2+Géométrie!$B$84-Géométrie!$B$104</f>
        <v>24.847187000000002</v>
      </c>
      <c r="AQ18" s="219"/>
      <c r="AR18" s="150"/>
      <c r="AS18" s="39" t="e">
        <f ca="1">'Tableaux aéro'!Y86</f>
        <v>#NAME?</v>
      </c>
      <c r="AT18" s="220" t="e">
        <f t="shared" ca="1" si="5"/>
        <v>#NAME?</v>
      </c>
      <c r="AU18" s="219"/>
      <c r="AV18" s="221" t="e">
        <f ca="1">-'Tableaux aéro'!B124*('Tableaux aéro'!$E$112-'Tableaux aéro'!$E$113)/Aerodynamique!$B$1</f>
        <v>#NAME?</v>
      </c>
      <c r="AW18" s="221" t="e">
        <f ca="1">'Tableaux aéro'!S86</f>
        <v>#NAME?</v>
      </c>
      <c r="AX18" s="73"/>
      <c r="AY18" t="e">
        <f t="shared" ca="1" si="6"/>
        <v>#NAME?</v>
      </c>
      <c r="AZ18" t="e">
        <f ca="1">(AY18-AV18-'Tableaux aéro'!J16)/AW18</f>
        <v>#NAME?</v>
      </c>
      <c r="BA18" t="e">
        <f ca="1">'Tableaux aéro'!J16+'Tableaux aéro'!T86*AZ18</f>
        <v>#NAME?</v>
      </c>
      <c r="BC18" t="e">
        <f t="shared" ca="1" si="7"/>
        <v>#NAME?</v>
      </c>
      <c r="BD18" t="e">
        <f ca="1">(BC18-'Tableaux aéro'!U16)/(([1]!InterpCn(Géométrie!$B$4,$A18,(Géométrie!$B$131-Géométrie!$B$121)/Géométrie!$B$3)-[1]!InterpCn(Géométrie!$B$4,$A18,0))*PI()*Géométrie!$B$3^2/4/$B$1)</f>
        <v>#NAME?</v>
      </c>
      <c r="BE18" t="e">
        <f ca="1">'Tableaux aéro'!U16+(([1]!InterpCn(Géométrie!$B$4,$A18,$BB$3/Géométrie!$B$3)-[1]!InterpCn(Géométrie!$B$4,$A18,0))*PI()*Géométrie!$B$3^2/4/$B$1)*BD18</f>
        <v>#NAME?</v>
      </c>
      <c r="BG18" t="e">
        <f t="shared" ca="1" si="8"/>
        <v>#NAME?</v>
      </c>
      <c r="BH18" t="e">
        <f ca="1">(BG18-'Tableaux aéro'!U16*'Tableaux aéro'!AE16/$B$2)/(([1]!InterpCm(Géométrie!$B$4,$A18,(Géométrie!$B$131-Géométrie!$B$121)/Géométrie!$B$3)-[1]!InterpCm(Géométrie!$B$4,$A18,0))*PI()*Géométrie!$B$3^2/4/$B$1)</f>
        <v>#NAME?</v>
      </c>
      <c r="BI18" t="e">
        <f ca="1">'Tableaux aéro'!U16*'Tableaux aéro'!AE16/$B$2+BH18*(([1]!InterpCm(Géométrie!$B$4,$A18,$BB$3/Géométrie!$B$3)-[1]!InterpCm(Géométrie!$B$4,$A18,0))*PI()*Géométrie!$B$3^2/4/$B$1)</f>
        <v>#NAME?</v>
      </c>
      <c r="BK18" t="e">
        <f t="shared" ca="1" si="9"/>
        <v>#NAME?</v>
      </c>
    </row>
    <row r="19" spans="1:63">
      <c r="A19" s="85">
        <v>1.06</v>
      </c>
      <c r="B19" s="39" t="e">
        <f ca="1">('Tableaux aéro'!U17)*PI()*Géométrie!$B$3^2/4/$B$1</f>
        <v>#NAME?</v>
      </c>
      <c r="C19" s="39" t="e">
        <f ca="1">'Tableaux aéro'!M87*A19*Géométrie!$B$2</f>
        <v>#NAME?</v>
      </c>
      <c r="D19" s="39" t="e">
        <f ca="1">'Tableaux aéro'!J17*PI()*Géométrie!$B$3^2/4/$B$1</f>
        <v>#NAME?</v>
      </c>
      <c r="E19" s="39" t="e">
        <f ca="1">Géométrie!$F$13-('Tableaux aéro'!AE17)*Géométrie!$B$3</f>
        <v>#NAME?</v>
      </c>
      <c r="F19" s="39" t="e">
        <f t="shared" ca="1" si="0"/>
        <v>#NAME?</v>
      </c>
      <c r="G19" s="39" t="e">
        <f ca="1">([1]!InterpCn(Géométrie!$B$4,$A19,Géométrie!$B$18)-[1]!InterpCn(Géométrie!$B$4,$A19,0))*PI()*Géométrie!$B$3^2/4/$B$1</f>
        <v>#NAME?</v>
      </c>
      <c r="H19" s="207" t="e">
        <f ca="1">'Tableaux aéro'!S87</f>
        <v>#NAME?</v>
      </c>
      <c r="I19" s="39" t="e">
        <f t="shared" ca="1" si="1"/>
        <v>#NAME?</v>
      </c>
      <c r="J19" s="39" t="e">
        <f ca="1">([1]!InterpCm(Géométrie!$B$4,$A19,Géométrie!$B$18)-[1]!InterpCm(Géométrie!$B$4,$A19,0))*PI()*Géométrie!$B$3^2/4/$B$1*$J$2/$B$2+G19*(Géométrie!$F$13-Géométrie!$B$3/(2*TAN(Géométrie!$B$4*PI()/180)))*1/$B$2</f>
        <v>#NAME?</v>
      </c>
      <c r="K19" s="216" t="e">
        <f ca="1">'Tableaux aéro'!L17*PI()/180*PI()*Géométrie!$B$3^2/4/$B$1</f>
        <v>#NAME?</v>
      </c>
      <c r="L19" s="216">
        <f>'Tableaux aéro'!B17*PI()*Géométrie!$B$3^2/4/$B$1</f>
        <v>0.24945809531249999</v>
      </c>
      <c r="M19" s="216" t="e">
        <f ca="1">'Tableaux aéro'!W17*Géométrie!$B$3</f>
        <v>#NAME?</v>
      </c>
      <c r="N19" s="216" t="e">
        <f ca="1">K19*(M19-Géométrie!$F$12)/$B$2</f>
        <v>#NAME?</v>
      </c>
      <c r="O19" s="217" t="e">
        <f ca="1">[1]!InterpCn(10,$A19,Géométrie!$F$13/Géométrie!$B$3)*Géométrie!$B$3^2*PI()/4/Aerodynamique!$B$1</f>
        <v>#NAME?</v>
      </c>
      <c r="P19" s="216" t="e">
        <f ca="1">'Tableaux aéro'!M87*A19*Géométrie!$F$13</f>
        <v>#NAME?</v>
      </c>
      <c r="Q19" s="216" t="e">
        <f ca="1">0.445/POWER(LOG(P19),2.58)/POWER(1+0.15*A19^2,0.58)*Géométrie!$B$10/$B$1</f>
        <v>#NAME?</v>
      </c>
      <c r="R19" s="216"/>
      <c r="S19" s="216" t="e">
        <f ca="1">[1]!InterpCm(10,$A19,Géométrie!$F$13/Géométrie!$B$3)*Géométrie!$B$3^2*PI()/4/$B$1</f>
        <v>#NAME?</v>
      </c>
      <c r="T19" s="218"/>
      <c r="U19" s="150"/>
      <c r="V19" s="150"/>
      <c r="W19" s="219"/>
      <c r="X19" s="150"/>
      <c r="Y19" s="220" t="e">
        <f ca="1">[1]!interpol(A19,'[2]CA basé sur Ariane 3'!$A$6:$A$23,'[2]CA basé sur Ariane 3'!$B$6:$B$23)*PI()*Géométrie!$B$3^2/4/$B$1</f>
        <v>#NAME?</v>
      </c>
      <c r="Z19" s="213">
        <f>0.6*Géométrie!$B$81+Géométrie!$B$16+Géométrie!$B$2</f>
        <v>10.140938348728373</v>
      </c>
      <c r="AA19" s="219"/>
      <c r="AB19" s="218"/>
      <c r="AC19" s="39" t="e">
        <f ca="1">'Tableaux aéro'!R87</f>
        <v>#NAME?</v>
      </c>
      <c r="AD19" s="220" t="e">
        <f t="shared" ca="1" si="2"/>
        <v>#NAME?</v>
      </c>
      <c r="AE19" s="150"/>
      <c r="AF19" s="249" t="e">
        <f ca="1">[1]!interpol(A19,[4]jupA_data!$A$2:$A$10,[4]jupA_data!$B$2:$B$10)*PI()*(Géométrie!$B$114^2-Géométrie!$B$85^2)/$B$1*COS(Géométrie!$I$96*PI()/180)^2/100</f>
        <v>#NAME?</v>
      </c>
      <c r="AG19" s="83" t="e">
        <f ca="1">[3]!interpol(A19,'[2]CA basé sur Ariane 3'!$A$6:$A$23,'[2]CA basé sur Ariane 3'!$B$6:$B$23)*PI()*Géométrie!$B$73^2/4/$B$1</f>
        <v>#NAME?</v>
      </c>
      <c r="AH19" s="220">
        <f>0.4*(Géométrie!$B$110-Géométrie!$B$111)+Géométrie!$B$84+Géométrie!$B$16+Géométrie!$B$3</f>
        <v>20.498665767514421</v>
      </c>
      <c r="AI19" s="220" t="e">
        <f t="shared" ca="1" si="3"/>
        <v>#NAME?</v>
      </c>
      <c r="AJ19" s="249" t="e">
        <f ca="1">([1]!InterpCn(Géométrie!$I$96,$A19,Géométrie!$B$113)-[1]!InterpCn(Géométrie!$I$96,$A19,0))*PI()*Géométrie!$B$114^2/4</f>
        <v>#NAME?</v>
      </c>
      <c r="AK19" s="39" t="e">
        <f ca="1">'Tableaux aéro'!W87</f>
        <v>#NAME?</v>
      </c>
      <c r="AL19" s="220" t="e">
        <f t="shared" ca="1" si="4"/>
        <v>#NAME?</v>
      </c>
      <c r="AM19" s="253" t="e">
        <f ca="1">(([1]!InterpCm(Géométrie!$I$96,$A19,Géométrie!$B$113)-[1]!InterpCm(Géométrie!$I$96,$A19,0))*PI()*Géométrie!$B$114^2/4/$B$1*$AM$2/$B$2)+AJ19*(-Géométrie!$B$114/2/TAN(Géométrie!$I$96*PI()/180)+Géométrie!$B$2+Géométrie!$B$16+Géométrie!$B$84+Géométrie!$B$110-Géométrie!$B$111)/$B$2</f>
        <v>#NAME?</v>
      </c>
      <c r="AN19" s="150"/>
      <c r="AO19" s="220" t="e">
        <f ca="1">[1]!interpol(A19,'[2]CA basé sur Ariane 3'!$A$6:$A$23,'[2]CA basé sur Ariane 3'!$B$6:$B$23)</f>
        <v>#NAME?</v>
      </c>
      <c r="AP19" s="220">
        <f>0.6*(Géométrie!$B$104+Géométrie!$B$137)+Géométrie!$B$16+Géométrie!$B$13+Géométrie!$B$2+Géométrie!$B$84-Géométrie!$B$104</f>
        <v>24.847187000000002</v>
      </c>
      <c r="AQ19" s="219"/>
      <c r="AR19" s="150"/>
      <c r="AS19" s="39" t="e">
        <f ca="1">'Tableaux aéro'!Y87</f>
        <v>#NAME?</v>
      </c>
      <c r="AT19" s="220" t="e">
        <f t="shared" ca="1" si="5"/>
        <v>#NAME?</v>
      </c>
      <c r="AU19" s="219"/>
      <c r="AV19" s="221" t="e">
        <f ca="1">-'Tableaux aéro'!B125*('Tableaux aéro'!$E$112-'Tableaux aéro'!$E$113)/Aerodynamique!$B$1</f>
        <v>#NAME?</v>
      </c>
      <c r="AW19" s="221" t="e">
        <f ca="1">'Tableaux aéro'!S87</f>
        <v>#NAME?</v>
      </c>
      <c r="AX19" s="73"/>
      <c r="AY19" t="e">
        <f t="shared" ca="1" si="6"/>
        <v>#NAME?</v>
      </c>
      <c r="AZ19" t="e">
        <f ca="1">(AY19-AV19-'Tableaux aéro'!J17)/AW19</f>
        <v>#NAME?</v>
      </c>
      <c r="BA19" t="e">
        <f ca="1">'Tableaux aéro'!J17+'Tableaux aéro'!T87*AZ19</f>
        <v>#NAME?</v>
      </c>
      <c r="BC19" t="e">
        <f t="shared" ca="1" si="7"/>
        <v>#NAME?</v>
      </c>
      <c r="BD19" t="e">
        <f ca="1">(BC19-'Tableaux aéro'!U17)/(([1]!InterpCn(Géométrie!$B$4,$A19,(Géométrie!$B$131-Géométrie!$B$121)/Géométrie!$B$3)-[1]!InterpCn(Géométrie!$B$4,$A19,0))*PI()*Géométrie!$B$3^2/4/$B$1)</f>
        <v>#NAME?</v>
      </c>
      <c r="BE19" t="e">
        <f ca="1">'Tableaux aéro'!U17+(([1]!InterpCn(Géométrie!$B$4,$A19,$BB$3/Géométrie!$B$3)-[1]!InterpCn(Géométrie!$B$4,$A19,0))*PI()*Géométrie!$B$3^2/4/$B$1)*BD19</f>
        <v>#NAME?</v>
      </c>
      <c r="BG19" t="e">
        <f t="shared" ca="1" si="8"/>
        <v>#NAME?</v>
      </c>
      <c r="BH19" t="e">
        <f ca="1">(BG19-'Tableaux aéro'!U17*'Tableaux aéro'!AE17/$B$2)/(([1]!InterpCm(Géométrie!$B$4,$A19,(Géométrie!$B$131-Géométrie!$B$121)/Géométrie!$B$3)-[1]!InterpCm(Géométrie!$B$4,$A19,0))*PI()*Géométrie!$B$3^2/4/$B$1)</f>
        <v>#NAME?</v>
      </c>
      <c r="BI19" t="e">
        <f ca="1">'Tableaux aéro'!U17*'Tableaux aéro'!AE17/$B$2+BH19*(([1]!InterpCm(Géométrie!$B$4,$A19,$BB$3/Géométrie!$B$3)-[1]!InterpCm(Géométrie!$B$4,$A19,0))*PI()*Géométrie!$B$3^2/4/$B$1)</f>
        <v>#NAME?</v>
      </c>
      <c r="BK19" t="e">
        <f t="shared" ca="1" si="9"/>
        <v>#NAME?</v>
      </c>
    </row>
    <row r="20" spans="1:63">
      <c r="A20" s="85">
        <v>1.08</v>
      </c>
      <c r="B20" s="39" t="e">
        <f ca="1">('Tableaux aéro'!U18)*PI()*Géométrie!$B$3^2/4/$B$1</f>
        <v>#NAME?</v>
      </c>
      <c r="C20" s="39" t="e">
        <f ca="1">'Tableaux aéro'!M88*A20*Géométrie!$B$2</f>
        <v>#NAME?</v>
      </c>
      <c r="D20" s="39" t="e">
        <f ca="1">'Tableaux aéro'!J18*PI()*Géométrie!$B$3^2/4/$B$1</f>
        <v>#NAME?</v>
      </c>
      <c r="E20" s="39" t="e">
        <f ca="1">Géométrie!$F$13-('Tableaux aéro'!AE18)*Géométrie!$B$3</f>
        <v>#NAME?</v>
      </c>
      <c r="F20" s="39" t="e">
        <f t="shared" ca="1" si="0"/>
        <v>#NAME?</v>
      </c>
      <c r="G20" s="39" t="e">
        <f ca="1">([1]!InterpCn(Géométrie!$B$4,$A20,Géométrie!$B$18)-[1]!InterpCn(Géométrie!$B$4,$A20,0))*PI()*Géométrie!$B$3^2/4/$B$1</f>
        <v>#NAME?</v>
      </c>
      <c r="H20" s="207" t="e">
        <f ca="1">'Tableaux aéro'!S88</f>
        <v>#NAME?</v>
      </c>
      <c r="I20" s="39" t="e">
        <f t="shared" ca="1" si="1"/>
        <v>#NAME?</v>
      </c>
      <c r="J20" s="39" t="e">
        <f ca="1">([1]!InterpCm(Géométrie!$B$4,$A20,Géométrie!$B$18)-[1]!InterpCm(Géométrie!$B$4,$A20,0))*PI()*Géométrie!$B$3^2/4/$B$1*$J$2/$B$2+G20*(Géométrie!$F$13-Géométrie!$B$3/(2*TAN(Géométrie!$B$4*PI()/180)))*1/$B$2</f>
        <v>#NAME?</v>
      </c>
      <c r="K20" s="216" t="e">
        <f ca="1">'Tableaux aéro'!L18*PI()/180*PI()*Géométrie!$B$3^2/4/$B$1</f>
        <v>#NAME?</v>
      </c>
      <c r="L20" s="216">
        <f>'Tableaux aéro'!B18*PI()*Géométrie!$B$3^2/4/$B$1</f>
        <v>0.26018543437499997</v>
      </c>
      <c r="M20" s="216" t="e">
        <f ca="1">'Tableaux aéro'!W18*Géométrie!$B$3</f>
        <v>#NAME?</v>
      </c>
      <c r="N20" s="216" t="e">
        <f ca="1">K20*(M20-Géométrie!$F$12)/$B$2</f>
        <v>#NAME?</v>
      </c>
      <c r="O20" s="217" t="e">
        <f ca="1">[1]!InterpCn(10,$A20,Géométrie!$F$13/Géométrie!$B$3)*Géométrie!$B$3^2*PI()/4/Aerodynamique!$B$1</f>
        <v>#NAME?</v>
      </c>
      <c r="P20" s="216" t="e">
        <f ca="1">'Tableaux aéro'!M88*A20*Géométrie!$F$13</f>
        <v>#NAME?</v>
      </c>
      <c r="Q20" s="216" t="e">
        <f ca="1">0.445/POWER(LOG(P20),2.58)/POWER(1+0.15*A20^2,0.58)*Géométrie!$B$10/$B$1</f>
        <v>#NAME?</v>
      </c>
      <c r="R20" s="216"/>
      <c r="S20" s="216" t="e">
        <f ca="1">[1]!InterpCm(10,$A20,Géométrie!$F$13/Géométrie!$B$3)*Géométrie!$B$3^2*PI()/4/$B$1</f>
        <v>#NAME?</v>
      </c>
      <c r="T20" s="218"/>
      <c r="U20" s="150"/>
      <c r="V20" s="150"/>
      <c r="W20" s="219"/>
      <c r="X20" s="150"/>
      <c r="Y20" s="220" t="e">
        <f ca="1">[1]!interpol(A20,'[2]CA basé sur Ariane 3'!$A$6:$A$23,'[2]CA basé sur Ariane 3'!$B$6:$B$23)*PI()*Géométrie!$B$3^2/4/$B$1</f>
        <v>#NAME?</v>
      </c>
      <c r="Z20" s="213">
        <f>0.6*Géométrie!$B$81+Géométrie!$B$16+Géométrie!$B$2</f>
        <v>10.140938348728373</v>
      </c>
      <c r="AA20" s="219"/>
      <c r="AB20" s="218"/>
      <c r="AC20" s="39" t="e">
        <f ca="1">'Tableaux aéro'!R88</f>
        <v>#NAME?</v>
      </c>
      <c r="AD20" s="220" t="e">
        <f t="shared" ca="1" si="2"/>
        <v>#NAME?</v>
      </c>
      <c r="AE20" s="150"/>
      <c r="AF20" s="249" t="e">
        <f ca="1">[1]!interpol(A20,[4]jupA_data!$A$2:$A$10,[4]jupA_data!$B$2:$B$10)*PI()*(Géométrie!$B$114^2-Géométrie!$B$85^2)/$B$1*COS(Géométrie!$I$96*PI()/180)^2/100</f>
        <v>#NAME?</v>
      </c>
      <c r="AG20" s="83" t="e">
        <f ca="1">[3]!interpol(A20,'[2]CA basé sur Ariane 3'!$A$6:$A$23,'[2]CA basé sur Ariane 3'!$B$6:$B$23)*PI()*Géométrie!$B$73^2/4/$B$1</f>
        <v>#NAME?</v>
      </c>
      <c r="AH20" s="220">
        <f>0.4*(Géométrie!$B$110-Géométrie!$B$111)+Géométrie!$B$84+Géométrie!$B$16+Géométrie!$B$3</f>
        <v>20.498665767514421</v>
      </c>
      <c r="AI20" s="220" t="e">
        <f t="shared" ca="1" si="3"/>
        <v>#NAME?</v>
      </c>
      <c r="AJ20" s="249" t="e">
        <f ca="1">([1]!InterpCn(Géométrie!$I$96,$A20,Géométrie!$B$113)-[1]!InterpCn(Géométrie!$I$96,$A20,0))*PI()*Géométrie!$B$114^2/4</f>
        <v>#NAME?</v>
      </c>
      <c r="AK20" s="39" t="e">
        <f ca="1">'Tableaux aéro'!W88</f>
        <v>#NAME?</v>
      </c>
      <c r="AL20" s="220" t="e">
        <f t="shared" ca="1" si="4"/>
        <v>#NAME?</v>
      </c>
      <c r="AM20" s="253" t="e">
        <f ca="1">(([1]!InterpCm(Géométrie!$I$96,$A20,Géométrie!$B$113)-[1]!InterpCm(Géométrie!$I$96,$A20,0))*PI()*Géométrie!$B$114^2/4/$B$1*$AM$2/$B$2)+AJ20*(-Géométrie!$B$114/2/TAN(Géométrie!$I$96*PI()/180)+Géométrie!$B$2+Géométrie!$B$16+Géométrie!$B$84+Géométrie!$B$110-Géométrie!$B$111)/$B$2</f>
        <v>#NAME?</v>
      </c>
      <c r="AN20" s="150"/>
      <c r="AO20" s="220" t="e">
        <f ca="1">[1]!interpol(A20,'[2]CA basé sur Ariane 3'!$A$6:$A$23,'[2]CA basé sur Ariane 3'!$B$6:$B$23)</f>
        <v>#NAME?</v>
      </c>
      <c r="AP20" s="220">
        <f>0.6*(Géométrie!$B$104+Géométrie!$B$137)+Géométrie!$B$16+Géométrie!$B$13+Géométrie!$B$2+Géométrie!$B$84-Géométrie!$B$104</f>
        <v>24.847187000000002</v>
      </c>
      <c r="AQ20" s="219"/>
      <c r="AR20" s="150"/>
      <c r="AS20" s="39" t="e">
        <f ca="1">'Tableaux aéro'!Y88</f>
        <v>#NAME?</v>
      </c>
      <c r="AT20" s="220" t="e">
        <f t="shared" ca="1" si="5"/>
        <v>#NAME?</v>
      </c>
      <c r="AU20" s="219"/>
      <c r="AV20" s="221" t="e">
        <f ca="1">-'Tableaux aéro'!B126*('Tableaux aéro'!$E$112-'Tableaux aéro'!$E$113)/Aerodynamique!$B$1</f>
        <v>#NAME?</v>
      </c>
      <c r="AW20" s="221" t="e">
        <f ca="1">'Tableaux aéro'!S88</f>
        <v>#NAME?</v>
      </c>
      <c r="AX20" s="73"/>
      <c r="AY20" t="e">
        <f t="shared" ca="1" si="6"/>
        <v>#NAME?</v>
      </c>
      <c r="AZ20" t="e">
        <f ca="1">(AY20-AV20-'Tableaux aéro'!J18)/AW20</f>
        <v>#NAME?</v>
      </c>
      <c r="BA20" t="e">
        <f ca="1">'Tableaux aéro'!J18+'Tableaux aéro'!T88*AZ20</f>
        <v>#NAME?</v>
      </c>
      <c r="BC20" t="e">
        <f t="shared" ca="1" si="7"/>
        <v>#NAME?</v>
      </c>
      <c r="BD20" t="e">
        <f ca="1">(BC20-'Tableaux aéro'!U18)/(([1]!InterpCn(Géométrie!$B$4,$A20,(Géométrie!$B$131-Géométrie!$B$121)/Géométrie!$B$3)-[1]!InterpCn(Géométrie!$B$4,$A20,0))*PI()*Géométrie!$B$3^2/4/$B$1)</f>
        <v>#NAME?</v>
      </c>
      <c r="BE20" t="e">
        <f ca="1">'Tableaux aéro'!U18+(([1]!InterpCn(Géométrie!$B$4,$A20,$BB$3/Géométrie!$B$3)-[1]!InterpCn(Géométrie!$B$4,$A20,0))*PI()*Géométrie!$B$3^2/4/$B$1)*BD20</f>
        <v>#NAME?</v>
      </c>
      <c r="BG20" t="e">
        <f t="shared" ca="1" si="8"/>
        <v>#NAME?</v>
      </c>
      <c r="BH20" t="e">
        <f ca="1">(BG20-'Tableaux aéro'!U18*'Tableaux aéro'!AE18/$B$2)/(([1]!InterpCm(Géométrie!$B$4,$A20,(Géométrie!$B$131-Géométrie!$B$121)/Géométrie!$B$3)-[1]!InterpCm(Géométrie!$B$4,$A20,0))*PI()*Géométrie!$B$3^2/4/$B$1)</f>
        <v>#NAME?</v>
      </c>
      <c r="BI20" t="e">
        <f ca="1">'Tableaux aéro'!U18*'Tableaux aéro'!AE18/$B$2+BH20*(([1]!InterpCm(Géométrie!$B$4,$A20,$BB$3/Géométrie!$B$3)-[1]!InterpCm(Géométrie!$B$4,$A20,0))*PI()*Géométrie!$B$3^2/4/$B$1)</f>
        <v>#NAME?</v>
      </c>
      <c r="BK20" t="e">
        <f t="shared" ca="1" si="9"/>
        <v>#NAME?</v>
      </c>
    </row>
    <row r="21" spans="1:63">
      <c r="A21" s="85">
        <v>1.1000000000000001</v>
      </c>
      <c r="B21" s="39" t="e">
        <f ca="1">('Tableaux aéro'!U19)*PI()*Géométrie!$B$3^2/4/$B$1</f>
        <v>#NAME?</v>
      </c>
      <c r="C21" s="39" t="e">
        <f ca="1">'Tableaux aéro'!M89*A21*Géométrie!$B$2</f>
        <v>#NAME?</v>
      </c>
      <c r="D21" s="39" t="e">
        <f ca="1">'Tableaux aéro'!J19*PI()*Géométrie!$B$3^2/4/$B$1</f>
        <v>#NAME?</v>
      </c>
      <c r="E21" s="39" t="e">
        <f ca="1">Géométrie!$F$13-('Tableaux aéro'!AE19)*Géométrie!$B$3</f>
        <v>#NAME?</v>
      </c>
      <c r="F21" s="39" t="e">
        <f t="shared" ca="1" si="0"/>
        <v>#NAME?</v>
      </c>
      <c r="G21" s="39" t="e">
        <f ca="1">([1]!InterpCn(Géométrie!$B$4,$A21,Géométrie!$B$18)-[1]!InterpCn(Géométrie!$B$4,$A21,0))*PI()*Géométrie!$B$3^2/4/$B$1</f>
        <v>#NAME?</v>
      </c>
      <c r="H21" s="207" t="e">
        <f ca="1">'Tableaux aéro'!S89</f>
        <v>#NAME?</v>
      </c>
      <c r="I21" s="39" t="e">
        <f t="shared" ca="1" si="1"/>
        <v>#NAME?</v>
      </c>
      <c r="J21" s="39" t="e">
        <f ca="1">([1]!InterpCm(Géométrie!$B$4,$A21,Géométrie!$B$18)-[1]!InterpCm(Géométrie!$B$4,$A21,0))*PI()*Géométrie!$B$3^2/4/$B$1*$J$2/$B$2+G21*(Géométrie!$F$13-Géométrie!$B$3/(2*TAN(Géométrie!$B$4*PI()/180)))*1/$B$2</f>
        <v>#NAME?</v>
      </c>
      <c r="K21" s="216" t="e">
        <f ca="1">'Tableaux aéro'!L19*PI()/180*PI()*Géométrie!$B$3^2/4/$B$1</f>
        <v>#NAME?</v>
      </c>
      <c r="L21" s="216">
        <f>'Tableaux aéro'!B19*PI()*Géométrie!$B$3^2/4/$B$1</f>
        <v>0.26608136406249994</v>
      </c>
      <c r="M21" s="216" t="e">
        <f ca="1">'Tableaux aéro'!W19*Géométrie!$B$3</f>
        <v>#NAME?</v>
      </c>
      <c r="N21" s="216" t="e">
        <f ca="1">K21*(M21-Géométrie!$F$12)/$B$2</f>
        <v>#NAME?</v>
      </c>
      <c r="O21" s="217" t="e">
        <f ca="1">[1]!InterpCn(10,$A21,Géométrie!$F$13/Géométrie!$B$3)*Géométrie!$B$3^2*PI()/4/Aerodynamique!$B$1</f>
        <v>#NAME?</v>
      </c>
      <c r="P21" s="216" t="e">
        <f ca="1">'Tableaux aéro'!M89*A21*Géométrie!$F$13</f>
        <v>#NAME?</v>
      </c>
      <c r="Q21" s="216" t="e">
        <f ca="1">0.445/POWER(LOG(P21),2.58)/POWER(1+0.15*A21^2,0.58)*Géométrie!$B$10/$B$1</f>
        <v>#NAME?</v>
      </c>
      <c r="R21" s="216"/>
      <c r="S21" s="216" t="e">
        <f ca="1">[1]!InterpCm(10,$A21,Géométrie!$F$13/Géométrie!$B$3)*Géométrie!$B$3^2*PI()/4/$B$1</f>
        <v>#NAME?</v>
      </c>
      <c r="T21" s="218"/>
      <c r="U21" s="150"/>
      <c r="V21" s="150"/>
      <c r="W21" s="219"/>
      <c r="X21" s="150"/>
      <c r="Y21" s="220" t="e">
        <f ca="1">[1]!interpol(A21,'[2]CA basé sur Ariane 3'!$A$6:$A$23,'[2]CA basé sur Ariane 3'!$B$6:$B$23)*PI()*Géométrie!$B$3^2/4/$B$1</f>
        <v>#NAME?</v>
      </c>
      <c r="Z21" s="213">
        <f>0.6*Géométrie!$B$81+Géométrie!$B$16+Géométrie!$B$2</f>
        <v>10.140938348728373</v>
      </c>
      <c r="AA21" s="219"/>
      <c r="AB21" s="218"/>
      <c r="AC21" s="39" t="e">
        <f ca="1">'Tableaux aéro'!R89</f>
        <v>#NAME?</v>
      </c>
      <c r="AD21" s="220" t="e">
        <f t="shared" ca="1" si="2"/>
        <v>#NAME?</v>
      </c>
      <c r="AE21" s="150"/>
      <c r="AF21" s="249" t="e">
        <f ca="1">[1]!interpol(A21,[4]jupA_data!$A$2:$A$10,[4]jupA_data!$B$2:$B$10)*PI()*(Géométrie!$B$114^2-Géométrie!$B$85^2)/$B$1*COS(Géométrie!$I$96*PI()/180)^2/100</f>
        <v>#NAME?</v>
      </c>
      <c r="AG21" s="83" t="e">
        <f ca="1">[3]!interpol(A21,'[2]CA basé sur Ariane 3'!$A$6:$A$23,'[2]CA basé sur Ariane 3'!$B$6:$B$23)*PI()*Géométrie!$B$73^2/4/$B$1</f>
        <v>#NAME?</v>
      </c>
      <c r="AH21" s="220">
        <f>0.4*(Géométrie!$B$110-Géométrie!$B$111)+Géométrie!$B$84+Géométrie!$B$16+Géométrie!$B$3</f>
        <v>20.498665767514421</v>
      </c>
      <c r="AI21" s="220" t="e">
        <f t="shared" ca="1" si="3"/>
        <v>#NAME?</v>
      </c>
      <c r="AJ21" s="249" t="e">
        <f ca="1">([1]!InterpCn(Géométrie!$I$96,$A21,Géométrie!$B$113)-[1]!InterpCn(Géométrie!$I$96,$A21,0))*PI()*Géométrie!$B$114^2/4</f>
        <v>#NAME?</v>
      </c>
      <c r="AK21" s="39" t="e">
        <f ca="1">'Tableaux aéro'!W89</f>
        <v>#NAME?</v>
      </c>
      <c r="AL21" s="220" t="e">
        <f t="shared" ca="1" si="4"/>
        <v>#NAME?</v>
      </c>
      <c r="AM21" s="253" t="e">
        <f ca="1">(([1]!InterpCm(Géométrie!$I$96,$A21,Géométrie!$B$113)-[1]!InterpCm(Géométrie!$I$96,$A21,0))*PI()*Géométrie!$B$114^2/4/$B$1*$AM$2/$B$2)+AJ21*(-Géométrie!$B$114/2/TAN(Géométrie!$I$96*PI()/180)+Géométrie!$B$2+Géométrie!$B$16+Géométrie!$B$84+Géométrie!$B$110-Géométrie!$B$111)/$B$2</f>
        <v>#NAME?</v>
      </c>
      <c r="AN21" s="150"/>
      <c r="AO21" s="220" t="e">
        <f ca="1">[1]!interpol(A21,'[2]CA basé sur Ariane 3'!$A$6:$A$23,'[2]CA basé sur Ariane 3'!$B$6:$B$23)</f>
        <v>#NAME?</v>
      </c>
      <c r="AP21" s="220">
        <f>0.6*(Géométrie!$B$104+Géométrie!$B$137)+Géométrie!$B$16+Géométrie!$B$13+Géométrie!$B$2+Géométrie!$B$84-Géométrie!$B$104</f>
        <v>24.847187000000002</v>
      </c>
      <c r="AQ21" s="219"/>
      <c r="AR21" s="150"/>
      <c r="AS21" s="39" t="e">
        <f ca="1">'Tableaux aéro'!Y89</f>
        <v>#NAME?</v>
      </c>
      <c r="AT21" s="220" t="e">
        <f t="shared" ca="1" si="5"/>
        <v>#NAME?</v>
      </c>
      <c r="AU21" s="219"/>
      <c r="AV21" s="221" t="e">
        <f ca="1">-'Tableaux aéro'!B127*('Tableaux aéro'!$E$112-'Tableaux aéro'!$E$113)/Aerodynamique!$B$1</f>
        <v>#NAME?</v>
      </c>
      <c r="AW21" s="221" t="e">
        <f ca="1">'Tableaux aéro'!S89</f>
        <v>#NAME?</v>
      </c>
      <c r="AX21" s="73"/>
      <c r="AY21" t="e">
        <f t="shared" ca="1" si="6"/>
        <v>#NAME?</v>
      </c>
      <c r="AZ21" t="e">
        <f ca="1">(AY21-AV21-'Tableaux aéro'!J19)/AW21</f>
        <v>#NAME?</v>
      </c>
      <c r="BA21" t="e">
        <f ca="1">'Tableaux aéro'!J19+'Tableaux aéro'!T89*AZ21</f>
        <v>#NAME?</v>
      </c>
      <c r="BC21" t="e">
        <f t="shared" ca="1" si="7"/>
        <v>#NAME?</v>
      </c>
      <c r="BD21" t="e">
        <f ca="1">(BC21-'Tableaux aéro'!U19)/(([1]!InterpCn(Géométrie!$B$4,$A21,(Géométrie!$B$131-Géométrie!$B$121)/Géométrie!$B$3)-[1]!InterpCn(Géométrie!$B$4,$A21,0))*PI()*Géométrie!$B$3^2/4/$B$1)</f>
        <v>#NAME?</v>
      </c>
      <c r="BE21" t="e">
        <f ca="1">'Tableaux aéro'!U19+(([1]!InterpCn(Géométrie!$B$4,$A21,$BB$3/Géométrie!$B$3)-[1]!InterpCn(Géométrie!$B$4,$A21,0))*PI()*Géométrie!$B$3^2/4/$B$1)*BD21</f>
        <v>#NAME?</v>
      </c>
      <c r="BG21" t="e">
        <f t="shared" ca="1" si="8"/>
        <v>#NAME?</v>
      </c>
      <c r="BH21" t="e">
        <f ca="1">(BG21-'Tableaux aéro'!U19*'Tableaux aéro'!AE19/$B$2)/(([1]!InterpCm(Géométrie!$B$4,$A21,(Géométrie!$B$131-Géométrie!$B$121)/Géométrie!$B$3)-[1]!InterpCm(Géométrie!$B$4,$A21,0))*PI()*Géométrie!$B$3^2/4/$B$1)</f>
        <v>#NAME?</v>
      </c>
      <c r="BI21" t="e">
        <f ca="1">'Tableaux aéro'!U19*'Tableaux aéro'!AE19/$B$2+BH21*(([1]!InterpCm(Géométrie!$B$4,$A21,$BB$3/Géométrie!$B$3)-[1]!InterpCm(Géométrie!$B$4,$A21,0))*PI()*Géométrie!$B$3^2/4/$B$1)</f>
        <v>#NAME?</v>
      </c>
      <c r="BK21" t="e">
        <f t="shared" ca="1" si="9"/>
        <v>#NAME?</v>
      </c>
    </row>
    <row r="22" spans="1:63">
      <c r="A22" s="85">
        <v>1.3</v>
      </c>
      <c r="B22" s="39" t="e">
        <f ca="1">('Tableaux aéro'!U20)*PI()*Géométrie!$B$3^2/4/$B$1</f>
        <v>#NAME?</v>
      </c>
      <c r="C22" s="39" t="e">
        <f ca="1">'Tableaux aéro'!M90*A22*Géométrie!$B$2</f>
        <v>#NAME?</v>
      </c>
      <c r="D22" s="39" t="e">
        <f ca="1">'Tableaux aéro'!J20*PI()*Géométrie!$B$3^2/4/$B$1</f>
        <v>#NAME?</v>
      </c>
      <c r="E22" s="39" t="e">
        <f ca="1">Géométrie!$F$13-('Tableaux aéro'!AE20)*Géométrie!$B$3</f>
        <v>#NAME?</v>
      </c>
      <c r="F22" s="39" t="e">
        <f t="shared" ca="1" si="0"/>
        <v>#NAME?</v>
      </c>
      <c r="G22" s="39" t="e">
        <f ca="1">([1]!InterpCn(Géométrie!$B$4,$A22,Géométrie!$B$18)-[1]!InterpCn(Géométrie!$B$4,$A22,0))*PI()*Géométrie!$B$3^2/4/$B$1</f>
        <v>#NAME?</v>
      </c>
      <c r="H22" s="207" t="e">
        <f ca="1">'Tableaux aéro'!S90</f>
        <v>#NAME?</v>
      </c>
      <c r="I22" s="39" t="e">
        <f t="shared" ca="1" si="1"/>
        <v>#NAME?</v>
      </c>
      <c r="J22" s="39" t="e">
        <f ca="1">([1]!InterpCm(Géométrie!$B$4,$A22,Géométrie!$B$18)-[1]!InterpCm(Géométrie!$B$4,$A22,0))*PI()*Géométrie!$B$3^2/4/$B$1*$J$2/$B$2+G22*(Géométrie!$F$13-Géométrie!$B$3/(2*TAN(Géométrie!$B$4*PI()/180)))*1/$B$2</f>
        <v>#NAME?</v>
      </c>
      <c r="K22" s="216" t="e">
        <f ca="1">'Tableaux aéro'!L20*PI()/180*PI()*Géométrie!$B$3^2/4/$B$1</f>
        <v>#NAME?</v>
      </c>
      <c r="L22" s="216">
        <f>'Tableaux aéro'!B20*PI()*Géométrie!$B$3^2/4/$B$1</f>
        <v>0.24734687968749999</v>
      </c>
      <c r="M22" s="216" t="e">
        <f ca="1">'Tableaux aéro'!W20*Géométrie!$B$3</f>
        <v>#NAME?</v>
      </c>
      <c r="N22" s="216" t="e">
        <f ca="1">K22*(M22-Géométrie!$F$12)/$B$2</f>
        <v>#NAME?</v>
      </c>
      <c r="O22" s="217" t="e">
        <f ca="1">[1]!InterpCn(10,$A22,Géométrie!$F$13/Géométrie!$B$3)*Géométrie!$B$3^2*PI()/4/Aerodynamique!$B$1</f>
        <v>#NAME?</v>
      </c>
      <c r="P22" s="216" t="e">
        <f ca="1">'Tableaux aéro'!M90*A22*Géométrie!$F$13</f>
        <v>#NAME?</v>
      </c>
      <c r="Q22" s="216" t="e">
        <f ca="1">0.445/POWER(LOG(P22),2.58)/POWER(1+0.15*A22^2,0.58)*Géométrie!$B$10/$B$1</f>
        <v>#NAME?</v>
      </c>
      <c r="R22" s="216"/>
      <c r="S22" s="216" t="e">
        <f ca="1">[1]!InterpCm(10,$A22,Géométrie!$F$13/Géométrie!$B$3)*Géométrie!$B$3^2*PI()/4/$B$1</f>
        <v>#NAME?</v>
      </c>
      <c r="T22" s="218"/>
      <c r="U22" s="150"/>
      <c r="V22" s="150"/>
      <c r="W22" s="219"/>
      <c r="X22" s="150"/>
      <c r="Y22" s="220" t="e">
        <f ca="1">[1]!interpol(A22,'[2]CA basé sur Ariane 3'!$A$6:$A$23,'[2]CA basé sur Ariane 3'!$B$6:$B$23)*PI()*Géométrie!$B$3^2/4/$B$1</f>
        <v>#NAME?</v>
      </c>
      <c r="Z22" s="213">
        <f>0.6*Géométrie!$B$81+Géométrie!$B$16+Géométrie!$B$2</f>
        <v>10.140938348728373</v>
      </c>
      <c r="AA22" s="219"/>
      <c r="AB22" s="218"/>
      <c r="AC22" s="39" t="e">
        <f ca="1">'Tableaux aéro'!R90</f>
        <v>#NAME?</v>
      </c>
      <c r="AD22" s="220" t="e">
        <f t="shared" ca="1" si="2"/>
        <v>#NAME?</v>
      </c>
      <c r="AE22" s="150"/>
      <c r="AF22" s="249" t="e">
        <f ca="1">[1]!interpol(A22,[4]jupA_data!$A$2:$A$10,[4]jupA_data!$B$2:$B$10)*PI()*(Géométrie!$B$114^2-Géométrie!$B$85^2)/$B$1*COS(Géométrie!$I$96*PI()/180)^2/100</f>
        <v>#NAME?</v>
      </c>
      <c r="AG22" s="83" t="e">
        <f ca="1">[3]!interpol(A22,'[2]CA basé sur Ariane 3'!$A$6:$A$23,'[2]CA basé sur Ariane 3'!$B$6:$B$23)*PI()*Géométrie!$B$73^2/4/$B$1</f>
        <v>#NAME?</v>
      </c>
      <c r="AH22" s="220">
        <f>0.4*(Géométrie!$B$110-Géométrie!$B$111)+Géométrie!$B$84+Géométrie!$B$16+Géométrie!$B$3</f>
        <v>20.498665767514421</v>
      </c>
      <c r="AI22" s="220" t="e">
        <f t="shared" ca="1" si="3"/>
        <v>#NAME?</v>
      </c>
      <c r="AJ22" s="249" t="e">
        <f ca="1">([1]!InterpCn(Géométrie!$I$96,$A22,Géométrie!$B$113)-[1]!InterpCn(Géométrie!$I$96,$A22,0))*PI()*Géométrie!$B$114^2/4</f>
        <v>#NAME?</v>
      </c>
      <c r="AK22" s="39" t="e">
        <f ca="1">'Tableaux aéro'!W90</f>
        <v>#NAME?</v>
      </c>
      <c r="AL22" s="220" t="e">
        <f t="shared" ca="1" si="4"/>
        <v>#NAME?</v>
      </c>
      <c r="AM22" s="253" t="e">
        <f ca="1">(([1]!InterpCm(Géométrie!$I$96,$A22,Géométrie!$B$113)-[1]!InterpCm(Géométrie!$I$96,$A22,0))*PI()*Géométrie!$B$114^2/4/$B$1*$AM$2/$B$2)+AJ22*(-Géométrie!$B$114/2/TAN(Géométrie!$I$96*PI()/180)+Géométrie!$B$2+Géométrie!$B$16+Géométrie!$B$84+Géométrie!$B$110-Géométrie!$B$111)/$B$2</f>
        <v>#NAME?</v>
      </c>
      <c r="AN22" s="150"/>
      <c r="AO22" s="220" t="e">
        <f ca="1">[1]!interpol(A22,'[2]CA basé sur Ariane 3'!$A$6:$A$23,'[2]CA basé sur Ariane 3'!$B$6:$B$23)</f>
        <v>#NAME?</v>
      </c>
      <c r="AP22" s="220">
        <f>0.6*(Géométrie!$B$104+Géométrie!$B$137)+Géométrie!$B$16+Géométrie!$B$13+Géométrie!$B$2+Géométrie!$B$84-Géométrie!$B$104</f>
        <v>24.847187000000002</v>
      </c>
      <c r="AQ22" s="219"/>
      <c r="AR22" s="150"/>
      <c r="AS22" s="39" t="e">
        <f ca="1">'Tableaux aéro'!Y90</f>
        <v>#NAME?</v>
      </c>
      <c r="AT22" s="220" t="e">
        <f t="shared" ca="1" si="5"/>
        <v>#NAME?</v>
      </c>
      <c r="AU22" s="219"/>
      <c r="AV22" s="221" t="e">
        <f ca="1">-'Tableaux aéro'!B128*('Tableaux aéro'!$E$112-'Tableaux aéro'!$E$113)/Aerodynamique!$B$1</f>
        <v>#NAME?</v>
      </c>
      <c r="AW22" s="221" t="e">
        <f ca="1">'Tableaux aéro'!S90</f>
        <v>#NAME?</v>
      </c>
      <c r="AX22" s="73"/>
      <c r="AY22" t="e">
        <f t="shared" ca="1" si="6"/>
        <v>#NAME?</v>
      </c>
      <c r="AZ22" t="e">
        <f ca="1">(AY22-AV22-'Tableaux aéro'!J20)/AW22</f>
        <v>#NAME?</v>
      </c>
      <c r="BA22" t="e">
        <f ca="1">'Tableaux aéro'!J20+'Tableaux aéro'!T90*AZ22</f>
        <v>#NAME?</v>
      </c>
      <c r="BC22" t="e">
        <f t="shared" ca="1" si="7"/>
        <v>#NAME?</v>
      </c>
      <c r="BD22" t="e">
        <f ca="1">(BC22-'Tableaux aéro'!U20)/(([1]!InterpCn(Géométrie!$B$4,$A22,(Géométrie!$B$131-Géométrie!$B$121)/Géométrie!$B$3)-[1]!InterpCn(Géométrie!$B$4,$A22,0))*PI()*Géométrie!$B$3^2/4/$B$1)</f>
        <v>#NAME?</v>
      </c>
      <c r="BE22" t="e">
        <f ca="1">'Tableaux aéro'!U20+(([1]!InterpCn(Géométrie!$B$4,$A22,$BB$3/Géométrie!$B$3)-[1]!InterpCn(Géométrie!$B$4,$A22,0))*PI()*Géométrie!$B$3^2/4/$B$1)*BD22</f>
        <v>#NAME?</v>
      </c>
      <c r="BG22" t="e">
        <f t="shared" ca="1" si="8"/>
        <v>#NAME?</v>
      </c>
      <c r="BH22" t="e">
        <f ca="1">(BG22-'Tableaux aéro'!U20*'Tableaux aéro'!AE20/$B$2)/(([1]!InterpCm(Géométrie!$B$4,$A22,(Géométrie!$B$131-Géométrie!$B$121)/Géométrie!$B$3)-[1]!InterpCm(Géométrie!$B$4,$A22,0))*PI()*Géométrie!$B$3^2/4/$B$1)</f>
        <v>#NAME?</v>
      </c>
      <c r="BI22" t="e">
        <f ca="1">'Tableaux aéro'!U20*'Tableaux aéro'!AE20/$B$2+BH22*(([1]!InterpCm(Géométrie!$B$4,$A22,$BB$3/Géométrie!$B$3)-[1]!InterpCm(Géométrie!$B$4,$A22,0))*PI()*Géométrie!$B$3^2/4/$B$1)</f>
        <v>#NAME?</v>
      </c>
      <c r="BK22" t="e">
        <f t="shared" ca="1" si="9"/>
        <v>#NAME?</v>
      </c>
    </row>
    <row r="23" spans="1:63">
      <c r="A23" s="85">
        <v>1.5</v>
      </c>
      <c r="B23" s="39" t="e">
        <f ca="1">('Tableaux aéro'!U21)*PI()*Géométrie!$B$3^2/4/$B$1</f>
        <v>#NAME?</v>
      </c>
      <c r="C23" s="39" t="e">
        <f ca="1">'Tableaux aéro'!M91*A23*Géométrie!$B$2</f>
        <v>#NAME?</v>
      </c>
      <c r="D23" s="39" t="e">
        <f ca="1">'Tableaux aéro'!J21*PI()*Géométrie!$B$3^2/4/$B$1</f>
        <v>#NAME?</v>
      </c>
      <c r="E23" s="39" t="e">
        <f ca="1">Géométrie!$F$13-('Tableaux aéro'!AE21)*Géométrie!$B$3</f>
        <v>#NAME?</v>
      </c>
      <c r="F23" s="39" t="e">
        <f t="shared" ca="1" si="0"/>
        <v>#NAME?</v>
      </c>
      <c r="G23" s="39" t="e">
        <f ca="1">([1]!InterpCn(Géométrie!$B$4,$A23,Géométrie!$B$18)-[1]!InterpCn(Géométrie!$B$4,$A23,0))*PI()*Géométrie!$B$3^2/4/$B$1</f>
        <v>#NAME?</v>
      </c>
      <c r="H23" s="207" t="e">
        <f ca="1">'Tableaux aéro'!S91</f>
        <v>#NAME?</v>
      </c>
      <c r="I23" s="39" t="e">
        <f t="shared" ca="1" si="1"/>
        <v>#NAME?</v>
      </c>
      <c r="J23" s="39" t="e">
        <f ca="1">([1]!InterpCm(Géométrie!$B$4,$A23,Géométrie!$B$18)-[1]!InterpCm(Géométrie!$B$4,$A23,0))*PI()*Géométrie!$B$3^2/4/$B$1*$J$2/$B$2+G23*(Géométrie!$F$13-Géométrie!$B$3/(2*TAN(Géométrie!$B$4*PI()/180)))*1/$B$2</f>
        <v>#NAME?</v>
      </c>
      <c r="K23" s="216" t="e">
        <f ca="1">'Tableaux aéro'!L21*PI()/180*PI()*Géométrie!$B$3^2/4/$B$1</f>
        <v>#NAME?</v>
      </c>
      <c r="L23" s="216">
        <f>'Tableaux aéro'!B21*PI()*Géométrie!$B$3^2/4/$B$1</f>
        <v>0.22995909999999997</v>
      </c>
      <c r="M23" s="216" t="e">
        <f ca="1">'Tableaux aéro'!W21*Géométrie!$B$3</f>
        <v>#NAME?</v>
      </c>
      <c r="N23" s="216" t="e">
        <f ca="1">K23*(M23-Géométrie!$F$12)/$B$2</f>
        <v>#NAME?</v>
      </c>
      <c r="O23" s="217" t="e">
        <f ca="1">[1]!InterpCn(10,$A23,Géométrie!$F$13/Géométrie!$B$3)*Géométrie!$B$3^2*PI()/4/Aerodynamique!$B$1</f>
        <v>#NAME?</v>
      </c>
      <c r="P23" s="216" t="e">
        <f ca="1">'Tableaux aéro'!M91*A23*Géométrie!$F$13</f>
        <v>#NAME?</v>
      </c>
      <c r="Q23" s="216" t="e">
        <f ca="1">0.445/POWER(LOG(P23),2.58)/POWER(1+0.15*A23^2,0.58)*Géométrie!$B$10/$B$1</f>
        <v>#NAME?</v>
      </c>
      <c r="R23" s="216"/>
      <c r="S23" s="216" t="e">
        <f ca="1">[1]!InterpCm(10,$A23,Géométrie!$F$13/Géométrie!$B$3)*Géométrie!$B$3^2*PI()/4/$B$1</f>
        <v>#NAME?</v>
      </c>
      <c r="T23" s="218"/>
      <c r="U23" s="150"/>
      <c r="V23" s="150"/>
      <c r="W23" s="219"/>
      <c r="X23" s="150"/>
      <c r="Y23" s="220" t="e">
        <f ca="1">[1]!interpol(A23,'[2]CA basé sur Ariane 3'!$A$6:$A$23,'[2]CA basé sur Ariane 3'!$B$6:$B$23)*PI()*Géométrie!$B$3^2/4/$B$1</f>
        <v>#NAME?</v>
      </c>
      <c r="Z23" s="213">
        <f>0.6*Géométrie!$B$81+Géométrie!$B$16+Géométrie!$B$2</f>
        <v>10.140938348728373</v>
      </c>
      <c r="AA23" s="219"/>
      <c r="AB23" s="218"/>
      <c r="AC23" s="39" t="e">
        <f ca="1">'Tableaux aéro'!R91</f>
        <v>#NAME?</v>
      </c>
      <c r="AD23" s="220" t="e">
        <f t="shared" ca="1" si="2"/>
        <v>#NAME?</v>
      </c>
      <c r="AE23" s="150"/>
      <c r="AF23" s="249" t="e">
        <f ca="1">[1]!interpol(A23,[4]jupA_data!$A$2:$A$10,[4]jupA_data!$B$2:$B$10)*PI()*(Géométrie!$B$114^2-Géométrie!$B$85^2)/$B$1*COS(Géométrie!$I$96*PI()/180)^2/100</f>
        <v>#NAME?</v>
      </c>
      <c r="AG23" s="83" t="e">
        <f ca="1">[3]!interpol(A23,'[2]CA basé sur Ariane 3'!$A$6:$A$23,'[2]CA basé sur Ariane 3'!$B$6:$B$23)*PI()*Géométrie!$B$73^2/4/$B$1</f>
        <v>#NAME?</v>
      </c>
      <c r="AH23" s="220">
        <f>0.4*(Géométrie!$B$110-Géométrie!$B$111)+Géométrie!$B$84+Géométrie!$B$16+Géométrie!$B$3</f>
        <v>20.498665767514421</v>
      </c>
      <c r="AI23" s="220" t="e">
        <f t="shared" ca="1" si="3"/>
        <v>#NAME?</v>
      </c>
      <c r="AJ23" s="249" t="e">
        <f ca="1">([1]!InterpCn(Géométrie!$I$96,$A23,Géométrie!$B$113)-[1]!InterpCn(Géométrie!$I$96,$A23,0))*PI()*Géométrie!$B$114^2/4</f>
        <v>#NAME?</v>
      </c>
      <c r="AK23" s="39" t="e">
        <f ca="1">'Tableaux aéro'!W91</f>
        <v>#NAME?</v>
      </c>
      <c r="AL23" s="220" t="e">
        <f t="shared" ca="1" si="4"/>
        <v>#NAME?</v>
      </c>
      <c r="AM23" s="253" t="e">
        <f ca="1">(([1]!InterpCm(Géométrie!$I$96,$A23,Géométrie!$B$113)-[1]!InterpCm(Géométrie!$I$96,$A23,0))*PI()*Géométrie!$B$114^2/4/$B$1*$AM$2/$B$2)+AJ23*(-Géométrie!$B$114/2/TAN(Géométrie!$I$96*PI()/180)+Géométrie!$B$2+Géométrie!$B$16+Géométrie!$B$84+Géométrie!$B$110-Géométrie!$B$111)/$B$2</f>
        <v>#NAME?</v>
      </c>
      <c r="AN23" s="150"/>
      <c r="AO23" s="220" t="e">
        <f ca="1">[1]!interpol(A23,'[2]CA basé sur Ariane 3'!$A$6:$A$23,'[2]CA basé sur Ariane 3'!$B$6:$B$23)</f>
        <v>#NAME?</v>
      </c>
      <c r="AP23" s="220">
        <f>0.6*(Géométrie!$B$104+Géométrie!$B$137)+Géométrie!$B$16+Géométrie!$B$13+Géométrie!$B$2+Géométrie!$B$84-Géométrie!$B$104</f>
        <v>24.847187000000002</v>
      </c>
      <c r="AQ23" s="219"/>
      <c r="AR23" s="150"/>
      <c r="AS23" s="39" t="e">
        <f ca="1">'Tableaux aéro'!Y91</f>
        <v>#NAME?</v>
      </c>
      <c r="AT23" s="220" t="e">
        <f t="shared" ca="1" si="5"/>
        <v>#NAME?</v>
      </c>
      <c r="AU23" s="219"/>
      <c r="AV23" s="221" t="e">
        <f ca="1">-'Tableaux aéro'!B129*('Tableaux aéro'!$E$112-'Tableaux aéro'!$E$113)/Aerodynamique!$B$1</f>
        <v>#NAME?</v>
      </c>
      <c r="AW23" s="221" t="e">
        <f ca="1">'Tableaux aéro'!S91</f>
        <v>#NAME?</v>
      </c>
      <c r="AX23" s="73"/>
      <c r="AY23" t="e">
        <f t="shared" ca="1" si="6"/>
        <v>#NAME?</v>
      </c>
      <c r="AZ23" t="e">
        <f ca="1">(AY23-AV23-'Tableaux aéro'!J21)/AW23</f>
        <v>#NAME?</v>
      </c>
      <c r="BA23" t="e">
        <f ca="1">'Tableaux aéro'!J21+'Tableaux aéro'!T91*AZ23</f>
        <v>#NAME?</v>
      </c>
      <c r="BC23" t="e">
        <f t="shared" ca="1" si="7"/>
        <v>#NAME?</v>
      </c>
      <c r="BD23" t="e">
        <f ca="1">(BC23-'Tableaux aéro'!U21)/(([1]!InterpCn(Géométrie!$B$4,$A23,(Géométrie!$B$131-Géométrie!$B$121)/Géométrie!$B$3)-[1]!InterpCn(Géométrie!$B$4,$A23,0))*PI()*Géométrie!$B$3^2/4/$B$1)</f>
        <v>#NAME?</v>
      </c>
      <c r="BE23" t="e">
        <f ca="1">'Tableaux aéro'!U21+(([1]!InterpCn(Géométrie!$B$4,$A23,$BB$3/Géométrie!$B$3)-[1]!InterpCn(Géométrie!$B$4,$A23,0))*PI()*Géométrie!$B$3^2/4/$B$1)*BD23</f>
        <v>#NAME?</v>
      </c>
      <c r="BG23" t="e">
        <f t="shared" ca="1" si="8"/>
        <v>#NAME?</v>
      </c>
      <c r="BH23" t="e">
        <f ca="1">(BG23-'Tableaux aéro'!U21*'Tableaux aéro'!AE21/$B$2)/(([1]!InterpCm(Géométrie!$B$4,$A23,(Géométrie!$B$131-Géométrie!$B$121)/Géométrie!$B$3)-[1]!InterpCm(Géométrie!$B$4,$A23,0))*PI()*Géométrie!$B$3^2/4/$B$1)</f>
        <v>#NAME?</v>
      </c>
      <c r="BI23" t="e">
        <f ca="1">'Tableaux aéro'!U21*'Tableaux aéro'!AE21/$B$2+BH23*(([1]!InterpCm(Géométrie!$B$4,$A23,$BB$3/Géométrie!$B$3)-[1]!InterpCm(Géométrie!$B$4,$A23,0))*PI()*Géométrie!$B$3^2/4/$B$1)</f>
        <v>#NAME?</v>
      </c>
      <c r="BK23" t="e">
        <f t="shared" ca="1" si="9"/>
        <v>#NAME?</v>
      </c>
    </row>
    <row r="24" spans="1:63">
      <c r="A24" s="85">
        <v>1.7</v>
      </c>
      <c r="B24" s="39" t="e">
        <f ca="1">('Tableaux aéro'!U22)*PI()*Géométrie!$B$3^2/4/$B$1</f>
        <v>#NAME?</v>
      </c>
      <c r="C24" s="39" t="e">
        <f ca="1">'Tableaux aéro'!M92*A24*Géométrie!$B$2</f>
        <v>#NAME?</v>
      </c>
      <c r="D24" s="39" t="e">
        <f ca="1">'Tableaux aéro'!J22*PI()*Géométrie!$B$3^2/4/$B$1</f>
        <v>#NAME?</v>
      </c>
      <c r="E24" s="39" t="e">
        <f ca="1">Géométrie!$F$13-('Tableaux aéro'!AE22)*Géométrie!$B$3</f>
        <v>#NAME?</v>
      </c>
      <c r="F24" s="39" t="e">
        <f t="shared" ca="1" si="0"/>
        <v>#NAME?</v>
      </c>
      <c r="G24" s="39" t="e">
        <f ca="1">([1]!InterpCn(Géométrie!$B$4,$A24,Géométrie!$B$18)-[1]!InterpCn(Géométrie!$B$4,$A24,0))*PI()*Géométrie!$B$3^2/4/$B$1</f>
        <v>#NAME?</v>
      </c>
      <c r="H24" s="207" t="e">
        <f ca="1">'Tableaux aéro'!S92</f>
        <v>#NAME?</v>
      </c>
      <c r="I24" s="39" t="e">
        <f t="shared" ca="1" si="1"/>
        <v>#NAME?</v>
      </c>
      <c r="J24" s="39" t="e">
        <f ca="1">([1]!InterpCm(Géométrie!$B$4,$A24,Géométrie!$B$18)-[1]!InterpCm(Géométrie!$B$4,$A24,0))*PI()*Géométrie!$B$3^2/4/$B$1*$J$2/$B$2+G24*(Géométrie!$F$13-Géométrie!$B$3/(2*TAN(Géométrie!$B$4*PI()/180)))*1/$B$2</f>
        <v>#NAME?</v>
      </c>
      <c r="K24" s="216" t="e">
        <f ca="1">'Tableaux aéro'!L22*PI()/180*PI()*Géométrie!$B$3^2/4/$B$1</f>
        <v>#NAME?</v>
      </c>
      <c r="L24" s="216">
        <f>'Tableaux aéro'!B22*PI()*Géométrie!$B$3^2/4/$B$1</f>
        <v>0.21624765156249998</v>
      </c>
      <c r="M24" s="216" t="e">
        <f ca="1">'Tableaux aéro'!W22*Géométrie!$B$3</f>
        <v>#NAME?</v>
      </c>
      <c r="N24" s="216" t="e">
        <f ca="1">K24*(M24-Géométrie!$F$12)/$B$2</f>
        <v>#NAME?</v>
      </c>
      <c r="O24" s="217" t="e">
        <f ca="1">[1]!InterpCn(10,$A24,Géométrie!$F$13/Géométrie!$B$3)*Géométrie!$B$3^2*PI()/4/Aerodynamique!$B$1</f>
        <v>#NAME?</v>
      </c>
      <c r="P24" s="216" t="e">
        <f ca="1">'Tableaux aéro'!M92*A24*Géométrie!$F$13</f>
        <v>#NAME?</v>
      </c>
      <c r="Q24" s="216" t="e">
        <f ca="1">0.445/POWER(LOG(P24),2.58)/POWER(1+0.15*A24^2,0.58)*Géométrie!$B$10/$B$1</f>
        <v>#NAME?</v>
      </c>
      <c r="R24" s="216"/>
      <c r="S24" s="216" t="e">
        <f ca="1">[1]!InterpCm(10,$A24,Géométrie!$F$13/Géométrie!$B$3)*Géométrie!$B$3^2*PI()/4/$B$1</f>
        <v>#NAME?</v>
      </c>
      <c r="T24" s="218"/>
      <c r="U24" s="150"/>
      <c r="V24" s="150"/>
      <c r="W24" s="219"/>
      <c r="X24" s="150"/>
      <c r="Y24" s="220" t="e">
        <f ca="1">[1]!interpol(A24,'[2]CA basé sur Ariane 3'!$A$6:$A$23,'[2]CA basé sur Ariane 3'!$B$6:$B$23)*PI()*Géométrie!$B$3^2/4/$B$1</f>
        <v>#NAME?</v>
      </c>
      <c r="Z24" s="213">
        <f>0.6*Géométrie!$B$81+Géométrie!$B$16+Géométrie!$B$2</f>
        <v>10.140938348728373</v>
      </c>
      <c r="AA24" s="219"/>
      <c r="AB24" s="218"/>
      <c r="AC24" s="39" t="e">
        <f ca="1">'Tableaux aéro'!R92</f>
        <v>#NAME?</v>
      </c>
      <c r="AD24" s="220" t="e">
        <f t="shared" ca="1" si="2"/>
        <v>#NAME?</v>
      </c>
      <c r="AE24" s="150"/>
      <c r="AF24" s="249" t="e">
        <f ca="1">[1]!interpol(A24,[4]jupA_data!$A$2:$A$10,[4]jupA_data!$B$2:$B$10)*PI()*(Géométrie!$B$114^2-Géométrie!$B$85^2)/$B$1*COS(Géométrie!$I$96*PI()/180)^2/100</f>
        <v>#NAME?</v>
      </c>
      <c r="AG24" s="83" t="e">
        <f ca="1">[3]!interpol(A24,'[2]CA basé sur Ariane 3'!$A$6:$A$23,'[2]CA basé sur Ariane 3'!$B$6:$B$23)*PI()*Géométrie!$B$73^2/4/$B$1</f>
        <v>#NAME?</v>
      </c>
      <c r="AH24" s="220">
        <f>0.4*(Géométrie!$B$110-Géométrie!$B$111)+Géométrie!$B$84+Géométrie!$B$16+Géométrie!$B$3</f>
        <v>20.498665767514421</v>
      </c>
      <c r="AI24" s="220" t="e">
        <f t="shared" ca="1" si="3"/>
        <v>#NAME?</v>
      </c>
      <c r="AJ24" s="249" t="e">
        <f ca="1">([1]!InterpCn(Géométrie!$I$96,$A24,Géométrie!$B$113)-[1]!InterpCn(Géométrie!$I$96,$A24,0))*PI()*Géométrie!$B$114^2/4</f>
        <v>#NAME?</v>
      </c>
      <c r="AK24" s="39" t="e">
        <f ca="1">'Tableaux aéro'!W92</f>
        <v>#NAME?</v>
      </c>
      <c r="AL24" s="220" t="e">
        <f t="shared" ca="1" si="4"/>
        <v>#NAME?</v>
      </c>
      <c r="AM24" s="253" t="e">
        <f ca="1">(([1]!InterpCm(Géométrie!$I$96,$A24,Géométrie!$B$113)-[1]!InterpCm(Géométrie!$I$96,$A24,0))*PI()*Géométrie!$B$114^2/4/$B$1*$AM$2/$B$2)+AJ24*(-Géométrie!$B$114/2/TAN(Géométrie!$I$96*PI()/180)+Géométrie!$B$2+Géométrie!$B$16+Géométrie!$B$84+Géométrie!$B$110-Géométrie!$B$111)/$B$2</f>
        <v>#NAME?</v>
      </c>
      <c r="AN24" s="150"/>
      <c r="AO24" s="220" t="e">
        <f ca="1">[1]!interpol(A24,'[2]CA basé sur Ariane 3'!$A$6:$A$23,'[2]CA basé sur Ariane 3'!$B$6:$B$23)</f>
        <v>#NAME?</v>
      </c>
      <c r="AP24" s="220">
        <f>0.6*(Géométrie!$B$104+Géométrie!$B$137)+Géométrie!$B$16+Géométrie!$B$13+Géométrie!$B$2+Géométrie!$B$84-Géométrie!$B$104</f>
        <v>24.847187000000002</v>
      </c>
      <c r="AQ24" s="219"/>
      <c r="AR24" s="150"/>
      <c r="AS24" s="39" t="e">
        <f ca="1">'Tableaux aéro'!Y92</f>
        <v>#NAME?</v>
      </c>
      <c r="AT24" s="220" t="e">
        <f t="shared" ca="1" si="5"/>
        <v>#NAME?</v>
      </c>
      <c r="AU24" s="219"/>
      <c r="AV24" s="221" t="e">
        <f ca="1">-'Tableaux aéro'!B130*('Tableaux aéro'!$E$112-'Tableaux aéro'!$E$113)/Aerodynamique!$B$1</f>
        <v>#NAME?</v>
      </c>
      <c r="AW24" s="221" t="e">
        <f ca="1">'Tableaux aéro'!S92</f>
        <v>#NAME?</v>
      </c>
      <c r="AX24" s="73"/>
      <c r="AY24" t="e">
        <f t="shared" ca="1" si="6"/>
        <v>#NAME?</v>
      </c>
      <c r="AZ24" t="e">
        <f ca="1">(AY24-AV24-'Tableaux aéro'!J22)/AW24</f>
        <v>#NAME?</v>
      </c>
      <c r="BA24" t="e">
        <f ca="1">'Tableaux aéro'!J22+'Tableaux aéro'!T92*AZ24</f>
        <v>#NAME?</v>
      </c>
      <c r="BC24" t="e">
        <f t="shared" ca="1" si="7"/>
        <v>#NAME?</v>
      </c>
      <c r="BD24" t="e">
        <f ca="1">(BC24-'Tableaux aéro'!U22)/(([1]!InterpCn(Géométrie!$B$4,$A24,(Géométrie!$B$131-Géométrie!$B$121)/Géométrie!$B$3)-[1]!InterpCn(Géométrie!$B$4,$A24,0))*PI()*Géométrie!$B$3^2/4/$B$1)</f>
        <v>#NAME?</v>
      </c>
      <c r="BE24" t="e">
        <f ca="1">'Tableaux aéro'!U22+(([1]!InterpCn(Géométrie!$B$4,$A24,$BB$3/Géométrie!$B$3)-[1]!InterpCn(Géométrie!$B$4,$A24,0))*PI()*Géométrie!$B$3^2/4/$B$1)*BD24</f>
        <v>#NAME?</v>
      </c>
      <c r="BG24" t="e">
        <f t="shared" ca="1" si="8"/>
        <v>#NAME?</v>
      </c>
      <c r="BH24" t="e">
        <f ca="1">(BG24-'Tableaux aéro'!U22*'Tableaux aéro'!AE22/$B$2)/(([1]!InterpCm(Géométrie!$B$4,$A24,(Géométrie!$B$131-Géométrie!$B$121)/Géométrie!$B$3)-[1]!InterpCm(Géométrie!$B$4,$A24,0))*PI()*Géométrie!$B$3^2/4/$B$1)</f>
        <v>#NAME?</v>
      </c>
      <c r="BI24" t="e">
        <f ca="1">'Tableaux aéro'!U22*'Tableaux aéro'!AE22/$B$2+BH24*(([1]!InterpCm(Géométrie!$B$4,$A24,$BB$3/Géométrie!$B$3)-[1]!InterpCm(Géométrie!$B$4,$A24,0))*PI()*Géométrie!$B$3^2/4/$B$1)</f>
        <v>#NAME?</v>
      </c>
      <c r="BK24" t="e">
        <f t="shared" ca="1" si="9"/>
        <v>#NAME?</v>
      </c>
    </row>
    <row r="25" spans="1:63">
      <c r="A25" s="85">
        <v>1.9</v>
      </c>
      <c r="B25" s="39" t="e">
        <f ca="1">('Tableaux aéro'!U23)*PI()*Géométrie!$B$3^2/4/$B$1</f>
        <v>#NAME?</v>
      </c>
      <c r="C25" s="39" t="e">
        <f ca="1">'Tableaux aéro'!M93*A25*Géométrie!$B$2</f>
        <v>#NAME?</v>
      </c>
      <c r="D25" s="39" t="e">
        <f ca="1">'Tableaux aéro'!J23*PI()*Géométrie!$B$3^2/4/$B$1</f>
        <v>#NAME?</v>
      </c>
      <c r="E25" s="39" t="e">
        <f ca="1">Géométrie!$F$13-('Tableaux aéro'!AE23)*Géométrie!$B$3</f>
        <v>#NAME?</v>
      </c>
      <c r="F25" s="39" t="e">
        <f t="shared" ca="1" si="0"/>
        <v>#NAME?</v>
      </c>
      <c r="G25" s="39" t="e">
        <f ca="1">([1]!InterpCn(Géométrie!$B$4,$A25,Géométrie!$B$18)-[1]!InterpCn(Géométrie!$B$4,$A25,0))*PI()*Géométrie!$B$3^2/4/$B$1</f>
        <v>#NAME?</v>
      </c>
      <c r="H25" s="207" t="e">
        <f ca="1">'Tableaux aéro'!S93</f>
        <v>#NAME?</v>
      </c>
      <c r="I25" s="39" t="e">
        <f t="shared" ca="1" si="1"/>
        <v>#NAME?</v>
      </c>
      <c r="J25" s="39" t="e">
        <f ca="1">([1]!InterpCm(Géométrie!$B$4,$A25,Géométrie!$B$18)-[1]!InterpCm(Géométrie!$B$4,$A25,0))*PI()*Géométrie!$B$3^2/4/$B$1*$J$2/$B$2+G25*(Géométrie!$F$13-Géométrie!$B$3/(2*TAN(Géométrie!$B$4*PI()/180)))*1/$B$2</f>
        <v>#NAME?</v>
      </c>
      <c r="K25" s="216" t="e">
        <f ca="1">'Tableaux aéro'!L23*PI()/180*PI()*Géométrie!$B$3^2/4/$B$1</f>
        <v>#NAME?</v>
      </c>
      <c r="L25" s="216">
        <f>'Tableaux aéro'!B23*PI()*Géométrie!$B$3^2/4/$B$1</f>
        <v>0.20253620312499998</v>
      </c>
      <c r="M25" s="216" t="e">
        <f ca="1">'Tableaux aéro'!W23*Géométrie!$B$3</f>
        <v>#NAME?</v>
      </c>
      <c r="N25" s="216" t="e">
        <f ca="1">K25*(M25-Géométrie!$F$12)/$B$2</f>
        <v>#NAME?</v>
      </c>
      <c r="O25" s="217" t="e">
        <f ca="1">[1]!InterpCn(10,$A25,Géométrie!$F$13/Géométrie!$B$3)*Géométrie!$B$3^2*PI()/4/Aerodynamique!$B$1</f>
        <v>#NAME?</v>
      </c>
      <c r="P25" s="216" t="e">
        <f ca="1">'Tableaux aéro'!M93*A25*Géométrie!$F$13</f>
        <v>#NAME?</v>
      </c>
      <c r="Q25" s="216" t="e">
        <f ca="1">0.445/POWER(LOG(P25),2.58)/POWER(1+0.15*A25^2,0.58)*Géométrie!$B$10/$B$1</f>
        <v>#NAME?</v>
      </c>
      <c r="R25" s="216"/>
      <c r="S25" s="216" t="e">
        <f ca="1">[1]!InterpCm(10,$A25,Géométrie!$F$13/Géométrie!$B$3)*Géométrie!$B$3^2*PI()/4/$B$1</f>
        <v>#NAME?</v>
      </c>
      <c r="T25" s="218"/>
      <c r="U25" s="150"/>
      <c r="V25" s="150"/>
      <c r="W25" s="219"/>
      <c r="X25" s="150"/>
      <c r="Y25" s="220" t="e">
        <f ca="1">[1]!interpol(A25,'[2]CA basé sur Ariane 3'!$A$6:$A$23,'[2]CA basé sur Ariane 3'!$B$6:$B$23)*PI()*Géométrie!$B$3^2/4/$B$1</f>
        <v>#NAME?</v>
      </c>
      <c r="Z25" s="213">
        <f>0.6*Géométrie!$B$81+Géométrie!$B$16+Géométrie!$B$2</f>
        <v>10.140938348728373</v>
      </c>
      <c r="AA25" s="219"/>
      <c r="AB25" s="218"/>
      <c r="AC25" s="39" t="e">
        <f ca="1">'Tableaux aéro'!R93</f>
        <v>#NAME?</v>
      </c>
      <c r="AD25" s="220" t="e">
        <f t="shared" ca="1" si="2"/>
        <v>#NAME?</v>
      </c>
      <c r="AE25" s="150"/>
      <c r="AF25" s="249" t="e">
        <f ca="1">[1]!interpol(A25,[4]jupA_data!$A$2:$A$10,[4]jupA_data!$B$2:$B$10)*PI()*(Géométrie!$B$114^2-Géométrie!$B$85^2)/$B$1*COS(Géométrie!$I$96*PI()/180)^2/100</f>
        <v>#NAME?</v>
      </c>
      <c r="AG25" s="83" t="e">
        <f ca="1">[3]!interpol(A25,'[2]CA basé sur Ariane 3'!$A$6:$A$23,'[2]CA basé sur Ariane 3'!$B$6:$B$23)*PI()*Géométrie!$B$73^2/4/$B$1</f>
        <v>#NAME?</v>
      </c>
      <c r="AH25" s="220">
        <f>0.4*(Géométrie!$B$110-Géométrie!$B$111)+Géométrie!$B$84+Géométrie!$B$16+Géométrie!$B$3</f>
        <v>20.498665767514421</v>
      </c>
      <c r="AI25" s="220" t="e">
        <f t="shared" ca="1" si="3"/>
        <v>#NAME?</v>
      </c>
      <c r="AJ25" s="249" t="e">
        <f ca="1">([1]!InterpCn(Géométrie!$I$96,$A25,Géométrie!$B$113)-[1]!InterpCn(Géométrie!$I$96,$A25,0))*PI()*Géométrie!$B$114^2/4</f>
        <v>#NAME?</v>
      </c>
      <c r="AK25" s="39" t="e">
        <f ca="1">'Tableaux aéro'!W93</f>
        <v>#NAME?</v>
      </c>
      <c r="AL25" s="220" t="e">
        <f t="shared" ca="1" si="4"/>
        <v>#NAME?</v>
      </c>
      <c r="AM25" s="253" t="e">
        <f ca="1">(([1]!InterpCm(Géométrie!$I$96,$A25,Géométrie!$B$113)-[1]!InterpCm(Géométrie!$I$96,$A25,0))*PI()*Géométrie!$B$114^2/4/$B$1*$AM$2/$B$2)+AJ25*(-Géométrie!$B$114/2/TAN(Géométrie!$I$96*PI()/180)+Géométrie!$B$2+Géométrie!$B$16+Géométrie!$B$84+Géométrie!$B$110-Géométrie!$B$111)/$B$2</f>
        <v>#NAME?</v>
      </c>
      <c r="AN25" s="150"/>
      <c r="AO25" s="220" t="e">
        <f ca="1">[1]!interpol(A25,'[2]CA basé sur Ariane 3'!$A$6:$A$23,'[2]CA basé sur Ariane 3'!$B$6:$B$23)</f>
        <v>#NAME?</v>
      </c>
      <c r="AP25" s="220">
        <f>0.6*(Géométrie!$B$104+Géométrie!$B$137)+Géométrie!$B$16+Géométrie!$B$13+Géométrie!$B$2+Géométrie!$B$84-Géométrie!$B$104</f>
        <v>24.847187000000002</v>
      </c>
      <c r="AQ25" s="219"/>
      <c r="AR25" s="150"/>
      <c r="AS25" s="39" t="e">
        <f ca="1">'Tableaux aéro'!Y93</f>
        <v>#NAME?</v>
      </c>
      <c r="AT25" s="220" t="e">
        <f t="shared" ca="1" si="5"/>
        <v>#NAME?</v>
      </c>
      <c r="AU25" s="219"/>
      <c r="AV25" s="221" t="e">
        <f ca="1">-'Tableaux aéro'!B131*('Tableaux aéro'!$E$112-'Tableaux aéro'!$E$113)/Aerodynamique!$B$1</f>
        <v>#NAME?</v>
      </c>
      <c r="AW25" s="221" t="e">
        <f ca="1">'Tableaux aéro'!S93</f>
        <v>#NAME?</v>
      </c>
      <c r="AX25" s="73"/>
      <c r="AY25" t="e">
        <f t="shared" ca="1" si="6"/>
        <v>#NAME?</v>
      </c>
      <c r="AZ25" t="e">
        <f ca="1">(AY25-AV25-'Tableaux aéro'!J23)/AW25</f>
        <v>#NAME?</v>
      </c>
      <c r="BA25" t="e">
        <f ca="1">'Tableaux aéro'!J23+'Tableaux aéro'!T93*AZ25</f>
        <v>#NAME?</v>
      </c>
      <c r="BC25" t="e">
        <f t="shared" ca="1" si="7"/>
        <v>#NAME?</v>
      </c>
      <c r="BD25" t="e">
        <f ca="1">(BC25-'Tableaux aéro'!U23)/(([1]!InterpCn(Géométrie!$B$4,$A25,(Géométrie!$B$131-Géométrie!$B$121)/Géométrie!$B$3)-[1]!InterpCn(Géométrie!$B$4,$A25,0))*PI()*Géométrie!$B$3^2/4/$B$1)</f>
        <v>#NAME?</v>
      </c>
      <c r="BE25" t="e">
        <f ca="1">'Tableaux aéro'!U23+(([1]!InterpCn(Géométrie!$B$4,$A25,$BB$3/Géométrie!$B$3)-[1]!InterpCn(Géométrie!$B$4,$A25,0))*PI()*Géométrie!$B$3^2/4/$B$1)*BD25</f>
        <v>#NAME?</v>
      </c>
      <c r="BG25" t="e">
        <f t="shared" ca="1" si="8"/>
        <v>#NAME?</v>
      </c>
      <c r="BH25" t="e">
        <f ca="1">(BG25-'Tableaux aéro'!U23*'Tableaux aéro'!AE23/$B$2)/(([1]!InterpCm(Géométrie!$B$4,$A25,(Géométrie!$B$131-Géométrie!$B$121)/Géométrie!$B$3)-[1]!InterpCm(Géométrie!$B$4,$A25,0))*PI()*Géométrie!$B$3^2/4/$B$1)</f>
        <v>#NAME?</v>
      </c>
      <c r="BI25" t="e">
        <f ca="1">'Tableaux aéro'!U23*'Tableaux aéro'!AE23/$B$2+BH25*(([1]!InterpCm(Géométrie!$B$4,$A25,$BB$3/Géométrie!$B$3)-[1]!InterpCm(Géométrie!$B$4,$A25,0))*PI()*Géométrie!$B$3^2/4/$B$1)</f>
        <v>#NAME?</v>
      </c>
      <c r="BK25" t="e">
        <f t="shared" ca="1" si="9"/>
        <v>#NAME?</v>
      </c>
    </row>
    <row r="26" spans="1:63">
      <c r="A26" s="85">
        <v>2.1</v>
      </c>
      <c r="B26" s="39" t="e">
        <f ca="1">('Tableaux aéro'!U24)*PI()*Géométrie!$B$3^2/4/$B$1</f>
        <v>#NAME?</v>
      </c>
      <c r="C26" s="39" t="e">
        <f ca="1">'Tableaux aéro'!M94*A26*Géométrie!$B$2</f>
        <v>#NAME?</v>
      </c>
      <c r="D26" s="39" t="e">
        <f ca="1">'Tableaux aéro'!J24*PI()*Géométrie!$B$3^2/4/$B$1</f>
        <v>#NAME?</v>
      </c>
      <c r="E26" s="39" t="e">
        <f ca="1">Géométrie!$F$13-('Tableaux aéro'!AE24)*Géométrie!$B$3</f>
        <v>#NAME?</v>
      </c>
      <c r="F26" s="39" t="e">
        <f t="shared" ca="1" si="0"/>
        <v>#NAME?</v>
      </c>
      <c r="G26" s="39" t="e">
        <f ca="1">([1]!InterpCn(Géométrie!$B$4,$A26,Géométrie!$B$18)-[1]!InterpCn(Géométrie!$B$4,$A26,0))*PI()*Géométrie!$B$3^2/4/$B$1</f>
        <v>#NAME?</v>
      </c>
      <c r="H26" s="207" t="e">
        <f ca="1">'Tableaux aéro'!S94</f>
        <v>#NAME?</v>
      </c>
      <c r="I26" s="39" t="e">
        <f t="shared" ca="1" si="1"/>
        <v>#NAME?</v>
      </c>
      <c r="J26" s="39" t="e">
        <f ca="1">([1]!InterpCm(Géométrie!$B$4,$A26,Géométrie!$B$18)-[1]!InterpCm(Géométrie!$B$4,$A26,0))*PI()*Géométrie!$B$3^2/4/$B$1*$J$2/$B$2+G26*(Géométrie!$F$13-Géométrie!$B$3/(2*TAN(Géométrie!$B$4*PI()/180)))*1/$B$2</f>
        <v>#NAME?</v>
      </c>
      <c r="K26" s="216" t="e">
        <f ca="1">'Tableaux aéro'!L24*PI()/180*PI()*Géométrie!$B$3^2/4/$B$1</f>
        <v>#NAME?</v>
      </c>
      <c r="L26" s="216">
        <f>'Tableaux aéro'!B24*PI()*Géométrie!$B$3^2/4/$B$1</f>
        <v>0.19338631249999996</v>
      </c>
      <c r="M26" s="216" t="e">
        <f ca="1">'Tableaux aéro'!W24*Géométrie!$B$3</f>
        <v>#NAME?</v>
      </c>
      <c r="N26" s="216" t="e">
        <f ca="1">K26*(M26-Géométrie!$F$12)/$B$2</f>
        <v>#NAME?</v>
      </c>
      <c r="O26" s="217" t="e">
        <f ca="1">[1]!InterpCn(10,$A26,Géométrie!$F$13/Géométrie!$B$3)*Géométrie!$B$3^2*PI()/4/Aerodynamique!$B$1</f>
        <v>#NAME?</v>
      </c>
      <c r="P26" s="216" t="e">
        <f ca="1">'Tableaux aéro'!M94*A26*Géométrie!$F$13</f>
        <v>#NAME?</v>
      </c>
      <c r="Q26" s="216" t="e">
        <f ca="1">0.445/POWER(LOG(P26),2.58)/POWER(1+0.15*A26^2,0.58)*Géométrie!$B$10/$B$1</f>
        <v>#NAME?</v>
      </c>
      <c r="R26" s="216"/>
      <c r="S26" s="216" t="e">
        <f ca="1">[1]!InterpCm(10,$A26,Géométrie!$F$13/Géométrie!$B$3)*Géométrie!$B$3^2*PI()/4/$B$1</f>
        <v>#NAME?</v>
      </c>
      <c r="T26" s="218"/>
      <c r="U26" s="150"/>
      <c r="V26" s="150"/>
      <c r="W26" s="219"/>
      <c r="X26" s="150"/>
      <c r="Y26" s="220" t="e">
        <f ca="1">[1]!interpol(A26,'[2]CA basé sur Ariane 3'!$A$6:$A$23,'[2]CA basé sur Ariane 3'!$B$6:$B$23)*PI()*Géométrie!$B$3^2/4/$B$1</f>
        <v>#NAME?</v>
      </c>
      <c r="Z26" s="213">
        <f>0.6*Géométrie!$B$81+Géométrie!$B$16+Géométrie!$B$2</f>
        <v>10.140938348728373</v>
      </c>
      <c r="AA26" s="219"/>
      <c r="AB26" s="218"/>
      <c r="AC26" s="39" t="e">
        <f ca="1">'Tableaux aéro'!R94</f>
        <v>#NAME?</v>
      </c>
      <c r="AD26" s="220" t="e">
        <f t="shared" ca="1" si="2"/>
        <v>#NAME?</v>
      </c>
      <c r="AE26" s="150"/>
      <c r="AF26" s="249" t="e">
        <f ca="1">[1]!interpol(A26,[4]jupA_data!$A$2:$A$10,[4]jupA_data!$B$2:$B$10)*PI()*(Géométrie!$B$114^2-Géométrie!$B$85^2)/$B$1*COS(Géométrie!$I$96*PI()/180)^2/100</f>
        <v>#NAME?</v>
      </c>
      <c r="AG26" s="83" t="e">
        <f ca="1">[3]!interpol(A26,'[2]CA basé sur Ariane 3'!$A$6:$A$23,'[2]CA basé sur Ariane 3'!$B$6:$B$23)*PI()*Géométrie!$B$73^2/4/$B$1</f>
        <v>#NAME?</v>
      </c>
      <c r="AH26" s="220">
        <f>0.4*(Géométrie!$B$110-Géométrie!$B$111)+Géométrie!$B$84+Géométrie!$B$16+Géométrie!$B$3</f>
        <v>20.498665767514421</v>
      </c>
      <c r="AI26" s="220" t="e">
        <f t="shared" ca="1" si="3"/>
        <v>#NAME?</v>
      </c>
      <c r="AJ26" s="249" t="e">
        <f ca="1">([1]!InterpCn(Géométrie!$I$96,$A26,Géométrie!$B$113)-[1]!InterpCn(Géométrie!$I$96,$A26,0))*PI()*Géométrie!$B$114^2/4</f>
        <v>#NAME?</v>
      </c>
      <c r="AK26" s="39" t="e">
        <f ca="1">'Tableaux aéro'!W94</f>
        <v>#NAME?</v>
      </c>
      <c r="AL26" s="220" t="e">
        <f t="shared" ca="1" si="4"/>
        <v>#NAME?</v>
      </c>
      <c r="AM26" s="253" t="e">
        <f ca="1">(([1]!InterpCm(Géométrie!$I$96,$A26,Géométrie!$B$113)-[1]!InterpCm(Géométrie!$I$96,$A26,0))*PI()*Géométrie!$B$114^2/4/$B$1*$AM$2/$B$2)+AJ26*(-Géométrie!$B$114/2/TAN(Géométrie!$I$96*PI()/180)+Géométrie!$B$2+Géométrie!$B$16+Géométrie!$B$84+Géométrie!$B$110-Géométrie!$B$111)/$B$2</f>
        <v>#NAME?</v>
      </c>
      <c r="AN26" s="150"/>
      <c r="AO26" s="220" t="e">
        <f ca="1">[1]!interpol(A26,'[2]CA basé sur Ariane 3'!$A$6:$A$23,'[2]CA basé sur Ariane 3'!$B$6:$B$23)</f>
        <v>#NAME?</v>
      </c>
      <c r="AP26" s="220">
        <f>0.6*(Géométrie!$B$104+Géométrie!$B$137)+Géométrie!$B$16+Géométrie!$B$13+Géométrie!$B$2+Géométrie!$B$84-Géométrie!$B$104</f>
        <v>24.847187000000002</v>
      </c>
      <c r="AQ26" s="219"/>
      <c r="AR26" s="150"/>
      <c r="AS26" s="39" t="e">
        <f ca="1">'Tableaux aéro'!Y94</f>
        <v>#NAME?</v>
      </c>
      <c r="AT26" s="220" t="e">
        <f t="shared" ca="1" si="5"/>
        <v>#NAME?</v>
      </c>
      <c r="AU26" s="219"/>
      <c r="AV26" s="221" t="e">
        <f ca="1">-'Tableaux aéro'!B132*('Tableaux aéro'!$E$112-'Tableaux aéro'!$E$113)/Aerodynamique!$B$1</f>
        <v>#NAME?</v>
      </c>
      <c r="AW26" s="221" t="e">
        <f ca="1">'Tableaux aéro'!S94</f>
        <v>#NAME?</v>
      </c>
      <c r="AX26" s="73"/>
      <c r="AY26" t="e">
        <f t="shared" ca="1" si="6"/>
        <v>#NAME?</v>
      </c>
      <c r="AZ26" t="e">
        <f ca="1">(AY26-AV26-'Tableaux aéro'!J24)/AW26</f>
        <v>#NAME?</v>
      </c>
      <c r="BA26" t="e">
        <f ca="1">'Tableaux aéro'!J24+'Tableaux aéro'!T94*AZ26</f>
        <v>#NAME?</v>
      </c>
      <c r="BC26" t="e">
        <f t="shared" ca="1" si="7"/>
        <v>#NAME?</v>
      </c>
      <c r="BD26" t="e">
        <f ca="1">(BC26-'Tableaux aéro'!U24)/(([1]!InterpCn(Géométrie!$B$4,$A26,(Géométrie!$B$131-Géométrie!$B$121)/Géométrie!$B$3)-[1]!InterpCn(Géométrie!$B$4,$A26,0))*PI()*Géométrie!$B$3^2/4/$B$1)</f>
        <v>#NAME?</v>
      </c>
      <c r="BE26" t="e">
        <f ca="1">'Tableaux aéro'!U24+(([1]!InterpCn(Géométrie!$B$4,$A26,$BB$3/Géométrie!$B$3)-[1]!InterpCn(Géométrie!$B$4,$A26,0))*PI()*Géométrie!$B$3^2/4/$B$1)*BD26</f>
        <v>#NAME?</v>
      </c>
      <c r="BG26" t="e">
        <f t="shared" ca="1" si="8"/>
        <v>#NAME?</v>
      </c>
      <c r="BH26" t="e">
        <f ca="1">(BG26-'Tableaux aéro'!U24*'Tableaux aéro'!AE24/$B$2)/(([1]!InterpCm(Géométrie!$B$4,$A26,(Géométrie!$B$131-Géométrie!$B$121)/Géométrie!$B$3)-[1]!InterpCm(Géométrie!$B$4,$A26,0))*PI()*Géométrie!$B$3^2/4/$B$1)</f>
        <v>#NAME?</v>
      </c>
      <c r="BI26" t="e">
        <f ca="1">'Tableaux aéro'!U24*'Tableaux aéro'!AE24/$B$2+BH26*(([1]!InterpCm(Géométrie!$B$4,$A26,$BB$3/Géométrie!$B$3)-[1]!InterpCm(Géométrie!$B$4,$A26,0))*PI()*Géométrie!$B$3^2/4/$B$1)</f>
        <v>#NAME?</v>
      </c>
      <c r="BK26" t="e">
        <f t="shared" ca="1" si="9"/>
        <v>#NAME?</v>
      </c>
    </row>
    <row r="27" spans="1:63">
      <c r="A27" s="85">
        <v>2.2999999999999998</v>
      </c>
      <c r="B27" s="39" t="e">
        <f ca="1">('Tableaux aéro'!U25)*PI()*Géométrie!$B$3^2/4/$B$1</f>
        <v>#NAME?</v>
      </c>
      <c r="C27" s="39" t="e">
        <f ca="1">'Tableaux aéro'!M95*A27*Géométrie!$B$2</f>
        <v>#NAME?</v>
      </c>
      <c r="D27" s="39" t="e">
        <f ca="1">'Tableaux aéro'!J25*PI()*Géométrie!$B$3^2/4/$B$1</f>
        <v>#NAME?</v>
      </c>
      <c r="E27" s="39" t="e">
        <f ca="1">Géométrie!$F$13-('Tableaux aéro'!AE25)*Géométrie!$B$3</f>
        <v>#NAME?</v>
      </c>
      <c r="F27" s="39" t="e">
        <f t="shared" ca="1" si="0"/>
        <v>#NAME?</v>
      </c>
      <c r="G27" s="39" t="e">
        <f ca="1">([1]!InterpCn(Géométrie!$B$4,$A27,Géométrie!$B$18)-[1]!InterpCn(Géométrie!$B$4,$A27,0))*PI()*Géométrie!$B$3^2/4/$B$1</f>
        <v>#NAME?</v>
      </c>
      <c r="H27" s="207" t="e">
        <f ca="1">'Tableaux aéro'!S95</f>
        <v>#NAME?</v>
      </c>
      <c r="I27" s="39" t="e">
        <f t="shared" ca="1" si="1"/>
        <v>#NAME?</v>
      </c>
      <c r="J27" s="39" t="e">
        <f ca="1">([1]!InterpCm(Géométrie!$B$4,$A27,Géométrie!$B$18)-[1]!InterpCm(Géométrie!$B$4,$A27,0))*PI()*Géométrie!$B$3^2/4/$B$1*$J$2/$B$2+G27*(Géométrie!$F$13-Géométrie!$B$3/(2*TAN(Géométrie!$B$4*PI()/180)))*1/$B$2</f>
        <v>#NAME?</v>
      </c>
      <c r="K27" s="216" t="e">
        <f ca="1">'Tableaux aéro'!L25*PI()/180*PI()*Géométrie!$B$3^2/4/$B$1</f>
        <v>#NAME?</v>
      </c>
      <c r="L27" s="216">
        <f>'Tableaux aéro'!B25*PI()*Géométrie!$B$3^2/4/$B$1</f>
        <v>0.18565672656249996</v>
      </c>
      <c r="M27" s="216" t="e">
        <f ca="1">'Tableaux aéro'!W25*Géométrie!$B$3</f>
        <v>#NAME?</v>
      </c>
      <c r="N27" s="216" t="e">
        <f ca="1">K27*(M27-Géométrie!$F$12)/$B$2</f>
        <v>#NAME?</v>
      </c>
      <c r="O27" s="217" t="e">
        <f ca="1">[1]!InterpCn(10,$A27,Géométrie!$F$13/Géométrie!$B$3)*Géométrie!$B$3^2*PI()/4/Aerodynamique!$B$1</f>
        <v>#NAME?</v>
      </c>
      <c r="P27" s="216" t="e">
        <f ca="1">'Tableaux aéro'!M95*A27*Géométrie!$F$13</f>
        <v>#NAME?</v>
      </c>
      <c r="Q27" s="216" t="e">
        <f ca="1">0.445/POWER(LOG(P27),2.58)/POWER(1+0.15*A27^2,0.58)*Géométrie!$B$10/$B$1</f>
        <v>#NAME?</v>
      </c>
      <c r="R27" s="216"/>
      <c r="S27" s="216" t="e">
        <f ca="1">[1]!InterpCm(10,$A27,Géométrie!$F$13/Géométrie!$B$3)*Géométrie!$B$3^2*PI()/4/$B$1</f>
        <v>#NAME?</v>
      </c>
      <c r="T27" s="218"/>
      <c r="U27" s="150"/>
      <c r="V27" s="150"/>
      <c r="W27" s="219"/>
      <c r="X27" s="150"/>
      <c r="Y27" s="220" t="e">
        <f ca="1">[1]!interpol(A27,'[2]CA basé sur Ariane 3'!$A$6:$A$23,'[2]CA basé sur Ariane 3'!$B$6:$B$23)*PI()*Géométrie!$B$3^2/4/$B$1</f>
        <v>#NAME?</v>
      </c>
      <c r="Z27" s="213">
        <f>0.6*Géométrie!$B$81+Géométrie!$B$16+Géométrie!$B$2</f>
        <v>10.140938348728373</v>
      </c>
      <c r="AA27" s="219"/>
      <c r="AB27" s="218"/>
      <c r="AC27" s="39" t="e">
        <f ca="1">'Tableaux aéro'!R95</f>
        <v>#NAME?</v>
      </c>
      <c r="AD27" s="220" t="e">
        <f t="shared" ca="1" si="2"/>
        <v>#NAME?</v>
      </c>
      <c r="AE27" s="150"/>
      <c r="AF27" s="249" t="e">
        <f ca="1">[1]!interpol(A27,[4]jupA_data!$A$2:$A$10,[4]jupA_data!$B$2:$B$10)*PI()*(Géométrie!$B$114^2-Géométrie!$B$85^2)/$B$1*COS(Géométrie!$I$96*PI()/180)^2/100</f>
        <v>#NAME?</v>
      </c>
      <c r="AG27" s="83" t="e">
        <f ca="1">[3]!interpol(A27,'[2]CA basé sur Ariane 3'!$A$6:$A$23,'[2]CA basé sur Ariane 3'!$B$6:$B$23)*PI()*Géométrie!$B$73^2/4/$B$1</f>
        <v>#NAME?</v>
      </c>
      <c r="AH27" s="220">
        <f>0.4*(Géométrie!$B$110-Géométrie!$B$111)+Géométrie!$B$84+Géométrie!$B$16+Géométrie!$B$3</f>
        <v>20.498665767514421</v>
      </c>
      <c r="AI27" s="220" t="e">
        <f t="shared" ca="1" si="3"/>
        <v>#NAME?</v>
      </c>
      <c r="AJ27" s="249" t="e">
        <f ca="1">([1]!InterpCn(Géométrie!$I$96,$A27,Géométrie!$B$113)-[1]!InterpCn(Géométrie!$I$96,$A27,0))*PI()*Géométrie!$B$114^2/4</f>
        <v>#NAME?</v>
      </c>
      <c r="AK27" s="39" t="e">
        <f ca="1">'Tableaux aéro'!W95</f>
        <v>#NAME?</v>
      </c>
      <c r="AL27" s="220" t="e">
        <f t="shared" ca="1" si="4"/>
        <v>#NAME?</v>
      </c>
      <c r="AM27" s="253" t="e">
        <f ca="1">(([1]!InterpCm(Géométrie!$I$96,$A27,Géométrie!$B$113)-[1]!InterpCm(Géométrie!$I$96,$A27,0))*PI()*Géométrie!$B$114^2/4/$B$1*$AM$2/$B$2)+AJ27*(-Géométrie!$B$114/2/TAN(Géométrie!$I$96*PI()/180)+Géométrie!$B$2+Géométrie!$B$16+Géométrie!$B$84+Géométrie!$B$110-Géométrie!$B$111)/$B$2</f>
        <v>#NAME?</v>
      </c>
      <c r="AN27" s="150"/>
      <c r="AO27" s="220" t="e">
        <f ca="1">[1]!interpol(A27,'[2]CA basé sur Ariane 3'!$A$6:$A$23,'[2]CA basé sur Ariane 3'!$B$6:$B$23)</f>
        <v>#NAME?</v>
      </c>
      <c r="AP27" s="220">
        <f>0.6*(Géométrie!$B$104+Géométrie!$B$137)+Géométrie!$B$16+Géométrie!$B$13+Géométrie!$B$2+Géométrie!$B$84-Géométrie!$B$104</f>
        <v>24.847187000000002</v>
      </c>
      <c r="AQ27" s="219"/>
      <c r="AR27" s="150"/>
      <c r="AS27" s="39" t="e">
        <f ca="1">'Tableaux aéro'!Y95</f>
        <v>#NAME?</v>
      </c>
      <c r="AT27" s="220" t="e">
        <f t="shared" ca="1" si="5"/>
        <v>#NAME?</v>
      </c>
      <c r="AU27" s="219"/>
      <c r="AV27" s="221" t="e">
        <f ca="1">-'Tableaux aéro'!B133*('Tableaux aéro'!$E$112-'Tableaux aéro'!$E$113)/Aerodynamique!$B$1</f>
        <v>#NAME?</v>
      </c>
      <c r="AW27" s="221" t="e">
        <f ca="1">'Tableaux aéro'!S95</f>
        <v>#NAME?</v>
      </c>
      <c r="AX27" s="73"/>
      <c r="AY27" t="e">
        <f t="shared" ca="1" si="6"/>
        <v>#NAME?</v>
      </c>
      <c r="AZ27" t="e">
        <f ca="1">(AY27-AV27-'Tableaux aéro'!J25)/AW27</f>
        <v>#NAME?</v>
      </c>
      <c r="BA27" t="e">
        <f ca="1">'Tableaux aéro'!J25+'Tableaux aéro'!T95*AZ27</f>
        <v>#NAME?</v>
      </c>
      <c r="BC27" t="e">
        <f t="shared" ca="1" si="7"/>
        <v>#NAME?</v>
      </c>
      <c r="BD27" t="e">
        <f ca="1">(BC27-'Tableaux aéro'!U25)/(([1]!InterpCn(Géométrie!$B$4,$A27,(Géométrie!$B$131-Géométrie!$B$121)/Géométrie!$B$3)-[1]!InterpCn(Géométrie!$B$4,$A27,0))*PI()*Géométrie!$B$3^2/4/$B$1)</f>
        <v>#NAME?</v>
      </c>
      <c r="BE27" t="e">
        <f ca="1">'Tableaux aéro'!U25+(([1]!InterpCn(Géométrie!$B$4,$A27,$BB$3/Géométrie!$B$3)-[1]!InterpCn(Géométrie!$B$4,$A27,0))*PI()*Géométrie!$B$3^2/4/$B$1)*BD27</f>
        <v>#NAME?</v>
      </c>
      <c r="BG27" t="e">
        <f t="shared" ca="1" si="8"/>
        <v>#NAME?</v>
      </c>
      <c r="BH27" t="e">
        <f ca="1">(BG27-'Tableaux aéro'!U25*'Tableaux aéro'!AE25/$B$2)/(([1]!InterpCm(Géométrie!$B$4,$A27,(Géométrie!$B$131-Géométrie!$B$121)/Géométrie!$B$3)-[1]!InterpCm(Géométrie!$B$4,$A27,0))*PI()*Géométrie!$B$3^2/4/$B$1)</f>
        <v>#NAME?</v>
      </c>
      <c r="BI27" t="e">
        <f ca="1">'Tableaux aéro'!U25*'Tableaux aéro'!AE25/$B$2+BH27*(([1]!InterpCm(Géométrie!$B$4,$A27,$BB$3/Géométrie!$B$3)-[1]!InterpCm(Géométrie!$B$4,$A27,0))*PI()*Géométrie!$B$3^2/4/$B$1)</f>
        <v>#NAME?</v>
      </c>
      <c r="BK27" t="e">
        <f t="shared" ca="1" si="9"/>
        <v>#NAME?</v>
      </c>
    </row>
    <row r="28" spans="1:63">
      <c r="A28" s="85">
        <v>2.5</v>
      </c>
      <c r="B28" s="39" t="e">
        <f ca="1">('Tableaux aéro'!U26)*PI()*Géométrie!$B$3^2/4/$B$1</f>
        <v>#NAME?</v>
      </c>
      <c r="C28" s="39" t="e">
        <f ca="1">'Tableaux aéro'!M96*A28*Géométrie!$B$2</f>
        <v>#NAME?</v>
      </c>
      <c r="D28" s="39" t="e">
        <f ca="1">'Tableaux aéro'!J26*PI()*Géométrie!$B$3^2/4/$B$1</f>
        <v>#NAME?</v>
      </c>
      <c r="E28" s="39" t="e">
        <f ca="1">Géométrie!$F$13-('Tableaux aéro'!AE26)*Géométrie!$B$3</f>
        <v>#NAME?</v>
      </c>
      <c r="F28" s="39" t="e">
        <f t="shared" ca="1" si="0"/>
        <v>#NAME?</v>
      </c>
      <c r="G28" s="39" t="e">
        <f ca="1">([1]!InterpCn(Géométrie!$B$4,$A28,Géométrie!$B$18)-[1]!InterpCn(Géométrie!$B$4,$A28,0))*PI()*Géométrie!$B$3^2/4/$B$1</f>
        <v>#NAME?</v>
      </c>
      <c r="H28" s="207" t="e">
        <f ca="1">'Tableaux aéro'!S96</f>
        <v>#NAME?</v>
      </c>
      <c r="I28" s="39" t="e">
        <f t="shared" ca="1" si="1"/>
        <v>#NAME?</v>
      </c>
      <c r="J28" s="39" t="e">
        <f ca="1">([1]!InterpCm(Géométrie!$B$4,$A28,Géométrie!$B$18)-[1]!InterpCm(Géométrie!$B$4,$A28,0))*PI()*Géométrie!$B$3^2/4/$B$1*$J$2/$B$2+G28*(Géométrie!$F$13-Géométrie!$B$3/(2*TAN(Géométrie!$B$4*PI()/180)))*1/$B$2</f>
        <v>#NAME?</v>
      </c>
      <c r="K28" s="216" t="e">
        <f ca="1">'Tableaux aéro'!L26*PI()/180*PI()*Géométrie!$B$3^2/4/$B$1</f>
        <v>#NAME?</v>
      </c>
      <c r="L28" s="216">
        <f>'Tableaux aéro'!B26*PI()*Géométrie!$B$3^2/4/$B$1</f>
        <v>0.17792714062499998</v>
      </c>
      <c r="M28" s="216" t="e">
        <f ca="1">'Tableaux aéro'!W26*Géométrie!$B$3</f>
        <v>#NAME?</v>
      </c>
      <c r="N28" s="216" t="e">
        <f ca="1">K28*(M28-Géométrie!$F$12)/$B$2</f>
        <v>#NAME?</v>
      </c>
      <c r="O28" s="217" t="e">
        <f ca="1">[1]!InterpCn(10,$A28,Géométrie!$F$13/Géométrie!$B$3)*Géométrie!$B$3^2*PI()/4/Aerodynamique!$B$1</f>
        <v>#NAME?</v>
      </c>
      <c r="P28" s="216" t="e">
        <f ca="1">'Tableaux aéro'!M96*A28*Géométrie!$F$13</f>
        <v>#NAME?</v>
      </c>
      <c r="Q28" s="216" t="e">
        <f ca="1">0.445/POWER(LOG(P28),2.58)/POWER(1+0.15*A28^2,0.58)*Géométrie!$B$10/$B$1</f>
        <v>#NAME?</v>
      </c>
      <c r="R28" s="216"/>
      <c r="S28" s="216" t="e">
        <f ca="1">[1]!InterpCm(10,$A28,Géométrie!$F$13/Géométrie!$B$3)*Géométrie!$B$3^2*PI()/4/$B$1</f>
        <v>#NAME?</v>
      </c>
      <c r="T28" s="218"/>
      <c r="U28" s="150"/>
      <c r="V28" s="150"/>
      <c r="W28" s="219"/>
      <c r="X28" s="150"/>
      <c r="Y28" s="220" t="e">
        <f ca="1">[1]!interpol(A28,'[2]CA basé sur Ariane 3'!$A$6:$A$23,'[2]CA basé sur Ariane 3'!$B$6:$B$23)*PI()*Géométrie!$B$3^2/4/$B$1</f>
        <v>#NAME?</v>
      </c>
      <c r="Z28" s="213">
        <f>0.6*Géométrie!$B$81+Géométrie!$B$16+Géométrie!$B$2</f>
        <v>10.140938348728373</v>
      </c>
      <c r="AA28" s="219"/>
      <c r="AB28" s="218"/>
      <c r="AC28" s="39" t="e">
        <f ca="1">'Tableaux aéro'!R96</f>
        <v>#NAME?</v>
      </c>
      <c r="AD28" s="220" t="e">
        <f t="shared" ca="1" si="2"/>
        <v>#NAME?</v>
      </c>
      <c r="AE28" s="150"/>
      <c r="AF28" s="249" t="e">
        <f ca="1">[1]!interpol(A28,[4]jupA_data!$A$2:$A$10,[4]jupA_data!$B$2:$B$10)*PI()*(Géométrie!$B$114^2-Géométrie!$B$85^2)/$B$1*COS(Géométrie!$I$96*PI()/180)^2/100</f>
        <v>#NAME?</v>
      </c>
      <c r="AG28" s="83" t="e">
        <f ca="1">[3]!interpol(A28,'[2]CA basé sur Ariane 3'!$A$6:$A$23,'[2]CA basé sur Ariane 3'!$B$6:$B$23)*PI()*Géométrie!$B$73^2/4/$B$1</f>
        <v>#NAME?</v>
      </c>
      <c r="AH28" s="220">
        <f>0.4*(Géométrie!$B$110-Géométrie!$B$111)+Géométrie!$B$84+Géométrie!$B$16+Géométrie!$B$3</f>
        <v>20.498665767514421</v>
      </c>
      <c r="AI28" s="220" t="e">
        <f t="shared" ca="1" si="3"/>
        <v>#NAME?</v>
      </c>
      <c r="AJ28" s="249" t="e">
        <f ca="1">([1]!InterpCn(Géométrie!$I$96,$A28,Géométrie!$B$113)-[1]!InterpCn(Géométrie!$I$96,$A28,0))*PI()*Géométrie!$B$114^2/4</f>
        <v>#NAME?</v>
      </c>
      <c r="AK28" s="39" t="e">
        <f ca="1">'Tableaux aéro'!W96</f>
        <v>#NAME?</v>
      </c>
      <c r="AL28" s="220" t="e">
        <f t="shared" ca="1" si="4"/>
        <v>#NAME?</v>
      </c>
      <c r="AM28" s="253" t="e">
        <f ca="1">(([1]!InterpCm(Géométrie!$I$96,$A28,Géométrie!$B$113)-[1]!InterpCm(Géométrie!$I$96,$A28,0))*PI()*Géométrie!$B$114^2/4/$B$1*$AM$2/$B$2)+AJ28*(-Géométrie!$B$114/2/TAN(Géométrie!$I$96*PI()/180)+Géométrie!$B$2+Géométrie!$B$16+Géométrie!$B$84+Géométrie!$B$110-Géométrie!$B$111)/$B$2</f>
        <v>#NAME?</v>
      </c>
      <c r="AN28" s="150"/>
      <c r="AO28" s="220" t="e">
        <f ca="1">[1]!interpol(A28,'[2]CA basé sur Ariane 3'!$A$6:$A$23,'[2]CA basé sur Ariane 3'!$B$6:$B$23)</f>
        <v>#NAME?</v>
      </c>
      <c r="AP28" s="220">
        <f>0.6*(Géométrie!$B$104+Géométrie!$B$137)+Géométrie!$B$16+Géométrie!$B$13+Géométrie!$B$2+Géométrie!$B$84-Géométrie!$B$104</f>
        <v>24.847187000000002</v>
      </c>
      <c r="AQ28" s="219"/>
      <c r="AR28" s="150"/>
      <c r="AS28" s="39" t="e">
        <f ca="1">'Tableaux aéro'!Y96</f>
        <v>#NAME?</v>
      </c>
      <c r="AT28" s="220" t="e">
        <f t="shared" ca="1" si="5"/>
        <v>#NAME?</v>
      </c>
      <c r="AU28" s="219"/>
      <c r="AV28" s="221" t="e">
        <f ca="1">-'Tableaux aéro'!B134*('Tableaux aéro'!$E$112-'Tableaux aéro'!$E$113)/Aerodynamique!$B$1</f>
        <v>#NAME?</v>
      </c>
      <c r="AW28" s="221" t="e">
        <f ca="1">'Tableaux aéro'!S96</f>
        <v>#NAME?</v>
      </c>
      <c r="AX28" s="73"/>
      <c r="AY28" t="e">
        <f t="shared" ca="1" si="6"/>
        <v>#NAME?</v>
      </c>
      <c r="AZ28" t="e">
        <f ca="1">(AY28-AV28-'Tableaux aéro'!J26)/AW28</f>
        <v>#NAME?</v>
      </c>
      <c r="BA28" t="e">
        <f ca="1">'Tableaux aéro'!J26+'Tableaux aéro'!T96*AZ28</f>
        <v>#NAME?</v>
      </c>
      <c r="BC28" t="e">
        <f t="shared" ca="1" si="7"/>
        <v>#NAME?</v>
      </c>
      <c r="BD28" t="e">
        <f ca="1">(BC28-'Tableaux aéro'!U26)/(([1]!InterpCn(Géométrie!$B$4,$A28,(Géométrie!$B$131-Géométrie!$B$121)/Géométrie!$B$3)-[1]!InterpCn(Géométrie!$B$4,$A28,0))*PI()*Géométrie!$B$3^2/4/$B$1)</f>
        <v>#NAME?</v>
      </c>
      <c r="BE28" t="e">
        <f ca="1">'Tableaux aéro'!U26+(([1]!InterpCn(Géométrie!$B$4,$A28,$BB$3/Géométrie!$B$3)-[1]!InterpCn(Géométrie!$B$4,$A28,0))*PI()*Géométrie!$B$3^2/4/$B$1)*BD28</f>
        <v>#NAME?</v>
      </c>
      <c r="BG28" t="e">
        <f t="shared" ca="1" si="8"/>
        <v>#NAME?</v>
      </c>
      <c r="BH28" t="e">
        <f ca="1">(BG28-'Tableaux aéro'!U26*'Tableaux aéro'!AE26/$B$2)/(([1]!InterpCm(Géométrie!$B$4,$A28,(Géométrie!$B$131-Géométrie!$B$121)/Géométrie!$B$3)-[1]!InterpCm(Géométrie!$B$4,$A28,0))*PI()*Géométrie!$B$3^2/4/$B$1)</f>
        <v>#NAME?</v>
      </c>
      <c r="BI28" t="e">
        <f ca="1">'Tableaux aéro'!U26*'Tableaux aéro'!AE26/$B$2+BH28*(([1]!InterpCm(Géométrie!$B$4,$A28,$BB$3/Géométrie!$B$3)-[1]!InterpCm(Géométrie!$B$4,$A28,0))*PI()*Géométrie!$B$3^2/4/$B$1)</f>
        <v>#NAME?</v>
      </c>
      <c r="BK28" t="e">
        <f t="shared" ca="1" si="9"/>
        <v>#NAME?</v>
      </c>
    </row>
    <row r="29" spans="1:63">
      <c r="A29" s="85">
        <v>2.7</v>
      </c>
      <c r="B29" s="39" t="e">
        <f ca="1">('Tableaux aéro'!U27)*PI()*Géométrie!$B$3^2/4/$B$1</f>
        <v>#NAME?</v>
      </c>
      <c r="C29" s="39" t="e">
        <f ca="1">'Tableaux aéro'!M97*A29*Géométrie!$B$2</f>
        <v>#NAME?</v>
      </c>
      <c r="D29" s="39" t="e">
        <f ca="1">'Tableaux aéro'!J27*PI()*Géométrie!$B$3^2/4/$B$1</f>
        <v>#NAME?</v>
      </c>
      <c r="E29" s="39" t="e">
        <f ca="1">Géométrie!$F$13-('Tableaux aéro'!AE27)*Géométrie!$B$3</f>
        <v>#NAME?</v>
      </c>
      <c r="F29" s="39" t="e">
        <f t="shared" ca="1" si="0"/>
        <v>#NAME?</v>
      </c>
      <c r="G29" s="39" t="e">
        <f ca="1">([1]!InterpCn(Géométrie!$B$4,$A29,Géométrie!$B$18)-[1]!InterpCn(Géométrie!$B$4,$A29,0))*PI()*Géométrie!$B$3^2/4/$B$1</f>
        <v>#NAME?</v>
      </c>
      <c r="H29" s="207" t="e">
        <f ca="1">'Tableaux aéro'!S97</f>
        <v>#NAME?</v>
      </c>
      <c r="I29" s="39" t="e">
        <f t="shared" ca="1" si="1"/>
        <v>#NAME?</v>
      </c>
      <c r="J29" s="39" t="e">
        <f ca="1">([1]!InterpCm(Géométrie!$B$4,$A29,Géométrie!$B$18)-[1]!InterpCm(Géométrie!$B$4,$A29,0))*PI()*Géométrie!$B$3^2/4/$B$1*$J$2/$B$2+G29*(Géométrie!$F$13-Géométrie!$B$3/(2*TAN(Géométrie!$B$4*PI()/180)))*1/$B$2</f>
        <v>#NAME?</v>
      </c>
      <c r="K29" s="216" t="e">
        <f ca="1">'Tableaux aéro'!L27*PI()/180*PI()*Géométrie!$B$3^2/4/$B$1</f>
        <v>#NAME?</v>
      </c>
      <c r="L29" s="216">
        <f>'Tableaux aéro'!B27*PI()*Géométrie!$B$3^2/4/$B$1</f>
        <v>0.17019755468749997</v>
      </c>
      <c r="M29" s="216" t="e">
        <f ca="1">'Tableaux aéro'!W27*Géométrie!$B$3</f>
        <v>#NAME?</v>
      </c>
      <c r="N29" s="216" t="e">
        <f ca="1">K29*(M29-Géométrie!$F$12)/$B$2</f>
        <v>#NAME?</v>
      </c>
      <c r="O29" s="217" t="e">
        <f ca="1">[1]!InterpCn(10,$A29,Géométrie!$F$13/Géométrie!$B$3)*Géométrie!$B$3^2*PI()/4/Aerodynamique!$B$1</f>
        <v>#NAME?</v>
      </c>
      <c r="P29" s="216" t="e">
        <f ca="1">'Tableaux aéro'!M97*A29*Géométrie!$F$13</f>
        <v>#NAME?</v>
      </c>
      <c r="Q29" s="216" t="e">
        <f ca="1">0.445/POWER(LOG(P29),2.58)/POWER(1+0.15*A29^2,0.58)*Géométrie!$B$10/$B$1</f>
        <v>#NAME?</v>
      </c>
      <c r="R29" s="216"/>
      <c r="S29" s="216" t="e">
        <f ca="1">[1]!InterpCm(10,$A29,Géométrie!$F$13/Géométrie!$B$3)*Géométrie!$B$3^2*PI()/4/$B$1</f>
        <v>#NAME?</v>
      </c>
      <c r="T29" s="218"/>
      <c r="U29" s="150"/>
      <c r="V29" s="150"/>
      <c r="W29" s="219"/>
      <c r="X29" s="150"/>
      <c r="Y29" s="220" t="e">
        <f ca="1">[1]!interpol(A29,'[2]CA basé sur Ariane 3'!$A$6:$A$23,'[2]CA basé sur Ariane 3'!$B$6:$B$23)*PI()*Géométrie!$B$3^2/4/$B$1</f>
        <v>#NAME?</v>
      </c>
      <c r="Z29" s="213">
        <f>0.6*Géométrie!$B$81+Géométrie!$B$16+Géométrie!$B$2</f>
        <v>10.140938348728373</v>
      </c>
      <c r="AA29" s="219"/>
      <c r="AB29" s="218"/>
      <c r="AC29" s="39" t="e">
        <f ca="1">'Tableaux aéro'!R97</f>
        <v>#NAME?</v>
      </c>
      <c r="AD29" s="220" t="e">
        <f t="shared" ca="1" si="2"/>
        <v>#NAME?</v>
      </c>
      <c r="AE29" s="150"/>
      <c r="AF29" s="249" t="e">
        <f ca="1">[1]!interpol(A29,[4]jupA_data!$A$2:$A$10,[4]jupA_data!$B$2:$B$10)*PI()*(Géométrie!$B$114^2-Géométrie!$B$85^2)/$B$1*COS(Géométrie!$I$96*PI()/180)^2/100</f>
        <v>#NAME?</v>
      </c>
      <c r="AG29" s="83" t="e">
        <f ca="1">[3]!interpol(A29,'[2]CA basé sur Ariane 3'!$A$6:$A$23,'[2]CA basé sur Ariane 3'!$B$6:$B$23)*PI()*Géométrie!$B$73^2/4/$B$1</f>
        <v>#NAME?</v>
      </c>
      <c r="AH29" s="220">
        <f>0.4*(Géométrie!$B$110-Géométrie!$B$111)+Géométrie!$B$84+Géométrie!$B$16+Géométrie!$B$3</f>
        <v>20.498665767514421</v>
      </c>
      <c r="AI29" s="220" t="e">
        <f t="shared" ca="1" si="3"/>
        <v>#NAME?</v>
      </c>
      <c r="AJ29" s="249" t="e">
        <f ca="1">([1]!InterpCn(Géométrie!$I$96,$A29,Géométrie!$B$113)-[1]!InterpCn(Géométrie!$I$96,$A29,0))*PI()*Géométrie!$B$114^2/4</f>
        <v>#NAME?</v>
      </c>
      <c r="AK29" s="39" t="e">
        <f ca="1">'Tableaux aéro'!W97</f>
        <v>#NAME?</v>
      </c>
      <c r="AL29" s="220" t="e">
        <f t="shared" ca="1" si="4"/>
        <v>#NAME?</v>
      </c>
      <c r="AM29" s="253" t="e">
        <f ca="1">(([1]!InterpCm(Géométrie!$I$96,$A29,Géométrie!$B$113)-[1]!InterpCm(Géométrie!$I$96,$A29,0))*PI()*Géométrie!$B$114^2/4/$B$1*$AM$2/$B$2)+AJ29*(-Géométrie!$B$114/2/TAN(Géométrie!$I$96*PI()/180)+Géométrie!$B$2+Géométrie!$B$16+Géométrie!$B$84+Géométrie!$B$110-Géométrie!$B$111)/$B$2</f>
        <v>#NAME?</v>
      </c>
      <c r="AN29" s="150"/>
      <c r="AO29" s="220" t="e">
        <f ca="1">[1]!interpol(A29,'[2]CA basé sur Ariane 3'!$A$6:$A$23,'[2]CA basé sur Ariane 3'!$B$6:$B$23)</f>
        <v>#NAME?</v>
      </c>
      <c r="AP29" s="220">
        <f>0.6*(Géométrie!$B$104+Géométrie!$B$137)+Géométrie!$B$16+Géométrie!$B$13+Géométrie!$B$2+Géométrie!$B$84-Géométrie!$B$104</f>
        <v>24.847187000000002</v>
      </c>
      <c r="AQ29" s="219"/>
      <c r="AR29" s="150"/>
      <c r="AS29" s="39" t="e">
        <f ca="1">'Tableaux aéro'!Y97</f>
        <v>#NAME?</v>
      </c>
      <c r="AT29" s="220" t="e">
        <f t="shared" ca="1" si="5"/>
        <v>#NAME?</v>
      </c>
      <c r="AU29" s="219"/>
      <c r="AV29" s="221" t="e">
        <f ca="1">-'Tableaux aéro'!B135*('Tableaux aéro'!$E$112-'Tableaux aéro'!$E$113)/Aerodynamique!$B$1</f>
        <v>#NAME?</v>
      </c>
      <c r="AW29" s="221" t="e">
        <f ca="1">'Tableaux aéro'!S97</f>
        <v>#NAME?</v>
      </c>
      <c r="AX29" s="73"/>
      <c r="AY29" t="e">
        <f t="shared" ca="1" si="6"/>
        <v>#NAME?</v>
      </c>
      <c r="AZ29" t="e">
        <f ca="1">(AY29-AV29-'Tableaux aéro'!J27)/AW29</f>
        <v>#NAME?</v>
      </c>
      <c r="BA29" t="e">
        <f ca="1">'Tableaux aéro'!J27+'Tableaux aéro'!T97*AZ29</f>
        <v>#NAME?</v>
      </c>
      <c r="BC29" t="e">
        <f t="shared" ca="1" si="7"/>
        <v>#NAME?</v>
      </c>
      <c r="BD29" t="e">
        <f ca="1">(BC29-'Tableaux aéro'!U27)/(([1]!InterpCn(Géométrie!$B$4,$A29,(Géométrie!$B$131-Géométrie!$B$121)/Géométrie!$B$3)-[1]!InterpCn(Géométrie!$B$4,$A29,0))*PI()*Géométrie!$B$3^2/4/$B$1)</f>
        <v>#NAME?</v>
      </c>
      <c r="BE29" t="e">
        <f ca="1">'Tableaux aéro'!U27+(([1]!InterpCn(Géométrie!$B$4,$A29,$BB$3/Géométrie!$B$3)-[1]!InterpCn(Géométrie!$B$4,$A29,0))*PI()*Géométrie!$B$3^2/4/$B$1)*BD29</f>
        <v>#NAME?</v>
      </c>
      <c r="BG29" t="e">
        <f t="shared" ca="1" si="8"/>
        <v>#NAME?</v>
      </c>
      <c r="BH29" t="e">
        <f ca="1">(BG29-'Tableaux aéro'!U27*'Tableaux aéro'!AE27/$B$2)/(([1]!InterpCm(Géométrie!$B$4,$A29,(Géométrie!$B$131-Géométrie!$B$121)/Géométrie!$B$3)-[1]!InterpCm(Géométrie!$B$4,$A29,0))*PI()*Géométrie!$B$3^2/4/$B$1)</f>
        <v>#NAME?</v>
      </c>
      <c r="BI29" t="e">
        <f ca="1">'Tableaux aéro'!U27*'Tableaux aéro'!AE27/$B$2+BH29*(([1]!InterpCm(Géométrie!$B$4,$A29,$BB$3/Géométrie!$B$3)-[1]!InterpCm(Géométrie!$B$4,$A29,0))*PI()*Géométrie!$B$3^2/4/$B$1)</f>
        <v>#NAME?</v>
      </c>
      <c r="BK29" t="e">
        <f t="shared" ca="1" si="9"/>
        <v>#NAME?</v>
      </c>
    </row>
    <row r="30" spans="1:63">
      <c r="A30" s="85">
        <v>2.9</v>
      </c>
      <c r="B30" s="39" t="e">
        <f ca="1">('Tableaux aéro'!U28)*PI()*Géométrie!$B$3^2/4/$B$1</f>
        <v>#NAME?</v>
      </c>
      <c r="C30" s="39" t="e">
        <f ca="1">'Tableaux aéro'!M98*A30*Géométrie!$B$2</f>
        <v>#NAME?</v>
      </c>
      <c r="D30" s="39" t="e">
        <f ca="1">'Tableaux aéro'!J28*PI()*Géométrie!$B$3^2/4/$B$1</f>
        <v>#NAME?</v>
      </c>
      <c r="E30" s="39" t="e">
        <f ca="1">Géométrie!$F$13-('Tableaux aéro'!AE28)*Géométrie!$B$3</f>
        <v>#NAME?</v>
      </c>
      <c r="F30" s="39" t="e">
        <f t="shared" ca="1" si="0"/>
        <v>#NAME?</v>
      </c>
      <c r="G30" s="39" t="e">
        <f ca="1">([1]!InterpCn(Géométrie!$B$4,$A30,Géométrie!$B$18)-[1]!InterpCn(Géométrie!$B$4,$A30,0))*PI()*Géométrie!$B$3^2/4/$B$1</f>
        <v>#NAME?</v>
      </c>
      <c r="H30" s="207" t="e">
        <f ca="1">'Tableaux aéro'!S98</f>
        <v>#NAME?</v>
      </c>
      <c r="I30" s="39" t="e">
        <f t="shared" ca="1" si="1"/>
        <v>#NAME?</v>
      </c>
      <c r="J30" s="39" t="e">
        <f ca="1">([1]!InterpCm(Géométrie!$B$4,$A30,Géométrie!$B$18)-[1]!InterpCm(Géométrie!$B$4,$A30,0))*PI()*Géométrie!$B$3^2/4/$B$1*$J$2/$B$2+G30*(Géométrie!$F$13-Géométrie!$B$3/(2*TAN(Géométrie!$B$4*PI()/180)))*1/$B$2</f>
        <v>#NAME?</v>
      </c>
      <c r="K30" s="216" t="e">
        <f ca="1">'Tableaux aéro'!L28*PI()/180*PI()*Géométrie!$B$3^2/4/$B$1</f>
        <v>#NAME?</v>
      </c>
      <c r="L30" s="216">
        <f>'Tableaux aéro'!B28*PI()*Géométrie!$B$3^2/4/$B$1</f>
        <v>0.16733013906249999</v>
      </c>
      <c r="M30" s="216" t="e">
        <f ca="1">'Tableaux aéro'!W28*Géométrie!$B$3</f>
        <v>#NAME?</v>
      </c>
      <c r="N30" s="216" t="e">
        <f ca="1">K30*(M30-Géométrie!$F$12)/$B$2</f>
        <v>#NAME?</v>
      </c>
      <c r="O30" s="217" t="e">
        <f ca="1">[1]!InterpCn(10,$A30,Géométrie!$F$13/Géométrie!$B$3)*Géométrie!$B$3^2*PI()/4/Aerodynamique!$B$1</f>
        <v>#NAME?</v>
      </c>
      <c r="P30" s="216" t="e">
        <f ca="1">'Tableaux aéro'!M98*A30*Géométrie!$F$13</f>
        <v>#NAME?</v>
      </c>
      <c r="Q30" s="216" t="e">
        <f ca="1">0.445/POWER(LOG(P30),2.58)/POWER(1+0.15*A30^2,0.58)*Géométrie!$B$10/$B$1</f>
        <v>#NAME?</v>
      </c>
      <c r="R30" s="216"/>
      <c r="S30" s="216" t="e">
        <f ca="1">[1]!InterpCm(10,$A30,Géométrie!$F$13/Géométrie!$B$3)*Géométrie!$B$3^2*PI()/4/$B$1</f>
        <v>#NAME?</v>
      </c>
      <c r="T30" s="218"/>
      <c r="U30" s="150"/>
      <c r="V30" s="150"/>
      <c r="W30" s="219"/>
      <c r="X30" s="150"/>
      <c r="Y30" s="220" t="e">
        <f ca="1">[1]!interpol(A30,'[2]CA basé sur Ariane 3'!$A$6:$A$23,'[2]CA basé sur Ariane 3'!$B$6:$B$23)*PI()*Géométrie!$B$3^2/4/$B$1</f>
        <v>#NAME?</v>
      </c>
      <c r="Z30" s="213">
        <f>0.6*Géométrie!$B$81+Géométrie!$B$16+Géométrie!$B$2</f>
        <v>10.140938348728373</v>
      </c>
      <c r="AA30" s="219"/>
      <c r="AB30" s="218"/>
      <c r="AC30" s="39" t="e">
        <f ca="1">'Tableaux aéro'!R98</f>
        <v>#NAME?</v>
      </c>
      <c r="AD30" s="220" t="e">
        <f t="shared" ca="1" si="2"/>
        <v>#NAME?</v>
      </c>
      <c r="AE30" s="150"/>
      <c r="AF30" s="249" t="e">
        <f ca="1">[1]!interpol(A30,[4]jupA_data!$A$2:$A$10,[4]jupA_data!$B$2:$B$10)*PI()*(Géométrie!$B$114^2-Géométrie!$B$85^2)/$B$1*COS(Géométrie!$I$96*PI()/180)^2/100</f>
        <v>#NAME?</v>
      </c>
      <c r="AG30" s="83" t="e">
        <f ca="1">[3]!interpol(A30,'[2]CA basé sur Ariane 3'!$A$6:$A$23,'[2]CA basé sur Ariane 3'!$B$6:$B$23)*PI()*Géométrie!$B$73^2/4/$B$1</f>
        <v>#NAME?</v>
      </c>
      <c r="AH30" s="220">
        <f>0.4*(Géométrie!$B$110-Géométrie!$B$111)+Géométrie!$B$84+Géométrie!$B$16+Géométrie!$B$3</f>
        <v>20.498665767514421</v>
      </c>
      <c r="AI30" s="220" t="e">
        <f t="shared" ca="1" si="3"/>
        <v>#NAME?</v>
      </c>
      <c r="AJ30" s="249" t="e">
        <f ca="1">([1]!InterpCn(Géométrie!$I$96,$A30,Géométrie!$B$113)-[1]!InterpCn(Géométrie!$I$96,$A30,0))*PI()*Géométrie!$B$114^2/4</f>
        <v>#NAME?</v>
      </c>
      <c r="AK30" s="39" t="e">
        <f ca="1">'Tableaux aéro'!W98</f>
        <v>#NAME?</v>
      </c>
      <c r="AL30" s="220" t="e">
        <f t="shared" ca="1" si="4"/>
        <v>#NAME?</v>
      </c>
      <c r="AM30" s="253" t="e">
        <f ca="1">(([1]!InterpCm(Géométrie!$I$96,$A30,Géométrie!$B$113)-[1]!InterpCm(Géométrie!$I$96,$A30,0))*PI()*Géométrie!$B$114^2/4/$B$1*$AM$2/$B$2)+AJ30*(-Géométrie!$B$114/2/TAN(Géométrie!$I$96*PI()/180)+Géométrie!$B$2+Géométrie!$B$16+Géométrie!$B$84+Géométrie!$B$110-Géométrie!$B$111)/$B$2</f>
        <v>#NAME?</v>
      </c>
      <c r="AN30" s="150"/>
      <c r="AO30" s="220" t="e">
        <f ca="1">[1]!interpol(A30,'[2]CA basé sur Ariane 3'!$A$6:$A$23,'[2]CA basé sur Ariane 3'!$B$6:$B$23)</f>
        <v>#NAME?</v>
      </c>
      <c r="AP30" s="220">
        <f>0.6*(Géométrie!$B$104+Géométrie!$B$137)+Géométrie!$B$16+Géométrie!$B$13+Géométrie!$B$2+Géométrie!$B$84-Géométrie!$B$104</f>
        <v>24.847187000000002</v>
      </c>
      <c r="AQ30" s="219"/>
      <c r="AR30" s="150"/>
      <c r="AS30" s="39" t="e">
        <f ca="1">'Tableaux aéro'!Y98</f>
        <v>#NAME?</v>
      </c>
      <c r="AT30" s="220" t="e">
        <f t="shared" ca="1" si="5"/>
        <v>#NAME?</v>
      </c>
      <c r="AU30" s="219"/>
      <c r="AV30" s="221" t="e">
        <f ca="1">-'Tableaux aéro'!B136*('Tableaux aéro'!$E$112-'Tableaux aéro'!$E$113)/Aerodynamique!$B$1</f>
        <v>#NAME?</v>
      </c>
      <c r="AW30" s="221" t="e">
        <f ca="1">'Tableaux aéro'!S98</f>
        <v>#NAME?</v>
      </c>
      <c r="AX30" s="73"/>
      <c r="AY30" t="e">
        <f t="shared" ca="1" si="6"/>
        <v>#NAME?</v>
      </c>
      <c r="AZ30" t="e">
        <f ca="1">(AY30-AV30-'Tableaux aéro'!J28)/AW30</f>
        <v>#NAME?</v>
      </c>
      <c r="BA30" t="e">
        <f ca="1">'Tableaux aéro'!J28+'Tableaux aéro'!T98*AZ30</f>
        <v>#NAME?</v>
      </c>
      <c r="BC30" t="e">
        <f t="shared" ca="1" si="7"/>
        <v>#NAME?</v>
      </c>
      <c r="BD30" t="e">
        <f ca="1">(BC30-'Tableaux aéro'!U28)/(([1]!InterpCn(Géométrie!$B$4,$A30,(Géométrie!$B$131-Géométrie!$B$121)/Géométrie!$B$3)-[1]!InterpCn(Géométrie!$B$4,$A30,0))*PI()*Géométrie!$B$3^2/4/$B$1)</f>
        <v>#NAME?</v>
      </c>
      <c r="BE30" t="e">
        <f ca="1">'Tableaux aéro'!U28+(([1]!InterpCn(Géométrie!$B$4,$A30,$BB$3/Géométrie!$B$3)-[1]!InterpCn(Géométrie!$B$4,$A30,0))*PI()*Géométrie!$B$3^2/4/$B$1)*BD30</f>
        <v>#NAME?</v>
      </c>
      <c r="BG30" t="e">
        <f t="shared" ca="1" si="8"/>
        <v>#NAME?</v>
      </c>
      <c r="BH30" t="e">
        <f ca="1">(BG30-'Tableaux aéro'!U28*'Tableaux aéro'!AE28/$B$2)/(([1]!InterpCm(Géométrie!$B$4,$A30,(Géométrie!$B$131-Géométrie!$B$121)/Géométrie!$B$3)-[1]!InterpCm(Géométrie!$B$4,$A30,0))*PI()*Géométrie!$B$3^2/4/$B$1)</f>
        <v>#NAME?</v>
      </c>
      <c r="BI30" t="e">
        <f ca="1">'Tableaux aéro'!U28*'Tableaux aéro'!AE28/$B$2+BH30*(([1]!InterpCm(Géométrie!$B$4,$A30,$BB$3/Géométrie!$B$3)-[1]!InterpCm(Géométrie!$B$4,$A30,0))*PI()*Géométrie!$B$3^2/4/$B$1)</f>
        <v>#NAME?</v>
      </c>
      <c r="BK30" t="e">
        <f t="shared" ca="1" si="9"/>
        <v>#NAME?</v>
      </c>
    </row>
    <row r="31" spans="1:63">
      <c r="A31" s="85">
        <v>3.1</v>
      </c>
      <c r="B31" s="39" t="e">
        <f ca="1">('Tableaux aéro'!U29)*PI()*Géométrie!$B$3^2/4/$B$1</f>
        <v>#NAME?</v>
      </c>
      <c r="C31" s="39" t="e">
        <f ca="1">'Tableaux aéro'!M99*A31*Géométrie!$B$2</f>
        <v>#NAME?</v>
      </c>
      <c r="D31" s="39" t="e">
        <f ca="1">'Tableaux aéro'!J29*PI()*Géométrie!$B$3^2/4/$B$1</f>
        <v>#NAME?</v>
      </c>
      <c r="E31" s="39" t="e">
        <f ca="1">Géométrie!$F$13-('Tableaux aéro'!AE29)*Géométrie!$B$3</f>
        <v>#NAME?</v>
      </c>
      <c r="F31" s="39" t="e">
        <f t="shared" ca="1" si="0"/>
        <v>#NAME?</v>
      </c>
      <c r="G31" s="39" t="e">
        <f ca="1">([1]!InterpCn(Géométrie!$B$4,$A31,Géométrie!$B$18)-[1]!InterpCn(Géométrie!$B$4,$A31,0))*PI()*Géométrie!$B$3^2/4/$B$1</f>
        <v>#NAME?</v>
      </c>
      <c r="H31" s="207" t="e">
        <f ca="1">'Tableaux aéro'!S99</f>
        <v>#NAME?</v>
      </c>
      <c r="I31" s="39" t="e">
        <f t="shared" ca="1" si="1"/>
        <v>#NAME?</v>
      </c>
      <c r="J31" s="39" t="e">
        <f ca="1">([1]!InterpCm(Géométrie!$B$4,$A31,Géométrie!$B$18)-[1]!InterpCm(Géométrie!$B$4,$A31,0))*PI()*Géométrie!$B$3^2/4/$B$1*$J$2/$B$2+G31*(Géométrie!$F$13-Géométrie!$B$3/(2*TAN(Géométrie!$B$4*PI()/180)))*1/$B$2</f>
        <v>#NAME?</v>
      </c>
      <c r="K31" s="216" t="e">
        <f ca="1">'Tableaux aéro'!L29*PI()/180*PI()*Géométrie!$B$3^2/4/$B$1</f>
        <v>#NAME?</v>
      </c>
      <c r="L31" s="216">
        <f>'Tableaux aéro'!B29*PI()*Géométrie!$B$3^2/4/$B$1</f>
        <v>0.16592043593749997</v>
      </c>
      <c r="M31" s="216" t="e">
        <f ca="1">'Tableaux aéro'!W29*Géométrie!$B$3</f>
        <v>#NAME?</v>
      </c>
      <c r="N31" s="216" t="e">
        <f ca="1">K31*(M31-Géométrie!$F$12)/$B$2</f>
        <v>#NAME?</v>
      </c>
      <c r="O31" s="217" t="e">
        <f ca="1">[1]!InterpCn(10,$A31,Géométrie!$F$13/Géométrie!$B$3)*Géométrie!$B$3^2*PI()/4/Aerodynamique!$B$1</f>
        <v>#NAME?</v>
      </c>
      <c r="P31" s="216" t="e">
        <f ca="1">'Tableaux aéro'!M99*A31*Géométrie!$F$13</f>
        <v>#NAME?</v>
      </c>
      <c r="Q31" s="216" t="e">
        <f ca="1">0.445/POWER(LOG(P31),2.58)/POWER(1+0.15*A31^2,0.58)*Géométrie!$B$10/$B$1</f>
        <v>#NAME?</v>
      </c>
      <c r="R31" s="216"/>
      <c r="S31" s="216" t="e">
        <f ca="1">[1]!InterpCm(10,$A31,Géométrie!$F$13/Géométrie!$B$3)*Géométrie!$B$3^2*PI()/4/$B$1</f>
        <v>#NAME?</v>
      </c>
      <c r="T31" s="218"/>
      <c r="U31" s="150"/>
      <c r="V31" s="150"/>
      <c r="W31" s="219"/>
      <c r="X31" s="150"/>
      <c r="Y31" s="220" t="e">
        <f ca="1">[1]!interpol(A31,'[2]CA basé sur Ariane 3'!$A$6:$A$23,'[2]CA basé sur Ariane 3'!$B$6:$B$23)*PI()*Géométrie!$B$3^2/4/$B$1</f>
        <v>#NAME?</v>
      </c>
      <c r="Z31" s="213">
        <f>0.6*Géométrie!$B$81+Géométrie!$B$16+Géométrie!$B$2</f>
        <v>10.140938348728373</v>
      </c>
      <c r="AA31" s="219"/>
      <c r="AB31" s="218"/>
      <c r="AC31" s="39" t="e">
        <f ca="1">'Tableaux aéro'!R99</f>
        <v>#NAME?</v>
      </c>
      <c r="AD31" s="220" t="e">
        <f t="shared" ca="1" si="2"/>
        <v>#NAME?</v>
      </c>
      <c r="AE31" s="150"/>
      <c r="AF31" s="249" t="e">
        <f ca="1">[1]!interpol(A31,[4]jupA_data!$A$2:$A$10,[4]jupA_data!$B$2:$B$10)*PI()*(Géométrie!$B$114^2-Géométrie!$B$85^2)/$B$1*COS(Géométrie!$I$96*PI()/180)^2/100</f>
        <v>#NAME?</v>
      </c>
      <c r="AG31" s="83" t="e">
        <f ca="1">[3]!interpol(A31,'[2]CA basé sur Ariane 3'!$A$6:$A$23,'[2]CA basé sur Ariane 3'!$B$6:$B$23)*PI()*Géométrie!$B$73^2/4/$B$1</f>
        <v>#NAME?</v>
      </c>
      <c r="AH31" s="220">
        <f>0.4*(Géométrie!$B$110-Géométrie!$B$111)+Géométrie!$B$84+Géométrie!$B$16+Géométrie!$B$3</f>
        <v>20.498665767514421</v>
      </c>
      <c r="AI31" s="220" t="e">
        <f t="shared" ca="1" si="3"/>
        <v>#NAME?</v>
      </c>
      <c r="AJ31" s="249" t="e">
        <f ca="1">([1]!InterpCn(Géométrie!$I$96,$A31,Géométrie!$B$113)-[1]!InterpCn(Géométrie!$I$96,$A31,0))*PI()*Géométrie!$B$114^2/4</f>
        <v>#NAME?</v>
      </c>
      <c r="AK31" s="39" t="e">
        <f ca="1">'Tableaux aéro'!W99</f>
        <v>#NAME?</v>
      </c>
      <c r="AL31" s="220" t="e">
        <f t="shared" ca="1" si="4"/>
        <v>#NAME?</v>
      </c>
      <c r="AM31" s="253" t="e">
        <f ca="1">(([1]!InterpCm(Géométrie!$I$96,$A31,Géométrie!$B$113)-[1]!InterpCm(Géométrie!$I$96,$A31,0))*PI()*Géométrie!$B$114^2/4/$B$1*$AM$2/$B$2)+AJ31*(-Géométrie!$B$114/2/TAN(Géométrie!$I$96*PI()/180)+Géométrie!$B$2+Géométrie!$B$16+Géométrie!$B$84+Géométrie!$B$110-Géométrie!$B$111)/$B$2</f>
        <v>#NAME?</v>
      </c>
      <c r="AN31" s="150"/>
      <c r="AO31" s="220" t="e">
        <f ca="1">[1]!interpol(A31,'[2]CA basé sur Ariane 3'!$A$6:$A$23,'[2]CA basé sur Ariane 3'!$B$6:$B$23)</f>
        <v>#NAME?</v>
      </c>
      <c r="AP31" s="220">
        <f>0.6*(Géométrie!$B$104+Géométrie!$B$137)+Géométrie!$B$16+Géométrie!$B$13+Géométrie!$B$2+Géométrie!$B$84-Géométrie!$B$104</f>
        <v>24.847187000000002</v>
      </c>
      <c r="AQ31" s="219"/>
      <c r="AR31" s="150"/>
      <c r="AS31" s="39" t="e">
        <f ca="1">'Tableaux aéro'!Y99</f>
        <v>#NAME?</v>
      </c>
      <c r="AT31" s="220" t="e">
        <f t="shared" ca="1" si="5"/>
        <v>#NAME?</v>
      </c>
      <c r="AU31" s="219"/>
      <c r="AV31" s="221" t="e">
        <f ca="1">-'Tableaux aéro'!B137*('Tableaux aéro'!$E$112-'Tableaux aéro'!$E$113)/Aerodynamique!$B$1</f>
        <v>#NAME?</v>
      </c>
      <c r="AW31" s="221" t="e">
        <f ca="1">'Tableaux aéro'!S99</f>
        <v>#NAME?</v>
      </c>
      <c r="AX31" s="73"/>
      <c r="AY31" t="e">
        <f t="shared" ca="1" si="6"/>
        <v>#NAME?</v>
      </c>
      <c r="AZ31" t="e">
        <f ca="1">(AY31-AV31-'Tableaux aéro'!J29)/AW31</f>
        <v>#NAME?</v>
      </c>
      <c r="BA31" t="e">
        <f ca="1">'Tableaux aéro'!J29+'Tableaux aéro'!T99*AZ31</f>
        <v>#NAME?</v>
      </c>
      <c r="BC31" t="e">
        <f t="shared" ca="1" si="7"/>
        <v>#NAME?</v>
      </c>
      <c r="BD31" t="e">
        <f ca="1">(BC31-'Tableaux aéro'!U29)/(([1]!InterpCn(Géométrie!$B$4,$A31,(Géométrie!$B$131-Géométrie!$B$121)/Géométrie!$B$3)-[1]!InterpCn(Géométrie!$B$4,$A31,0))*PI()*Géométrie!$B$3^2/4/$B$1)</f>
        <v>#NAME?</v>
      </c>
      <c r="BE31" t="e">
        <f ca="1">'Tableaux aéro'!U29+(([1]!InterpCn(Géométrie!$B$4,$A31,$BB$3/Géométrie!$B$3)-[1]!InterpCn(Géométrie!$B$4,$A31,0))*PI()*Géométrie!$B$3^2/4/$B$1)*BD31</f>
        <v>#NAME?</v>
      </c>
      <c r="BG31" t="e">
        <f t="shared" ca="1" si="8"/>
        <v>#NAME?</v>
      </c>
      <c r="BH31" t="e">
        <f ca="1">(BG31-'Tableaux aéro'!U29*'Tableaux aéro'!AE29/$B$2)/(([1]!InterpCm(Géométrie!$B$4,$A31,(Géométrie!$B$131-Géométrie!$B$121)/Géométrie!$B$3)-[1]!InterpCm(Géométrie!$B$4,$A31,0))*PI()*Géométrie!$B$3^2/4/$B$1)</f>
        <v>#NAME?</v>
      </c>
      <c r="BI31" t="e">
        <f ca="1">'Tableaux aéro'!U29*'Tableaux aéro'!AE29/$B$2+BH31*(([1]!InterpCm(Géométrie!$B$4,$A31,$BB$3/Géométrie!$B$3)-[1]!InterpCm(Géométrie!$B$4,$A31,0))*PI()*Géométrie!$B$3^2/4/$B$1)</f>
        <v>#NAME?</v>
      </c>
      <c r="BK31" t="e">
        <f t="shared" ca="1" si="9"/>
        <v>#NAME?</v>
      </c>
    </row>
    <row r="32" spans="1:63">
      <c r="A32" s="85">
        <v>3.3</v>
      </c>
      <c r="B32" s="39" t="e">
        <f ca="1">('Tableaux aéro'!U30)*PI()*Géométrie!$B$3^2/4/$B$1</f>
        <v>#NAME?</v>
      </c>
      <c r="C32" s="39" t="e">
        <f ca="1">'Tableaux aéro'!M100*A32*Géométrie!$B$2</f>
        <v>#NAME?</v>
      </c>
      <c r="D32" s="39" t="e">
        <f ca="1">'Tableaux aéro'!J30*PI()*Géométrie!$B$3^2/4/$B$1</f>
        <v>#NAME?</v>
      </c>
      <c r="E32" s="39" t="e">
        <f ca="1">Géométrie!$F$13-('Tableaux aéro'!AE30)*Géométrie!$B$3</f>
        <v>#NAME?</v>
      </c>
      <c r="F32" s="39" t="e">
        <f t="shared" ca="1" si="0"/>
        <v>#NAME?</v>
      </c>
      <c r="G32" s="39" t="e">
        <f ca="1">([1]!InterpCn(Géométrie!$B$4,$A32,Géométrie!$B$18)-[1]!InterpCn(Géométrie!$B$4,$A32,0))*PI()*Géométrie!$B$3^2/4/$B$1</f>
        <v>#NAME?</v>
      </c>
      <c r="H32" s="207" t="e">
        <f ca="1">'Tableaux aéro'!S100</f>
        <v>#NAME?</v>
      </c>
      <c r="I32" s="39" t="e">
        <f t="shared" ca="1" si="1"/>
        <v>#NAME?</v>
      </c>
      <c r="J32" s="39" t="e">
        <f ca="1">([1]!InterpCm(Géométrie!$B$4,$A32,Géométrie!$B$18)-[1]!InterpCm(Géométrie!$B$4,$A32,0))*PI()*Géométrie!$B$3^2/4/$B$1*$J$2/$B$2+G32*(Géométrie!$F$13-Géométrie!$B$3/(2*TAN(Géométrie!$B$4*PI()/180)))*1/$B$2</f>
        <v>#NAME?</v>
      </c>
      <c r="K32" s="216" t="e">
        <f ca="1">'Tableaux aéro'!L30*PI()/180*PI()*Géométrie!$B$3^2/4/$B$1</f>
        <v>#NAME?</v>
      </c>
      <c r="L32" s="216">
        <f>'Tableaux aéro'!B30*PI()*Géométrie!$B$3^2/4/$B$1</f>
        <v>0.16451073281249998</v>
      </c>
      <c r="M32" s="216" t="e">
        <f ca="1">'Tableaux aéro'!W30*Géométrie!$B$3</f>
        <v>#NAME?</v>
      </c>
      <c r="N32" s="216" t="e">
        <f ca="1">K32*(M32-Géométrie!$F$12)/$B$2</f>
        <v>#NAME?</v>
      </c>
      <c r="O32" s="217" t="e">
        <f ca="1">[1]!InterpCn(10,$A32,Géométrie!$F$13/Géométrie!$B$3)*Géométrie!$B$3^2*PI()/4/Aerodynamique!$B$1</f>
        <v>#NAME?</v>
      </c>
      <c r="P32" s="216" t="e">
        <f ca="1">'Tableaux aéro'!M100*A32*Géométrie!$F$13</f>
        <v>#NAME?</v>
      </c>
      <c r="Q32" s="216" t="e">
        <f ca="1">0.445/POWER(LOG(P32),2.58)/POWER(1+0.15*A32^2,0.58)*Géométrie!$B$10/$B$1</f>
        <v>#NAME?</v>
      </c>
      <c r="R32" s="216"/>
      <c r="S32" s="216" t="e">
        <f ca="1">[1]!InterpCm(10,$A32,Géométrie!$F$13/Géométrie!$B$3)*Géométrie!$B$3^2*PI()/4/$B$1</f>
        <v>#NAME?</v>
      </c>
      <c r="T32" s="218"/>
      <c r="U32" s="150"/>
      <c r="V32" s="150"/>
      <c r="W32" s="219"/>
      <c r="X32" s="150"/>
      <c r="Y32" s="220" t="e">
        <f ca="1">[1]!interpol(A32,'[2]CA basé sur Ariane 3'!$A$6:$A$23,'[2]CA basé sur Ariane 3'!$B$6:$B$23)*PI()*Géométrie!$B$3^2/4/$B$1</f>
        <v>#NAME?</v>
      </c>
      <c r="Z32" s="213">
        <f>0.6*Géométrie!$B$81+Géométrie!$B$16+Géométrie!$B$2</f>
        <v>10.140938348728373</v>
      </c>
      <c r="AA32" s="219"/>
      <c r="AB32" s="218"/>
      <c r="AC32" s="39" t="e">
        <f ca="1">'Tableaux aéro'!R100</f>
        <v>#NAME?</v>
      </c>
      <c r="AD32" s="220" t="e">
        <f t="shared" ca="1" si="2"/>
        <v>#NAME?</v>
      </c>
      <c r="AE32" s="150"/>
      <c r="AF32" s="249" t="e">
        <f ca="1">[1]!interpol(A32,[4]jupA_data!$A$2:$A$10,[4]jupA_data!$B$2:$B$10)*PI()*(Géométrie!$B$114^2-Géométrie!$B$85^2)/$B$1*COS(Géométrie!$I$96*PI()/180)^2/100</f>
        <v>#NAME?</v>
      </c>
      <c r="AG32" s="83" t="e">
        <f ca="1">[3]!interpol(A32,'[2]CA basé sur Ariane 3'!$A$6:$A$23,'[2]CA basé sur Ariane 3'!$B$6:$B$23)*PI()*Géométrie!$B$73^2/4/$B$1</f>
        <v>#NAME?</v>
      </c>
      <c r="AH32" s="220">
        <f>0.4*(Géométrie!$B$110-Géométrie!$B$111)+Géométrie!$B$84+Géométrie!$B$16+Géométrie!$B$3</f>
        <v>20.498665767514421</v>
      </c>
      <c r="AI32" s="220" t="e">
        <f t="shared" ca="1" si="3"/>
        <v>#NAME?</v>
      </c>
      <c r="AJ32" s="249" t="e">
        <f ca="1">([1]!InterpCn(Géométrie!$I$96,$A32,Géométrie!$B$113)-[1]!InterpCn(Géométrie!$I$96,$A32,0))*PI()*Géométrie!$B$114^2/4</f>
        <v>#NAME?</v>
      </c>
      <c r="AK32" s="39" t="e">
        <f ca="1">'Tableaux aéro'!W100</f>
        <v>#NAME?</v>
      </c>
      <c r="AL32" s="220" t="e">
        <f t="shared" ca="1" si="4"/>
        <v>#NAME?</v>
      </c>
      <c r="AM32" s="253" t="e">
        <f ca="1">(([1]!InterpCm(Géométrie!$I$96,$A32,Géométrie!$B$113)-[1]!InterpCm(Géométrie!$I$96,$A32,0))*PI()*Géométrie!$B$114^2/4/$B$1*$AM$2/$B$2)+AJ32*(-Géométrie!$B$114/2/TAN(Géométrie!$I$96*PI()/180)+Géométrie!$B$2+Géométrie!$B$16+Géométrie!$B$84+Géométrie!$B$110-Géométrie!$B$111)/$B$2</f>
        <v>#NAME?</v>
      </c>
      <c r="AN32" s="150"/>
      <c r="AO32" s="220" t="e">
        <f ca="1">[1]!interpol(A32,'[2]CA basé sur Ariane 3'!$A$6:$A$23,'[2]CA basé sur Ariane 3'!$B$6:$B$23)</f>
        <v>#NAME?</v>
      </c>
      <c r="AP32" s="220">
        <f>0.6*(Géométrie!$B$104+Géométrie!$B$137)+Géométrie!$B$16+Géométrie!$B$13+Géométrie!$B$2+Géométrie!$B$84-Géométrie!$B$104</f>
        <v>24.847187000000002</v>
      </c>
      <c r="AQ32" s="219"/>
      <c r="AR32" s="150"/>
      <c r="AS32" s="39" t="e">
        <f ca="1">'Tableaux aéro'!Y100</f>
        <v>#NAME?</v>
      </c>
      <c r="AT32" s="220" t="e">
        <f t="shared" ca="1" si="5"/>
        <v>#NAME?</v>
      </c>
      <c r="AU32" s="219"/>
      <c r="AV32" s="221" t="e">
        <f ca="1">-'Tableaux aéro'!B138*('Tableaux aéro'!$E$112-'Tableaux aéro'!$E$113)/Aerodynamique!$B$1</f>
        <v>#NAME?</v>
      </c>
      <c r="AW32" s="221" t="e">
        <f ca="1">'Tableaux aéro'!S100</f>
        <v>#NAME?</v>
      </c>
      <c r="AX32" s="73"/>
      <c r="AY32" t="e">
        <f t="shared" ca="1" si="6"/>
        <v>#NAME?</v>
      </c>
      <c r="AZ32" t="e">
        <f ca="1">(AY32-AV32-'Tableaux aéro'!J30)/AW32</f>
        <v>#NAME?</v>
      </c>
      <c r="BA32" t="e">
        <f ca="1">'Tableaux aéro'!J30+'Tableaux aéro'!T100*AZ32</f>
        <v>#NAME?</v>
      </c>
      <c r="BC32" t="e">
        <f t="shared" ca="1" si="7"/>
        <v>#NAME?</v>
      </c>
      <c r="BD32" t="e">
        <f ca="1">(BC32-'Tableaux aéro'!U30)/(([1]!InterpCn(Géométrie!$B$4,$A32,(Géométrie!$B$131-Géométrie!$B$121)/Géométrie!$B$3)-[1]!InterpCn(Géométrie!$B$4,$A32,0))*PI()*Géométrie!$B$3^2/4/$B$1)</f>
        <v>#NAME?</v>
      </c>
      <c r="BE32" t="e">
        <f ca="1">'Tableaux aéro'!U30+(([1]!InterpCn(Géométrie!$B$4,$A32,$BB$3/Géométrie!$B$3)-[1]!InterpCn(Géométrie!$B$4,$A32,0))*PI()*Géométrie!$B$3^2/4/$B$1)*BD32</f>
        <v>#NAME?</v>
      </c>
      <c r="BG32" t="e">
        <f t="shared" ca="1" si="8"/>
        <v>#NAME?</v>
      </c>
      <c r="BH32" t="e">
        <f ca="1">(BG32-'Tableaux aéro'!U30*'Tableaux aéro'!AE30/$B$2)/(([1]!InterpCm(Géométrie!$B$4,$A32,(Géométrie!$B$131-Géométrie!$B$121)/Géométrie!$B$3)-[1]!InterpCm(Géométrie!$B$4,$A32,0))*PI()*Géométrie!$B$3^2/4/$B$1)</f>
        <v>#NAME?</v>
      </c>
      <c r="BI32" t="e">
        <f ca="1">'Tableaux aéro'!U30*'Tableaux aéro'!AE30/$B$2+BH32*(([1]!InterpCm(Géométrie!$B$4,$A32,$BB$3/Géométrie!$B$3)-[1]!InterpCm(Géométrie!$B$4,$A32,0))*PI()*Géométrie!$B$3^2/4/$B$1)</f>
        <v>#NAME?</v>
      </c>
      <c r="BK32" t="e">
        <f t="shared" ca="1" si="9"/>
        <v>#NAME?</v>
      </c>
    </row>
    <row r="33" spans="1:63">
      <c r="A33" s="85">
        <v>3.5</v>
      </c>
      <c r="B33" s="39" t="e">
        <f ca="1">('Tableaux aéro'!U31)*PI()*Géométrie!$B$3^2/4/$B$1</f>
        <v>#NAME?</v>
      </c>
      <c r="C33" s="39" t="e">
        <f ca="1">'Tableaux aéro'!M101*A33*Géométrie!$B$2</f>
        <v>#NAME?</v>
      </c>
      <c r="D33" s="39" t="e">
        <f ca="1">'Tableaux aéro'!J31*PI()*Géométrie!$B$3^2/4/$B$1</f>
        <v>#NAME?</v>
      </c>
      <c r="E33" s="39" t="e">
        <f ca="1">Géométrie!$F$13-('Tableaux aéro'!AE31)*Géométrie!$B$3</f>
        <v>#NAME?</v>
      </c>
      <c r="F33" s="39" t="e">
        <f t="shared" ca="1" si="0"/>
        <v>#NAME?</v>
      </c>
      <c r="G33" s="39" t="e">
        <f ca="1">([1]!InterpCn(Géométrie!$B$4,$A33,Géométrie!$B$18)-[1]!InterpCn(Géométrie!$B$4,$A33,0))*PI()*Géométrie!$B$3^2/4/$B$1</f>
        <v>#NAME?</v>
      </c>
      <c r="H33" s="207" t="e">
        <f ca="1">'Tableaux aéro'!S101</f>
        <v>#NAME?</v>
      </c>
      <c r="I33" s="39" t="e">
        <f t="shared" ca="1" si="1"/>
        <v>#NAME?</v>
      </c>
      <c r="J33" s="39" t="e">
        <f ca="1">([1]!InterpCm(Géométrie!$B$4,$A33,Géométrie!$B$18)-[1]!InterpCm(Géométrie!$B$4,$A33,0))*PI()*Géométrie!$B$3^2/4/$B$1*$J$2/$B$2+G33*(Géométrie!$F$13-Géométrie!$B$3/(2*TAN(Géométrie!$B$4*PI()/180)))*1/$B$2</f>
        <v>#NAME?</v>
      </c>
      <c r="K33" s="216" t="e">
        <f ca="1">'Tableaux aéro'!L31*PI()/180*PI()*Géométrie!$B$3^2/4/$B$1</f>
        <v>#NAME?</v>
      </c>
      <c r="L33" s="216">
        <f>'Tableaux aéro'!B31*PI()*Géométrie!$B$3^2/4/$B$1</f>
        <v>0.16310103124999997</v>
      </c>
      <c r="M33" s="216" t="e">
        <f ca="1">'Tableaux aéro'!W31*Géométrie!$B$3</f>
        <v>#NAME?</v>
      </c>
      <c r="N33" s="216" t="e">
        <f ca="1">K33*(M33-Géométrie!$F$12)/$B$2</f>
        <v>#NAME?</v>
      </c>
      <c r="O33" s="217" t="e">
        <f ca="1">[1]!InterpCn(10,$A33,Géométrie!$F$13/Géométrie!$B$3)*Géométrie!$B$3^2*PI()/4/Aerodynamique!$B$1</f>
        <v>#NAME?</v>
      </c>
      <c r="P33" s="216" t="e">
        <f ca="1">'Tableaux aéro'!M101*A33*Géométrie!$F$13</f>
        <v>#NAME?</v>
      </c>
      <c r="Q33" s="216" t="e">
        <f ca="1">0.445/POWER(LOG(P33),2.58)/POWER(1+0.15*A33^2,0.58)*Géométrie!$B$10/$B$1</f>
        <v>#NAME?</v>
      </c>
      <c r="R33" s="216"/>
      <c r="S33" s="216" t="e">
        <f ca="1">[1]!InterpCm(10,$A33,Géométrie!$F$13/Géométrie!$B$3)*Géométrie!$B$3^2*PI()/4/$B$1</f>
        <v>#NAME?</v>
      </c>
      <c r="T33" s="218"/>
      <c r="U33" s="150"/>
      <c r="V33" s="150"/>
      <c r="W33" s="219"/>
      <c r="X33" s="150"/>
      <c r="Y33" s="220" t="e">
        <f ca="1">[1]!interpol(A33,'[2]CA basé sur Ariane 3'!$A$6:$A$23,'[2]CA basé sur Ariane 3'!$B$6:$B$23)*PI()*Géométrie!$B$3^2/4/$B$1</f>
        <v>#NAME?</v>
      </c>
      <c r="Z33" s="213">
        <f>0.6*Géométrie!$B$81+Géométrie!$B$16+Géométrie!$B$2</f>
        <v>10.140938348728373</v>
      </c>
      <c r="AA33" s="219"/>
      <c r="AB33" s="218"/>
      <c r="AC33" s="39" t="e">
        <f ca="1">'Tableaux aéro'!R101</f>
        <v>#NAME?</v>
      </c>
      <c r="AD33" s="220" t="e">
        <f t="shared" ca="1" si="2"/>
        <v>#NAME?</v>
      </c>
      <c r="AE33" s="150"/>
      <c r="AF33" s="249" t="e">
        <f ca="1">[1]!interpol(A33,[4]jupA_data!$A$2:$A$10,[4]jupA_data!$B$2:$B$10)*PI()*(Géométrie!$B$114^2-Géométrie!$B$85^2)/$B$1*COS(Géométrie!$I$96*PI()/180)^2/100</f>
        <v>#NAME?</v>
      </c>
      <c r="AG33" s="83" t="e">
        <f ca="1">[3]!interpol(A33,'[2]CA basé sur Ariane 3'!$A$6:$A$23,'[2]CA basé sur Ariane 3'!$B$6:$B$23)*PI()*Géométrie!$B$73^2/4/$B$1</f>
        <v>#NAME?</v>
      </c>
      <c r="AH33" s="220">
        <f>0.4*(Géométrie!$B$110-Géométrie!$B$111)+Géométrie!$B$84+Géométrie!$B$16+Géométrie!$B$3</f>
        <v>20.498665767514421</v>
      </c>
      <c r="AI33" s="220" t="e">
        <f t="shared" ca="1" si="3"/>
        <v>#NAME?</v>
      </c>
      <c r="AJ33" s="249" t="e">
        <f ca="1">([1]!InterpCn(Géométrie!$I$96,$A33,Géométrie!$B$113)-[1]!InterpCn(Géométrie!$I$96,$A33,0))*PI()*Géométrie!$B$114^2/4</f>
        <v>#NAME?</v>
      </c>
      <c r="AK33" s="39" t="e">
        <f ca="1">'Tableaux aéro'!W101</f>
        <v>#NAME?</v>
      </c>
      <c r="AL33" s="220" t="e">
        <f t="shared" ca="1" si="4"/>
        <v>#NAME?</v>
      </c>
      <c r="AM33" s="253" t="e">
        <f ca="1">(([1]!InterpCm(Géométrie!$I$96,$A33,Géométrie!$B$113)-[1]!InterpCm(Géométrie!$I$96,$A33,0))*PI()*Géométrie!$B$114^2/4/$B$1*$AM$2/$B$2)+AJ33*(-Géométrie!$B$114/2/TAN(Géométrie!$I$96*PI()/180)+Géométrie!$B$2+Géométrie!$B$16+Géométrie!$B$84+Géométrie!$B$110-Géométrie!$B$111)/$B$2</f>
        <v>#NAME?</v>
      </c>
      <c r="AN33" s="150"/>
      <c r="AO33" s="220" t="e">
        <f ca="1">[1]!interpol(A33,'[2]CA basé sur Ariane 3'!$A$6:$A$23,'[2]CA basé sur Ariane 3'!$B$6:$B$23)</f>
        <v>#NAME?</v>
      </c>
      <c r="AP33" s="220">
        <f>0.6*(Géométrie!$B$104+Géométrie!$B$137)+Géométrie!$B$16+Géométrie!$B$13+Géométrie!$B$2+Géométrie!$B$84-Géométrie!$B$104</f>
        <v>24.847187000000002</v>
      </c>
      <c r="AQ33" s="219"/>
      <c r="AR33" s="150"/>
      <c r="AS33" s="39" t="e">
        <f ca="1">'Tableaux aéro'!Y101</f>
        <v>#NAME?</v>
      </c>
      <c r="AT33" s="220" t="e">
        <f t="shared" ca="1" si="5"/>
        <v>#NAME?</v>
      </c>
      <c r="AU33" s="219"/>
      <c r="AV33" s="221" t="e">
        <f ca="1">-'Tableaux aéro'!B139*('Tableaux aéro'!$E$112-'Tableaux aéro'!$E$113)/Aerodynamique!$B$1</f>
        <v>#NAME?</v>
      </c>
      <c r="AW33" s="221" t="e">
        <f ca="1">'Tableaux aéro'!S101</f>
        <v>#NAME?</v>
      </c>
      <c r="AX33" s="73"/>
      <c r="AY33" t="e">
        <f t="shared" ca="1" si="6"/>
        <v>#NAME?</v>
      </c>
      <c r="AZ33" t="e">
        <f ca="1">(AY33-AV33-'Tableaux aéro'!J31)/AW33</f>
        <v>#NAME?</v>
      </c>
      <c r="BA33" t="e">
        <f ca="1">'Tableaux aéro'!J31+'Tableaux aéro'!T101*AZ33</f>
        <v>#NAME?</v>
      </c>
      <c r="BC33" t="e">
        <f t="shared" ca="1" si="7"/>
        <v>#NAME?</v>
      </c>
      <c r="BD33" t="e">
        <f ca="1">(BC33-'Tableaux aéro'!U31)/(([1]!InterpCn(Géométrie!$B$4,$A33,(Géométrie!$B$131-Géométrie!$B$121)/Géométrie!$B$3)-[1]!InterpCn(Géométrie!$B$4,$A33,0))*PI()*Géométrie!$B$3^2/4/$B$1)</f>
        <v>#NAME?</v>
      </c>
      <c r="BE33" t="e">
        <f ca="1">'Tableaux aéro'!U31+(([1]!InterpCn(Géométrie!$B$4,$A33,$BB$3/Géométrie!$B$3)-[1]!InterpCn(Géométrie!$B$4,$A33,0))*PI()*Géométrie!$B$3^2/4/$B$1)*BD33</f>
        <v>#NAME?</v>
      </c>
      <c r="BG33" t="e">
        <f t="shared" ca="1" si="8"/>
        <v>#NAME?</v>
      </c>
      <c r="BH33" t="e">
        <f ca="1">(BG33-'Tableaux aéro'!U31*'Tableaux aéro'!AE31/$B$2)/(([1]!InterpCm(Géométrie!$B$4,$A33,(Géométrie!$B$131-Géométrie!$B$121)/Géométrie!$B$3)-[1]!InterpCm(Géométrie!$B$4,$A33,0))*PI()*Géométrie!$B$3^2/4/$B$1)</f>
        <v>#NAME?</v>
      </c>
      <c r="BI33" t="e">
        <f ca="1">'Tableaux aéro'!U31*'Tableaux aéro'!AE31/$B$2+BH33*(([1]!InterpCm(Géométrie!$B$4,$A33,$BB$3/Géométrie!$B$3)-[1]!InterpCm(Géométrie!$B$4,$A33,0))*PI()*Géométrie!$B$3^2/4/$B$1)</f>
        <v>#NAME?</v>
      </c>
      <c r="BK33" t="e">
        <f t="shared" ca="1" si="9"/>
        <v>#NAME?</v>
      </c>
    </row>
    <row r="34" spans="1:63">
      <c r="A34" s="85">
        <v>3.7</v>
      </c>
      <c r="B34" s="39" t="e">
        <f ca="1">('Tableaux aéro'!U32)*PI()*Géométrie!$B$3^2/4/$B$1</f>
        <v>#NAME?</v>
      </c>
      <c r="C34" s="39" t="e">
        <f ca="1">'Tableaux aéro'!M102*A34*Géométrie!$B$2</f>
        <v>#NAME?</v>
      </c>
      <c r="D34" s="39" t="e">
        <f ca="1">'Tableaux aéro'!J32*PI()*Géométrie!$B$3^2/4/$B$1</f>
        <v>#NAME?</v>
      </c>
      <c r="E34" s="39" t="e">
        <f ca="1">Géométrie!$F$13-('Tableaux aéro'!AE32)*Géométrie!$B$3</f>
        <v>#NAME?</v>
      </c>
      <c r="F34" s="39" t="e">
        <f t="shared" ca="1" si="0"/>
        <v>#NAME?</v>
      </c>
      <c r="G34" s="39" t="e">
        <f ca="1">([1]!InterpCn(Géométrie!$B$4,$A34,Géométrie!$B$18)-[1]!InterpCn(Géométrie!$B$4,$A34,0))*PI()*Géométrie!$B$3^2/4/$B$1</f>
        <v>#NAME?</v>
      </c>
      <c r="H34" s="207" t="e">
        <f ca="1">'Tableaux aéro'!S102</f>
        <v>#NAME?</v>
      </c>
      <c r="I34" s="39" t="e">
        <f t="shared" ca="1" si="1"/>
        <v>#NAME?</v>
      </c>
      <c r="J34" s="39" t="e">
        <f ca="1">([1]!InterpCm(Géométrie!$B$4,$A34,Géométrie!$B$18)-[1]!InterpCm(Géométrie!$B$4,$A34,0))*PI()*Géométrie!$B$3^2/4/$B$1*$J$2/$B$2+G34*(Géométrie!$F$13-Géométrie!$B$3/(2*TAN(Géométrie!$B$4*PI()/180)))*1/$B$2</f>
        <v>#NAME?</v>
      </c>
      <c r="K34" s="216" t="e">
        <f ca="1">'Tableaux aéro'!L32*PI()/180*PI()*Géométrie!$B$3^2/4/$B$1</f>
        <v>#NAME?</v>
      </c>
      <c r="L34" s="216">
        <f>'Tableaux aéro'!B32*PI()*Géométrie!$B$3^2/4/$B$1</f>
        <v>0.16169132812499998</v>
      </c>
      <c r="M34" s="216" t="e">
        <f ca="1">'Tableaux aéro'!W32*Géométrie!$B$3</f>
        <v>#NAME?</v>
      </c>
      <c r="N34" s="216" t="e">
        <f ca="1">K34*(M34-Géométrie!$F$12)/$B$2</f>
        <v>#NAME?</v>
      </c>
      <c r="O34" s="217" t="e">
        <f ca="1">[1]!InterpCn(10,$A34,Géométrie!$F$13/Géométrie!$B$3)*Géométrie!$B$3^2*PI()/4/Aerodynamique!$B$1</f>
        <v>#NAME?</v>
      </c>
      <c r="P34" s="216" t="e">
        <f ca="1">'Tableaux aéro'!M102*A34*Géométrie!$F$13</f>
        <v>#NAME?</v>
      </c>
      <c r="Q34" s="216" t="e">
        <f ca="1">0.445/POWER(LOG(P34),2.58)/POWER(1+0.15*A34^2,0.58)*Géométrie!$B$10/$B$1</f>
        <v>#NAME?</v>
      </c>
      <c r="R34" s="216"/>
      <c r="S34" s="216" t="e">
        <f ca="1">[1]!InterpCm(10,$A34,Géométrie!$F$13/Géométrie!$B$3)*Géométrie!$B$3^2*PI()/4/$B$1</f>
        <v>#NAME?</v>
      </c>
      <c r="T34" s="218"/>
      <c r="U34" s="150"/>
      <c r="V34" s="150"/>
      <c r="W34" s="219"/>
      <c r="X34" s="150"/>
      <c r="Y34" s="220" t="e">
        <f ca="1">[1]!interpol(A34,'[2]CA basé sur Ariane 3'!$A$6:$A$23,'[2]CA basé sur Ariane 3'!$B$6:$B$23)*PI()*Géométrie!$B$3^2/4/$B$1</f>
        <v>#NAME?</v>
      </c>
      <c r="Z34" s="213">
        <f>0.6*Géométrie!$B$81+Géométrie!$B$16+Géométrie!$B$2</f>
        <v>10.140938348728373</v>
      </c>
      <c r="AA34" s="219"/>
      <c r="AB34" s="218"/>
      <c r="AC34" s="39" t="e">
        <f ca="1">'Tableaux aéro'!R102</f>
        <v>#NAME?</v>
      </c>
      <c r="AD34" s="220" t="e">
        <f t="shared" ca="1" si="2"/>
        <v>#NAME?</v>
      </c>
      <c r="AE34" s="150"/>
      <c r="AF34" s="249" t="e">
        <f ca="1">[1]!interpol(A34,[4]jupA_data!$A$2:$A$10,[4]jupA_data!$B$2:$B$10)*PI()*(Géométrie!$B$114^2-Géométrie!$B$85^2)/$B$1*COS(Géométrie!$I$96*PI()/180)^2/100</f>
        <v>#NAME?</v>
      </c>
      <c r="AG34" s="83" t="e">
        <f ca="1">[3]!interpol(A34,'[2]CA basé sur Ariane 3'!$A$6:$A$23,'[2]CA basé sur Ariane 3'!$B$6:$B$23)*PI()*Géométrie!$B$73^2/4/$B$1</f>
        <v>#NAME?</v>
      </c>
      <c r="AH34" s="220">
        <f>0.4*(Géométrie!$B$110-Géométrie!$B$111)+Géométrie!$B$84+Géométrie!$B$16+Géométrie!$B$3</f>
        <v>20.498665767514421</v>
      </c>
      <c r="AI34" s="220" t="e">
        <f t="shared" ca="1" si="3"/>
        <v>#NAME?</v>
      </c>
      <c r="AJ34" s="249" t="e">
        <f ca="1">([1]!InterpCn(Géométrie!$I$96,$A34,Géométrie!$B$113)-[1]!InterpCn(Géométrie!$I$96,$A34,0))*PI()*Géométrie!$B$114^2/4</f>
        <v>#NAME?</v>
      </c>
      <c r="AK34" s="39" t="e">
        <f ca="1">'Tableaux aéro'!W102</f>
        <v>#NAME?</v>
      </c>
      <c r="AL34" s="220" t="e">
        <f t="shared" ca="1" si="4"/>
        <v>#NAME?</v>
      </c>
      <c r="AM34" s="253" t="e">
        <f ca="1">(([1]!InterpCm(Géométrie!$I$96,$A34,Géométrie!$B$113)-[1]!InterpCm(Géométrie!$I$96,$A34,0))*PI()*Géométrie!$B$114^2/4/$B$1*$AM$2/$B$2)+AJ34*(-Géométrie!$B$114/2/TAN(Géométrie!$I$96*PI()/180)+Géométrie!$B$2+Géométrie!$B$16+Géométrie!$B$84+Géométrie!$B$110-Géométrie!$B$111)/$B$2</f>
        <v>#NAME?</v>
      </c>
      <c r="AN34" s="150"/>
      <c r="AO34" s="220" t="e">
        <f ca="1">[1]!interpol(A34,'[2]CA basé sur Ariane 3'!$A$6:$A$23,'[2]CA basé sur Ariane 3'!$B$6:$B$23)</f>
        <v>#NAME?</v>
      </c>
      <c r="AP34" s="220">
        <f>0.6*(Géométrie!$B$104+Géométrie!$B$137)+Géométrie!$B$16+Géométrie!$B$13+Géométrie!$B$2+Géométrie!$B$84-Géométrie!$B$104</f>
        <v>24.847187000000002</v>
      </c>
      <c r="AQ34" s="219"/>
      <c r="AR34" s="150"/>
      <c r="AS34" s="39" t="e">
        <f ca="1">'Tableaux aéro'!Y102</f>
        <v>#NAME?</v>
      </c>
      <c r="AT34" s="220" t="e">
        <f t="shared" ca="1" si="5"/>
        <v>#NAME?</v>
      </c>
      <c r="AU34" s="219"/>
      <c r="AV34" s="221" t="e">
        <f ca="1">-'Tableaux aéro'!B140*('Tableaux aéro'!$E$112-'Tableaux aéro'!$E$113)/Aerodynamique!$B$1</f>
        <v>#NAME?</v>
      </c>
      <c r="AW34" s="221" t="e">
        <f ca="1">'Tableaux aéro'!S102</f>
        <v>#NAME?</v>
      </c>
      <c r="AX34" s="73"/>
      <c r="AY34" t="e">
        <f t="shared" ca="1" si="6"/>
        <v>#NAME?</v>
      </c>
      <c r="AZ34" t="e">
        <f ca="1">(AY34-AV34-'Tableaux aéro'!J32)/AW34</f>
        <v>#NAME?</v>
      </c>
      <c r="BA34" t="e">
        <f ca="1">'Tableaux aéro'!J32+'Tableaux aéro'!T102*AZ34</f>
        <v>#NAME?</v>
      </c>
      <c r="BC34" t="e">
        <f t="shared" ca="1" si="7"/>
        <v>#NAME?</v>
      </c>
      <c r="BD34" t="e">
        <f ca="1">(BC34-'Tableaux aéro'!U32)/(([1]!InterpCn(Géométrie!$B$4,$A34,(Géométrie!$B$131-Géométrie!$B$121)/Géométrie!$B$3)-[1]!InterpCn(Géométrie!$B$4,$A34,0))*PI()*Géométrie!$B$3^2/4/$B$1)</f>
        <v>#NAME?</v>
      </c>
      <c r="BE34" t="e">
        <f ca="1">'Tableaux aéro'!U32+(([1]!InterpCn(Géométrie!$B$4,$A34,$BB$3/Géométrie!$B$3)-[1]!InterpCn(Géométrie!$B$4,$A34,0))*PI()*Géométrie!$B$3^2/4/$B$1)*BD34</f>
        <v>#NAME?</v>
      </c>
      <c r="BG34" t="e">
        <f t="shared" ca="1" si="8"/>
        <v>#NAME?</v>
      </c>
      <c r="BH34" t="e">
        <f ca="1">(BG34-'Tableaux aéro'!U32*'Tableaux aéro'!AE32/$B$2)/(([1]!InterpCm(Géométrie!$B$4,$A34,(Géométrie!$B$131-Géométrie!$B$121)/Géométrie!$B$3)-[1]!InterpCm(Géométrie!$B$4,$A34,0))*PI()*Géométrie!$B$3^2/4/$B$1)</f>
        <v>#NAME?</v>
      </c>
      <c r="BI34" t="e">
        <f ca="1">'Tableaux aéro'!U32*'Tableaux aéro'!AE32/$B$2+BH34*(([1]!InterpCm(Géométrie!$B$4,$A34,$BB$3/Géométrie!$B$3)-[1]!InterpCm(Géométrie!$B$4,$A34,0))*PI()*Géométrie!$B$3^2/4/$B$1)</f>
        <v>#NAME?</v>
      </c>
      <c r="BK34" t="e">
        <f t="shared" ca="1" si="9"/>
        <v>#NAME?</v>
      </c>
    </row>
    <row r="35" spans="1:63">
      <c r="A35" s="85">
        <v>3.9</v>
      </c>
      <c r="B35" s="39" t="e">
        <f ca="1">('Tableaux aéro'!U33)*PI()*Géométrie!$B$3^2/4/$B$1</f>
        <v>#NAME?</v>
      </c>
      <c r="C35" s="39" t="e">
        <f ca="1">'Tableaux aéro'!M103*A35*Géométrie!$B$2</f>
        <v>#NAME?</v>
      </c>
      <c r="D35" s="39" t="e">
        <f ca="1">'Tableaux aéro'!J33*PI()*Géométrie!$B$3^2/4/$B$1</f>
        <v>#NAME?</v>
      </c>
      <c r="E35" s="39" t="e">
        <f ca="1">Géométrie!$F$13-('Tableaux aéro'!AE33)*Géométrie!$B$3</f>
        <v>#NAME?</v>
      </c>
      <c r="F35" s="39" t="e">
        <f t="shared" ca="1" si="0"/>
        <v>#NAME?</v>
      </c>
      <c r="G35" s="39" t="e">
        <f ca="1">([1]!InterpCn(Géométrie!$B$4,$A35,Géométrie!$B$18)-[1]!InterpCn(Géométrie!$B$4,$A35,0))*PI()*Géométrie!$B$3^2/4/$B$1</f>
        <v>#NAME?</v>
      </c>
      <c r="H35" s="207" t="e">
        <f ca="1">'Tableaux aéro'!S103</f>
        <v>#NAME?</v>
      </c>
      <c r="I35" s="39" t="e">
        <f t="shared" ca="1" si="1"/>
        <v>#NAME?</v>
      </c>
      <c r="J35" s="39" t="e">
        <f ca="1">([1]!InterpCm(Géométrie!$B$4,$A35,Géométrie!$B$18)-[1]!InterpCm(Géométrie!$B$4,$A35,0))*PI()*Géométrie!$B$3^2/4/$B$1*$J$2/$B$2+G35*(Géométrie!$F$13-Géométrie!$B$3/(2*TAN(Géométrie!$B$4*PI()/180)))*1/$B$2</f>
        <v>#NAME?</v>
      </c>
      <c r="K35" s="216" t="e">
        <f ca="1">'Tableaux aéro'!L33*PI()/180*PI()*Géométrie!$B$3^2/4/$B$1</f>
        <v>#NAME?</v>
      </c>
      <c r="L35" s="216">
        <f>'Tableaux aéro'!B33*PI()*Géométrie!$B$3^2/4/$B$1</f>
        <v>0.16028162499999998</v>
      </c>
      <c r="M35" s="216" t="e">
        <f ca="1">'Tableaux aéro'!W33*Géométrie!$B$3</f>
        <v>#NAME?</v>
      </c>
      <c r="N35" s="216" t="e">
        <f ca="1">K35*(M35-Géométrie!$F$12)/$B$2</f>
        <v>#NAME?</v>
      </c>
      <c r="O35" s="217" t="e">
        <f ca="1">[1]!InterpCn(10,$A35,Géométrie!$F$13/Géométrie!$B$3)*Géométrie!$B$3^2*PI()/4/Aerodynamique!$B$1</f>
        <v>#NAME?</v>
      </c>
      <c r="P35" s="216" t="e">
        <f ca="1">'Tableaux aéro'!M103*A35*Géométrie!$F$13</f>
        <v>#NAME?</v>
      </c>
      <c r="Q35" s="216" t="e">
        <f ca="1">0.445/POWER(LOG(P35),2.58)/POWER(1+0.15*A35^2,0.58)*Géométrie!$B$10/$B$1</f>
        <v>#NAME?</v>
      </c>
      <c r="R35" s="216"/>
      <c r="S35" s="216" t="e">
        <f ca="1">[1]!InterpCm(10,$A35,Géométrie!$F$13/Géométrie!$B$3)*Géométrie!$B$3^2*PI()/4/$B$1</f>
        <v>#NAME?</v>
      </c>
      <c r="T35" s="218"/>
      <c r="U35" s="150"/>
      <c r="V35" s="150"/>
      <c r="W35" s="219"/>
      <c r="X35" s="150"/>
      <c r="Y35" s="220" t="e">
        <f ca="1">[1]!interpol(A35,'[2]CA basé sur Ariane 3'!$A$6:$A$23,'[2]CA basé sur Ariane 3'!$B$6:$B$23)*PI()*Géométrie!$B$3^2/4/$B$1</f>
        <v>#NAME?</v>
      </c>
      <c r="Z35" s="213">
        <f>0.6*Géométrie!$B$81+Géométrie!$B$16+Géométrie!$B$2</f>
        <v>10.140938348728373</v>
      </c>
      <c r="AA35" s="219"/>
      <c r="AB35" s="218"/>
      <c r="AC35" s="39" t="e">
        <f ca="1">'Tableaux aéro'!R103</f>
        <v>#NAME?</v>
      </c>
      <c r="AD35" s="220" t="e">
        <f t="shared" ca="1" si="2"/>
        <v>#NAME?</v>
      </c>
      <c r="AE35" s="150"/>
      <c r="AF35" s="249" t="e">
        <f ca="1">[1]!interpol(A35,[4]jupA_data!$A$2:$A$10,[4]jupA_data!$B$2:$B$10)*PI()*(Géométrie!$B$114^2-Géométrie!$B$85^2)/$B$1*COS(Géométrie!$I$96*PI()/180)^2/100</f>
        <v>#NAME?</v>
      </c>
      <c r="AG35" s="83" t="e">
        <f ca="1">[3]!interpol(A35,'[2]CA basé sur Ariane 3'!$A$6:$A$23,'[2]CA basé sur Ariane 3'!$B$6:$B$23)*PI()*Géométrie!$B$73^2/4/$B$1</f>
        <v>#NAME?</v>
      </c>
      <c r="AH35" s="220">
        <f>0.4*(Géométrie!$B$110-Géométrie!$B$111)+Géométrie!$B$84+Géométrie!$B$16+Géométrie!$B$3</f>
        <v>20.498665767514421</v>
      </c>
      <c r="AI35" s="220" t="e">
        <f t="shared" ca="1" si="3"/>
        <v>#NAME?</v>
      </c>
      <c r="AJ35" s="249" t="e">
        <f ca="1">([1]!InterpCn(Géométrie!$I$96,$A35,Géométrie!$B$113)-[1]!InterpCn(Géométrie!$I$96,$A35,0))*PI()*Géométrie!$B$114^2/4</f>
        <v>#NAME?</v>
      </c>
      <c r="AK35" s="39" t="e">
        <f ca="1">'Tableaux aéro'!W103</f>
        <v>#NAME?</v>
      </c>
      <c r="AL35" s="220" t="e">
        <f t="shared" ca="1" si="4"/>
        <v>#NAME?</v>
      </c>
      <c r="AM35" s="253" t="e">
        <f ca="1">(([1]!InterpCm(Géométrie!$I$96,$A35,Géométrie!$B$113)-[1]!InterpCm(Géométrie!$I$96,$A35,0))*PI()*Géométrie!$B$114^2/4/$B$1*$AM$2/$B$2)+AJ35*(-Géométrie!$B$114/2/TAN(Géométrie!$I$96*PI()/180)+Géométrie!$B$2+Géométrie!$B$16+Géométrie!$B$84+Géométrie!$B$110-Géométrie!$B$111)/$B$2</f>
        <v>#NAME?</v>
      </c>
      <c r="AN35" s="150"/>
      <c r="AO35" s="220" t="e">
        <f ca="1">[1]!interpol(A35,'[2]CA basé sur Ariane 3'!$A$6:$A$23,'[2]CA basé sur Ariane 3'!$B$6:$B$23)</f>
        <v>#NAME?</v>
      </c>
      <c r="AP35" s="220">
        <f>0.6*(Géométrie!$B$104+Géométrie!$B$137)+Géométrie!$B$16+Géométrie!$B$13+Géométrie!$B$2+Géométrie!$B$84-Géométrie!$B$104</f>
        <v>24.847187000000002</v>
      </c>
      <c r="AQ35" s="219"/>
      <c r="AR35" s="150"/>
      <c r="AS35" s="39" t="e">
        <f ca="1">'Tableaux aéro'!Y103</f>
        <v>#NAME?</v>
      </c>
      <c r="AT35" s="220" t="e">
        <f t="shared" ca="1" si="5"/>
        <v>#NAME?</v>
      </c>
      <c r="AU35" s="219"/>
      <c r="AV35" s="221" t="e">
        <f ca="1">-'Tableaux aéro'!B141*('Tableaux aéro'!$E$112-'Tableaux aéro'!$E$113)/Aerodynamique!$B$1</f>
        <v>#NAME?</v>
      </c>
      <c r="AW35" s="221" t="e">
        <f ca="1">'Tableaux aéro'!S103</f>
        <v>#NAME?</v>
      </c>
      <c r="AX35" s="73"/>
      <c r="AY35" t="e">
        <f t="shared" ca="1" si="6"/>
        <v>#NAME?</v>
      </c>
      <c r="AZ35" t="e">
        <f ca="1">(AY35-AV35-'Tableaux aéro'!J33)/AW35</f>
        <v>#NAME?</v>
      </c>
      <c r="BA35" t="e">
        <f ca="1">'Tableaux aéro'!J33+'Tableaux aéro'!T103*AZ35</f>
        <v>#NAME?</v>
      </c>
      <c r="BC35" t="e">
        <f t="shared" ca="1" si="7"/>
        <v>#NAME?</v>
      </c>
      <c r="BD35" t="e">
        <f ca="1">(BC35-'Tableaux aéro'!U33)/(([1]!InterpCn(Géométrie!$B$4,$A35,(Géométrie!$B$131-Géométrie!$B$121)/Géométrie!$B$3)-[1]!InterpCn(Géométrie!$B$4,$A35,0))*PI()*Géométrie!$B$3^2/4/$B$1)</f>
        <v>#NAME?</v>
      </c>
      <c r="BE35" t="e">
        <f ca="1">'Tableaux aéro'!U33+(([1]!InterpCn(Géométrie!$B$4,$A35,$BB$3/Géométrie!$B$3)-[1]!InterpCn(Géométrie!$B$4,$A35,0))*PI()*Géométrie!$B$3^2/4/$B$1)*BD35</f>
        <v>#NAME?</v>
      </c>
      <c r="BG35" t="e">
        <f t="shared" ca="1" si="8"/>
        <v>#NAME?</v>
      </c>
      <c r="BH35" t="e">
        <f ca="1">(BG35-'Tableaux aéro'!U33*'Tableaux aéro'!AE33/$B$2)/(([1]!InterpCm(Géométrie!$B$4,$A35,(Géométrie!$B$131-Géométrie!$B$121)/Géométrie!$B$3)-[1]!InterpCm(Géométrie!$B$4,$A35,0))*PI()*Géométrie!$B$3^2/4/$B$1)</f>
        <v>#NAME?</v>
      </c>
      <c r="BI35" t="e">
        <f ca="1">'Tableaux aéro'!U33*'Tableaux aéro'!AE33/$B$2+BH35*(([1]!InterpCm(Géométrie!$B$4,$A35,$BB$3/Géométrie!$B$3)-[1]!InterpCm(Géométrie!$B$4,$A35,0))*PI()*Géométrie!$B$3^2/4/$B$1)</f>
        <v>#NAME?</v>
      </c>
      <c r="BK35" t="e">
        <f t="shared" ca="1" si="9"/>
        <v>#NAME?</v>
      </c>
    </row>
    <row r="36" spans="1:63">
      <c r="A36" s="85">
        <v>4.0999999999999996</v>
      </c>
      <c r="B36" s="39" t="e">
        <f ca="1">('Tableaux aéro'!U34)*PI()*Géométrie!$B$3^2/4/$B$1</f>
        <v>#NAME?</v>
      </c>
      <c r="C36" s="39" t="e">
        <f ca="1">'Tableaux aéro'!M104*A36*Géométrie!$B$2</f>
        <v>#NAME?</v>
      </c>
      <c r="D36" s="39" t="e">
        <f ca="1">'Tableaux aéro'!J34*PI()*Géométrie!$B$3^2/4/$B$1</f>
        <v>#NAME?</v>
      </c>
      <c r="E36" s="39" t="e">
        <f ca="1">Géométrie!$F$13-('Tableaux aéro'!AE34)*Géométrie!$B$3</f>
        <v>#NAME?</v>
      </c>
      <c r="F36" s="39" t="e">
        <f t="shared" ca="1" si="0"/>
        <v>#NAME?</v>
      </c>
      <c r="G36" s="39" t="e">
        <f ca="1">([1]!InterpCn(Géométrie!$B$4,$A36,Géométrie!$B$18)-[1]!InterpCn(Géométrie!$B$4,$A36,0))*PI()*Géométrie!$B$3^2/4/$B$1</f>
        <v>#NAME?</v>
      </c>
      <c r="H36" s="207" t="e">
        <f ca="1">'Tableaux aéro'!S104</f>
        <v>#NAME?</v>
      </c>
      <c r="I36" s="39" t="e">
        <f t="shared" ca="1" si="1"/>
        <v>#NAME?</v>
      </c>
      <c r="J36" s="39" t="e">
        <f ca="1">([1]!InterpCm(Géométrie!$B$4,$A36,Géométrie!$B$18)-[1]!InterpCm(Géométrie!$B$4,$A36,0))*PI()*Géométrie!$B$3^2/4/$B$1*$J$2/$B$2+G36*(Géométrie!$F$13-Géométrie!$B$3/(2*TAN(Géométrie!$B$4*PI()/180)))*1/$B$2</f>
        <v>#NAME?</v>
      </c>
      <c r="K36" s="216" t="e">
        <f ca="1">'Tableaux aéro'!L34*PI()/180*PI()*Géométrie!$B$3^2/4/$B$1</f>
        <v>#NAME?</v>
      </c>
      <c r="L36" s="216">
        <f>'Tableaux aéro'!B34*PI()*Géométrie!$B$3^2/4/$B$1</f>
        <v>0.15973168906249999</v>
      </c>
      <c r="M36" s="216" t="e">
        <f ca="1">'Tableaux aéro'!W34*Géométrie!$B$3</f>
        <v>#NAME?</v>
      </c>
      <c r="N36" s="216" t="e">
        <f ca="1">K36*(M36-Géométrie!$F$12)/$B$2</f>
        <v>#NAME?</v>
      </c>
      <c r="O36" s="217" t="e">
        <f ca="1">[1]!InterpCn(10,$A36,Géométrie!$F$13/Géométrie!$B$3)*Géométrie!$B$3^2*PI()/4/Aerodynamique!$B$1</f>
        <v>#NAME?</v>
      </c>
      <c r="P36" s="216" t="e">
        <f ca="1">'Tableaux aéro'!M104*A36*Géométrie!$F$13</f>
        <v>#NAME?</v>
      </c>
      <c r="Q36" s="216" t="e">
        <f ca="1">0.445/POWER(LOG(P36),2.58)/POWER(1+0.15*A36^2,0.58)*Géométrie!$B$10/$B$1</f>
        <v>#NAME?</v>
      </c>
      <c r="R36" s="216"/>
      <c r="S36" s="216" t="e">
        <f ca="1">[1]!InterpCm(10,$A36,Géométrie!$F$13/Géométrie!$B$3)*Géométrie!$B$3^2*PI()/4/$B$1</f>
        <v>#NAME?</v>
      </c>
      <c r="T36" s="218"/>
      <c r="U36" s="150"/>
      <c r="V36" s="150"/>
      <c r="W36" s="219"/>
      <c r="X36" s="150"/>
      <c r="Y36" s="220" t="e">
        <f ca="1">[1]!interpol(A36,'[2]CA basé sur Ariane 3'!$A$6:$A$23,'[2]CA basé sur Ariane 3'!$B$6:$B$23)*PI()*Géométrie!$B$3^2/4/$B$1</f>
        <v>#NAME?</v>
      </c>
      <c r="Z36" s="213">
        <f>0.6*Géométrie!$B$81+Géométrie!$B$16+Géométrie!$B$2</f>
        <v>10.140938348728373</v>
      </c>
      <c r="AA36" s="219"/>
      <c r="AB36" s="218"/>
      <c r="AC36" s="39" t="e">
        <f ca="1">'Tableaux aéro'!R104</f>
        <v>#NAME?</v>
      </c>
      <c r="AD36" s="220" t="e">
        <f t="shared" ca="1" si="2"/>
        <v>#NAME?</v>
      </c>
      <c r="AE36" s="150"/>
      <c r="AF36" s="249" t="e">
        <f ca="1">[1]!interpol(A36,[4]jupA_data!$A$2:$A$10,[4]jupA_data!$B$2:$B$10)*PI()*(Géométrie!$B$114^2-Géométrie!$B$85^2)/$B$1*COS(Géométrie!$I$96*PI()/180)^2/100</f>
        <v>#NAME?</v>
      </c>
      <c r="AG36" s="83" t="e">
        <f ca="1">[3]!interpol(A36,'[2]CA basé sur Ariane 3'!$A$6:$A$23,'[2]CA basé sur Ariane 3'!$B$6:$B$23)*PI()*Géométrie!$B$73^2/4/$B$1</f>
        <v>#NAME?</v>
      </c>
      <c r="AH36" s="220">
        <f>0.4*(Géométrie!$B$110-Géométrie!$B$111)+Géométrie!$B$84+Géométrie!$B$16+Géométrie!$B$3</f>
        <v>20.498665767514421</v>
      </c>
      <c r="AI36" s="220" t="e">
        <f t="shared" ca="1" si="3"/>
        <v>#NAME?</v>
      </c>
      <c r="AJ36" s="249" t="e">
        <f ca="1">([1]!InterpCn(Géométrie!$I$96,$A36,Géométrie!$B$113)-[1]!InterpCn(Géométrie!$I$96,$A36,0))*PI()*Géométrie!$B$114^2/4</f>
        <v>#NAME?</v>
      </c>
      <c r="AK36" s="39" t="e">
        <f ca="1">'Tableaux aéro'!W104</f>
        <v>#NAME?</v>
      </c>
      <c r="AL36" s="220" t="e">
        <f t="shared" ca="1" si="4"/>
        <v>#NAME?</v>
      </c>
      <c r="AM36" s="253" t="e">
        <f ca="1">(([1]!InterpCm(Géométrie!$I$96,$A36,Géométrie!$B$113)-[1]!InterpCm(Géométrie!$I$96,$A36,0))*PI()*Géométrie!$B$114^2/4/$B$1*$AM$2/$B$2)+AJ36*(-Géométrie!$B$114/2/TAN(Géométrie!$I$96*PI()/180)+Géométrie!$B$2+Géométrie!$B$16+Géométrie!$B$84+Géométrie!$B$110-Géométrie!$B$111)/$B$2</f>
        <v>#NAME?</v>
      </c>
      <c r="AN36" s="150"/>
      <c r="AO36" s="220" t="e">
        <f ca="1">[1]!interpol(A36,'[2]CA basé sur Ariane 3'!$A$6:$A$23,'[2]CA basé sur Ariane 3'!$B$6:$B$23)</f>
        <v>#NAME?</v>
      </c>
      <c r="AP36" s="220">
        <f>0.6*(Géométrie!$B$104+Géométrie!$B$137)+Géométrie!$B$16+Géométrie!$B$13+Géométrie!$B$2+Géométrie!$B$84-Géométrie!$B$104</f>
        <v>24.847187000000002</v>
      </c>
      <c r="AQ36" s="219"/>
      <c r="AR36" s="150"/>
      <c r="AS36" s="39" t="e">
        <f ca="1">'Tableaux aéro'!Y104</f>
        <v>#NAME?</v>
      </c>
      <c r="AT36" s="220" t="e">
        <f t="shared" ca="1" si="5"/>
        <v>#NAME?</v>
      </c>
      <c r="AU36" s="219"/>
      <c r="AV36" s="221" t="e">
        <f ca="1">-'Tableaux aéro'!B142*('Tableaux aéro'!$E$112-'Tableaux aéro'!$E$113)/Aerodynamique!$B$1</f>
        <v>#NAME?</v>
      </c>
      <c r="AW36" s="221" t="e">
        <f ca="1">'Tableaux aéro'!S104</f>
        <v>#NAME?</v>
      </c>
      <c r="AX36" s="73"/>
      <c r="AY36" t="e">
        <f t="shared" ca="1" si="6"/>
        <v>#NAME?</v>
      </c>
      <c r="AZ36" t="e">
        <f ca="1">(AY36-AV36-'Tableaux aéro'!J34)/AW36</f>
        <v>#NAME?</v>
      </c>
      <c r="BA36" t="e">
        <f ca="1">'Tableaux aéro'!J34+'Tableaux aéro'!T104*AZ36</f>
        <v>#NAME?</v>
      </c>
      <c r="BC36" t="e">
        <f t="shared" ca="1" si="7"/>
        <v>#NAME?</v>
      </c>
      <c r="BD36" t="e">
        <f ca="1">(BC36-'Tableaux aéro'!U34)/(([1]!InterpCn(Géométrie!$B$4,$A36,(Géométrie!$B$131-Géométrie!$B$121)/Géométrie!$B$3)-[1]!InterpCn(Géométrie!$B$4,$A36,0))*PI()*Géométrie!$B$3^2/4/$B$1)</f>
        <v>#NAME?</v>
      </c>
      <c r="BE36" t="e">
        <f ca="1">'Tableaux aéro'!U34+(([1]!InterpCn(Géométrie!$B$4,$A36,$BB$3/Géométrie!$B$3)-[1]!InterpCn(Géométrie!$B$4,$A36,0))*PI()*Géométrie!$B$3^2/4/$B$1)*BD36</f>
        <v>#NAME?</v>
      </c>
      <c r="BG36" t="e">
        <f t="shared" ca="1" si="8"/>
        <v>#NAME?</v>
      </c>
      <c r="BH36" t="e">
        <f ca="1">(BG36-'Tableaux aéro'!U34*'Tableaux aéro'!AE34/$B$2)/(([1]!InterpCm(Géométrie!$B$4,$A36,(Géométrie!$B$131-Géométrie!$B$121)/Géométrie!$B$3)-[1]!InterpCm(Géométrie!$B$4,$A36,0))*PI()*Géométrie!$B$3^2/4/$B$1)</f>
        <v>#NAME?</v>
      </c>
      <c r="BI36" t="e">
        <f ca="1">'Tableaux aéro'!U34*'Tableaux aéro'!AE34/$B$2+BH36*(([1]!InterpCm(Géométrie!$B$4,$A36,$BB$3/Géométrie!$B$3)-[1]!InterpCm(Géométrie!$B$4,$A36,0))*PI()*Géométrie!$B$3^2/4/$B$1)</f>
        <v>#NAME?</v>
      </c>
      <c r="BK36" t="e">
        <f t="shared" ca="1" si="9"/>
        <v>#NAME?</v>
      </c>
    </row>
    <row r="37" spans="1:63">
      <c r="A37" s="85">
        <v>4.3</v>
      </c>
      <c r="B37" s="39" t="e">
        <f ca="1">('Tableaux aéro'!U35)*PI()*Géométrie!$B$3^2/4/$B$1</f>
        <v>#NAME?</v>
      </c>
      <c r="C37" s="39" t="e">
        <f ca="1">'Tableaux aéro'!M105*A37*Géométrie!$B$2</f>
        <v>#NAME?</v>
      </c>
      <c r="D37" s="39" t="e">
        <f ca="1">'Tableaux aéro'!J35*PI()*Géométrie!$B$3^2/4/$B$1</f>
        <v>#NAME?</v>
      </c>
      <c r="E37" s="39" t="e">
        <f ca="1">Géométrie!$F$13-('Tableaux aéro'!AE35)*Géométrie!$B$3</f>
        <v>#NAME?</v>
      </c>
      <c r="F37" s="39" t="e">
        <f t="shared" ca="1" si="0"/>
        <v>#NAME?</v>
      </c>
      <c r="G37" s="39" t="e">
        <f ca="1">([1]!InterpCn(Géométrie!$B$4,$A37,Géométrie!$B$18)-[1]!InterpCn(Géométrie!$B$4,$A37,0))*PI()*Géométrie!$B$3^2/4/$B$1</f>
        <v>#NAME?</v>
      </c>
      <c r="H37" s="207" t="e">
        <f ca="1">'Tableaux aéro'!S105</f>
        <v>#NAME?</v>
      </c>
      <c r="I37" s="39" t="e">
        <f t="shared" ca="1" si="1"/>
        <v>#NAME?</v>
      </c>
      <c r="J37" s="39" t="e">
        <f ca="1">([1]!InterpCm(Géométrie!$B$4,$A37,Géométrie!$B$18)-[1]!InterpCm(Géométrie!$B$4,$A37,0))*PI()*Géométrie!$B$3^2/4/$B$1*$J$2/$B$2+G37*(Géométrie!$F$13-Géométrie!$B$3/(2*TAN(Géométrie!$B$4*PI()/180)))*1/$B$2</f>
        <v>#NAME?</v>
      </c>
      <c r="K37" s="216" t="e">
        <f ca="1">'Tableaux aéro'!L35*PI()/180*PI()*Géométrie!$B$3^2/4/$B$1</f>
        <v>#NAME?</v>
      </c>
      <c r="L37" s="216">
        <f>'Tableaux aéro'!B35*PI()*Géométrie!$B$3^2/4/$B$1</f>
        <v>0.15997249531249996</v>
      </c>
      <c r="M37" s="216" t="e">
        <f ca="1">'Tableaux aéro'!W35*Géométrie!$B$3</f>
        <v>#NAME?</v>
      </c>
      <c r="N37" s="216" t="e">
        <f ca="1">K37*(M37-Géométrie!$F$12)/$B$2</f>
        <v>#NAME?</v>
      </c>
      <c r="O37" s="217" t="e">
        <f ca="1">[1]!InterpCn(10,$A37,Géométrie!$F$13/Géométrie!$B$3)*Géométrie!$B$3^2*PI()/4/Aerodynamique!$B$1</f>
        <v>#NAME?</v>
      </c>
      <c r="P37" s="216" t="e">
        <f ca="1">'Tableaux aéro'!M105*A37*Géométrie!$F$13</f>
        <v>#NAME?</v>
      </c>
      <c r="Q37" s="216" t="e">
        <f ca="1">0.445/POWER(LOG(P37),2.58)/POWER(1+0.15*A37^2,0.58)*Géométrie!$B$10/$B$1</f>
        <v>#NAME?</v>
      </c>
      <c r="R37" s="216"/>
      <c r="S37" s="216" t="e">
        <f ca="1">[1]!InterpCm(10,$A37,Géométrie!$F$13/Géométrie!$B$3)*Géométrie!$B$3^2*PI()/4/$B$1</f>
        <v>#NAME?</v>
      </c>
      <c r="T37" s="218"/>
      <c r="U37" s="150"/>
      <c r="V37" s="150"/>
      <c r="W37" s="219"/>
      <c r="X37" s="150"/>
      <c r="Y37" s="220" t="e">
        <f ca="1">[1]!interpol(A37,'[2]CA basé sur Ariane 3'!$A$6:$A$23,'[2]CA basé sur Ariane 3'!$B$6:$B$23)*PI()*Géométrie!$B$3^2/4/$B$1</f>
        <v>#NAME?</v>
      </c>
      <c r="Z37" s="213">
        <f>0.6*Géométrie!$B$81+Géométrie!$B$16+Géométrie!$B$2</f>
        <v>10.140938348728373</v>
      </c>
      <c r="AA37" s="219"/>
      <c r="AB37" s="218"/>
      <c r="AC37" s="39" t="e">
        <f ca="1">'Tableaux aéro'!R105</f>
        <v>#NAME?</v>
      </c>
      <c r="AD37" s="220" t="e">
        <f t="shared" ca="1" si="2"/>
        <v>#NAME?</v>
      </c>
      <c r="AE37" s="150"/>
      <c r="AF37" s="249" t="e">
        <f ca="1">[1]!interpol(A37,[4]jupA_data!$A$2:$A$10,[4]jupA_data!$B$2:$B$10)*PI()*(Géométrie!$B$114^2-Géométrie!$B$85^2)/$B$1*COS(Géométrie!$I$96*PI()/180)^2/100</f>
        <v>#NAME?</v>
      </c>
      <c r="AG37" s="83" t="e">
        <f ca="1">[3]!interpol(A37,'[2]CA basé sur Ariane 3'!$A$6:$A$23,'[2]CA basé sur Ariane 3'!$B$6:$B$23)*PI()*Géométrie!$B$73^2/4/$B$1</f>
        <v>#NAME?</v>
      </c>
      <c r="AH37" s="220">
        <f>0.4*(Géométrie!$B$110-Géométrie!$B$111)+Géométrie!$B$84+Géométrie!$B$16+Géométrie!$B$3</f>
        <v>20.498665767514421</v>
      </c>
      <c r="AI37" s="220" t="e">
        <f t="shared" ca="1" si="3"/>
        <v>#NAME?</v>
      </c>
      <c r="AJ37" s="249" t="e">
        <f ca="1">([1]!InterpCn(Géométrie!$I$96,$A37,Géométrie!$B$113)-[1]!InterpCn(Géométrie!$I$96,$A37,0))*PI()*Géométrie!$B$114^2/4</f>
        <v>#NAME?</v>
      </c>
      <c r="AK37" s="39" t="e">
        <f ca="1">'Tableaux aéro'!W105</f>
        <v>#NAME?</v>
      </c>
      <c r="AL37" s="220" t="e">
        <f t="shared" ca="1" si="4"/>
        <v>#NAME?</v>
      </c>
      <c r="AM37" s="253" t="e">
        <f ca="1">(([1]!InterpCm(Géométrie!$I$96,$A37,Géométrie!$B$113)-[1]!InterpCm(Géométrie!$I$96,$A37,0))*PI()*Géométrie!$B$114^2/4/$B$1*$AM$2/$B$2)+AJ37*(-Géométrie!$B$114/2/TAN(Géométrie!$I$96*PI()/180)+Géométrie!$B$2+Géométrie!$B$16+Géométrie!$B$84+Géométrie!$B$110-Géométrie!$B$111)/$B$2</f>
        <v>#NAME?</v>
      </c>
      <c r="AN37" s="150"/>
      <c r="AO37" s="220" t="e">
        <f ca="1">[1]!interpol(A37,'[2]CA basé sur Ariane 3'!$A$6:$A$23,'[2]CA basé sur Ariane 3'!$B$6:$B$23)</f>
        <v>#NAME?</v>
      </c>
      <c r="AP37" s="220">
        <f>0.6*(Géométrie!$B$104+Géométrie!$B$137)+Géométrie!$B$16+Géométrie!$B$13+Géométrie!$B$2+Géométrie!$B$84-Géométrie!$B$104</f>
        <v>24.847187000000002</v>
      </c>
      <c r="AQ37" s="219"/>
      <c r="AR37" s="150"/>
      <c r="AS37" s="39" t="e">
        <f ca="1">'Tableaux aéro'!Y105</f>
        <v>#NAME?</v>
      </c>
      <c r="AT37" s="220" t="e">
        <f t="shared" ca="1" si="5"/>
        <v>#NAME?</v>
      </c>
      <c r="AU37" s="219"/>
      <c r="AV37" s="221" t="e">
        <f ca="1">-'Tableaux aéro'!B143*('Tableaux aéro'!$E$112-'Tableaux aéro'!$E$113)/Aerodynamique!$B$1</f>
        <v>#NAME?</v>
      </c>
      <c r="AW37" s="221" t="e">
        <f ca="1">'Tableaux aéro'!S105</f>
        <v>#NAME?</v>
      </c>
      <c r="AX37" s="73"/>
      <c r="AY37" t="e">
        <f t="shared" ca="1" si="6"/>
        <v>#NAME?</v>
      </c>
      <c r="AZ37" t="e">
        <f ca="1">(AY37-AV37-'Tableaux aéro'!J35)/AW37</f>
        <v>#NAME?</v>
      </c>
      <c r="BA37" t="e">
        <f ca="1">'Tableaux aéro'!J35+'Tableaux aéro'!T105*AZ37</f>
        <v>#NAME?</v>
      </c>
      <c r="BC37" t="e">
        <f t="shared" ca="1" si="7"/>
        <v>#NAME?</v>
      </c>
      <c r="BD37" t="e">
        <f ca="1">(BC37-'Tableaux aéro'!U35)/(([1]!InterpCn(Géométrie!$B$4,$A37,(Géométrie!$B$131-Géométrie!$B$121)/Géométrie!$B$3)-[1]!InterpCn(Géométrie!$B$4,$A37,0))*PI()*Géométrie!$B$3^2/4/$B$1)</f>
        <v>#NAME?</v>
      </c>
      <c r="BE37" t="e">
        <f ca="1">'Tableaux aéro'!U35+(([1]!InterpCn(Géométrie!$B$4,$A37,$BB$3/Géométrie!$B$3)-[1]!InterpCn(Géométrie!$B$4,$A37,0))*PI()*Géométrie!$B$3^2/4/$B$1)*BD37</f>
        <v>#NAME?</v>
      </c>
      <c r="BG37" t="e">
        <f t="shared" ca="1" si="8"/>
        <v>#NAME?</v>
      </c>
      <c r="BH37" t="e">
        <f ca="1">(BG37-'Tableaux aéro'!U35*'Tableaux aéro'!AE35/$B$2)/(([1]!InterpCm(Géométrie!$B$4,$A37,(Géométrie!$B$131-Géométrie!$B$121)/Géométrie!$B$3)-[1]!InterpCm(Géométrie!$B$4,$A37,0))*PI()*Géométrie!$B$3^2/4/$B$1)</f>
        <v>#NAME?</v>
      </c>
      <c r="BI37" t="e">
        <f ca="1">'Tableaux aéro'!U35*'Tableaux aéro'!AE35/$B$2+BH37*(([1]!InterpCm(Géométrie!$B$4,$A37,$BB$3/Géométrie!$B$3)-[1]!InterpCm(Géométrie!$B$4,$A37,0))*PI()*Géométrie!$B$3^2/4/$B$1)</f>
        <v>#NAME?</v>
      </c>
      <c r="BK37" t="e">
        <f t="shared" ca="1" si="9"/>
        <v>#NAME?</v>
      </c>
    </row>
    <row r="38" spans="1:63">
      <c r="A38" s="85">
        <v>4.5</v>
      </c>
      <c r="B38" s="39" t="e">
        <f ca="1">('Tableaux aéro'!U36)*PI()*Géométrie!$B$3^2/4/$B$1</f>
        <v>#NAME?</v>
      </c>
      <c r="C38" s="39" t="e">
        <f ca="1">'Tableaux aéro'!M106*A38*Géométrie!$B$2</f>
        <v>#NAME?</v>
      </c>
      <c r="D38" s="39" t="e">
        <f ca="1">'Tableaux aéro'!J36*PI()*Géométrie!$B$3^2/4/$B$1</f>
        <v>#NAME?</v>
      </c>
      <c r="E38" s="39" t="e">
        <f ca="1">Géométrie!$F$13-('Tableaux aéro'!AE36)*Géométrie!$B$3</f>
        <v>#NAME?</v>
      </c>
      <c r="F38" s="39" t="e">
        <f t="shared" ca="1" si="0"/>
        <v>#NAME?</v>
      </c>
      <c r="G38" s="39" t="e">
        <f ca="1">([1]!InterpCn(Géométrie!$B$4,$A38,Géométrie!$B$18)-[1]!InterpCn(Géométrie!$B$4,$A38,0))*PI()*Géométrie!$B$3^2/4/$B$1</f>
        <v>#NAME?</v>
      </c>
      <c r="H38" s="207" t="e">
        <f ca="1">'Tableaux aéro'!S106</f>
        <v>#NAME?</v>
      </c>
      <c r="I38" s="39" t="e">
        <f t="shared" ca="1" si="1"/>
        <v>#NAME?</v>
      </c>
      <c r="J38" s="39" t="e">
        <f ca="1">([1]!InterpCm(Géométrie!$B$4,$A38,Géométrie!$B$18)-[1]!InterpCm(Géométrie!$B$4,$A38,0))*PI()*Géométrie!$B$3^2/4/$B$1*$J$2/$B$2+G38*(Géométrie!$F$13-Géométrie!$B$3/(2*TAN(Géométrie!$B$4*PI()/180)))*1/$B$2</f>
        <v>#NAME?</v>
      </c>
      <c r="K38" s="216" t="e">
        <f ca="1">'Tableaux aéro'!L36*PI()/180*PI()*Géométrie!$B$3^2/4/$B$1</f>
        <v>#NAME?</v>
      </c>
      <c r="L38" s="216">
        <f>'Tableaux aéro'!B36*PI()*Géométrie!$B$3^2/4/$B$1</f>
        <v>0.16021330312499996</v>
      </c>
      <c r="M38" s="216" t="e">
        <f ca="1">'Tableaux aéro'!W36*Géométrie!$B$3</f>
        <v>#NAME?</v>
      </c>
      <c r="N38" s="216" t="e">
        <f ca="1">K38*(M38-Géométrie!$F$12)/$B$2</f>
        <v>#NAME?</v>
      </c>
      <c r="O38" s="217" t="e">
        <f ca="1">[1]!InterpCn(10,$A38,Géométrie!$F$13/Géométrie!$B$3)*Géométrie!$B$3^2*PI()/4/Aerodynamique!$B$1</f>
        <v>#NAME?</v>
      </c>
      <c r="P38" s="216" t="e">
        <f ca="1">'Tableaux aéro'!M106*A38*Géométrie!$F$13</f>
        <v>#NAME?</v>
      </c>
      <c r="Q38" s="216" t="e">
        <f ca="1">0.445/POWER(LOG(P38),2.58)/POWER(1+0.15*A38^2,0.58)*Géométrie!$B$10/$B$1</f>
        <v>#NAME?</v>
      </c>
      <c r="R38" s="216"/>
      <c r="S38" s="216" t="e">
        <f ca="1">[1]!InterpCm(10,$A38,Géométrie!$F$13/Géométrie!$B$3)*Géométrie!$B$3^2*PI()/4/$B$1</f>
        <v>#NAME?</v>
      </c>
      <c r="T38" s="218"/>
      <c r="U38" s="150"/>
      <c r="V38" s="150"/>
      <c r="W38" s="219"/>
      <c r="X38" s="150"/>
      <c r="Y38" s="220" t="e">
        <f ca="1">[1]!interpol(A38,'[2]CA basé sur Ariane 3'!$A$6:$A$23,'[2]CA basé sur Ariane 3'!$B$6:$B$23)*PI()*Géométrie!$B$3^2/4/$B$1</f>
        <v>#NAME?</v>
      </c>
      <c r="Z38" s="213">
        <f>0.6*Géométrie!$B$81+Géométrie!$B$16+Géométrie!$B$2</f>
        <v>10.140938348728373</v>
      </c>
      <c r="AA38" s="219"/>
      <c r="AB38" s="218"/>
      <c r="AC38" s="39" t="e">
        <f ca="1">'Tableaux aéro'!R106</f>
        <v>#NAME?</v>
      </c>
      <c r="AD38" s="220" t="e">
        <f t="shared" ca="1" si="2"/>
        <v>#NAME?</v>
      </c>
      <c r="AE38" s="150"/>
      <c r="AF38" s="249" t="e">
        <f ca="1">[1]!interpol(A38,[4]jupA_data!$A$2:$A$10,[4]jupA_data!$B$2:$B$10)*PI()*(Géométrie!$B$114^2-Géométrie!$B$85^2)/$B$1*COS(Géométrie!$I$96*PI()/180)^2/100</f>
        <v>#NAME?</v>
      </c>
      <c r="AG38" s="83" t="e">
        <f ca="1">[3]!interpol(A38,'[2]CA basé sur Ariane 3'!$A$6:$A$23,'[2]CA basé sur Ariane 3'!$B$6:$B$23)*PI()*Géométrie!$B$73^2/4/$B$1</f>
        <v>#NAME?</v>
      </c>
      <c r="AH38" s="220">
        <f>0.4*(Géométrie!$B$110-Géométrie!$B$111)+Géométrie!$B$84+Géométrie!$B$16+Géométrie!$B$3</f>
        <v>20.498665767514421</v>
      </c>
      <c r="AI38" s="220" t="e">
        <f t="shared" ca="1" si="3"/>
        <v>#NAME?</v>
      </c>
      <c r="AJ38" s="249" t="e">
        <f ca="1">([1]!InterpCn(Géométrie!$I$96,$A38,Géométrie!$B$113)-[1]!InterpCn(Géométrie!$I$96,$A38,0))*PI()*Géométrie!$B$114^2/4</f>
        <v>#NAME?</v>
      </c>
      <c r="AK38" s="39" t="e">
        <f ca="1">'Tableaux aéro'!W106</f>
        <v>#NAME?</v>
      </c>
      <c r="AL38" s="220" t="e">
        <f t="shared" ca="1" si="4"/>
        <v>#NAME?</v>
      </c>
      <c r="AM38" s="253" t="e">
        <f ca="1">(([1]!InterpCm(Géométrie!$I$96,$A38,Géométrie!$B$113)-[1]!InterpCm(Géométrie!$I$96,$A38,0))*PI()*Géométrie!$B$114^2/4/$B$1*$AM$2/$B$2)+AJ38*(-Géométrie!$B$114/2/TAN(Géométrie!$I$96*PI()/180)+Géométrie!$B$2+Géométrie!$B$16+Géométrie!$B$84+Géométrie!$B$110-Géométrie!$B$111)/$B$2</f>
        <v>#NAME?</v>
      </c>
      <c r="AN38" s="150"/>
      <c r="AO38" s="220" t="e">
        <f ca="1">[1]!interpol(A38,'[2]CA basé sur Ariane 3'!$A$6:$A$23,'[2]CA basé sur Ariane 3'!$B$6:$B$23)</f>
        <v>#NAME?</v>
      </c>
      <c r="AP38" s="220">
        <f>0.6*(Géométrie!$B$104+Géométrie!$B$137)+Géométrie!$B$16+Géométrie!$B$13+Géométrie!$B$2+Géométrie!$B$84-Géométrie!$B$104</f>
        <v>24.847187000000002</v>
      </c>
      <c r="AQ38" s="219"/>
      <c r="AR38" s="150"/>
      <c r="AS38" s="39" t="e">
        <f ca="1">'Tableaux aéro'!Y106</f>
        <v>#NAME?</v>
      </c>
      <c r="AT38" s="220" t="e">
        <f t="shared" ca="1" si="5"/>
        <v>#NAME?</v>
      </c>
      <c r="AU38" s="219"/>
      <c r="AV38" s="221" t="e">
        <f ca="1">-'Tableaux aéro'!B144*('Tableaux aéro'!$E$112-'Tableaux aéro'!$E$113)/Aerodynamique!$B$1</f>
        <v>#NAME?</v>
      </c>
      <c r="AW38" s="221" t="e">
        <f ca="1">'Tableaux aéro'!S106</f>
        <v>#NAME?</v>
      </c>
      <c r="AX38" s="73"/>
      <c r="AY38" t="e">
        <f t="shared" ca="1" si="6"/>
        <v>#NAME?</v>
      </c>
      <c r="AZ38" t="e">
        <f ca="1">(AY38-AV38-'Tableaux aéro'!J36)/AW38</f>
        <v>#NAME?</v>
      </c>
      <c r="BA38" t="e">
        <f ca="1">'Tableaux aéro'!J36+'Tableaux aéro'!T106*AZ38</f>
        <v>#NAME?</v>
      </c>
      <c r="BC38" t="e">
        <f t="shared" ca="1" si="7"/>
        <v>#NAME?</v>
      </c>
      <c r="BD38" t="e">
        <f ca="1">(BC38-'Tableaux aéro'!U36)/(([1]!InterpCn(Géométrie!$B$4,$A38,(Géométrie!$B$131-Géométrie!$B$121)/Géométrie!$B$3)-[1]!InterpCn(Géométrie!$B$4,$A38,0))*PI()*Géométrie!$B$3^2/4/$B$1)</f>
        <v>#NAME?</v>
      </c>
      <c r="BE38" t="e">
        <f ca="1">'Tableaux aéro'!U36+(([1]!InterpCn(Géométrie!$B$4,$A38,$BB$3/Géométrie!$B$3)-[1]!InterpCn(Géométrie!$B$4,$A38,0))*PI()*Géométrie!$B$3^2/4/$B$1)*BD38</f>
        <v>#NAME?</v>
      </c>
      <c r="BG38" t="e">
        <f t="shared" ca="1" si="8"/>
        <v>#NAME?</v>
      </c>
      <c r="BH38" t="e">
        <f ca="1">(BG38-'Tableaux aéro'!U36*'Tableaux aéro'!AE36/$B$2)/(([1]!InterpCm(Géométrie!$B$4,$A38,(Géométrie!$B$131-Géométrie!$B$121)/Géométrie!$B$3)-[1]!InterpCm(Géométrie!$B$4,$A38,0))*PI()*Géométrie!$B$3^2/4/$B$1)</f>
        <v>#NAME?</v>
      </c>
      <c r="BI38" t="e">
        <f ca="1">'Tableaux aéro'!U36*'Tableaux aéro'!AE36/$B$2+BH38*(([1]!InterpCm(Géométrie!$B$4,$A38,$BB$3/Géométrie!$B$3)-[1]!InterpCm(Géométrie!$B$4,$A38,0))*PI()*Géométrie!$B$3^2/4/$B$1)</f>
        <v>#NAME?</v>
      </c>
      <c r="BK38" t="e">
        <f t="shared" ca="1" si="9"/>
        <v>#NAME?</v>
      </c>
    </row>
    <row r="39" spans="1:63">
      <c r="A39" s="85">
        <v>4.7</v>
      </c>
      <c r="B39" s="39" t="e">
        <f ca="1">('Tableaux aéro'!U37)*PI()*Géométrie!$B$3^2/4/$B$1</f>
        <v>#NAME?</v>
      </c>
      <c r="C39" s="39" t="e">
        <f ca="1">'Tableaux aéro'!M107*A39*Géométrie!$B$2</f>
        <v>#NAME?</v>
      </c>
      <c r="D39" s="39" t="e">
        <f ca="1">'Tableaux aéro'!J37*PI()*Géométrie!$B$3^2/4/$B$1</f>
        <v>#NAME?</v>
      </c>
      <c r="E39" s="39" t="e">
        <f ca="1">Géométrie!$F$13-('Tableaux aéro'!AE37)*Géométrie!$B$3</f>
        <v>#NAME?</v>
      </c>
      <c r="F39" s="39" t="e">
        <f t="shared" ca="1" si="0"/>
        <v>#NAME?</v>
      </c>
      <c r="G39" s="39" t="e">
        <f ca="1">([1]!InterpCn(Géométrie!$B$4,$A39,Géométrie!$B$18)-[1]!InterpCn(Géométrie!$B$4,$A39,0))*PI()*Géométrie!$B$3^2/4/$B$1</f>
        <v>#NAME?</v>
      </c>
      <c r="H39" s="207" t="e">
        <f ca="1">'Tableaux aéro'!S107</f>
        <v>#NAME?</v>
      </c>
      <c r="I39" s="39" t="e">
        <f t="shared" ca="1" si="1"/>
        <v>#NAME?</v>
      </c>
      <c r="J39" s="39" t="e">
        <f ca="1">([1]!InterpCm(Géométrie!$B$4,$A39,Géométrie!$B$18)-[1]!InterpCm(Géométrie!$B$4,$A39,0))*PI()*Géométrie!$B$3^2/4/$B$1*$J$2/$B$2+G39*(Géométrie!$F$13-Géométrie!$B$3/(2*TAN(Géométrie!$B$4*PI()/180)))*1/$B$2</f>
        <v>#NAME?</v>
      </c>
      <c r="K39" s="216" t="e">
        <f ca="1">'Tableaux aéro'!L37*PI()/180*PI()*Géométrie!$B$3^2/4/$B$1</f>
        <v>#NAME?</v>
      </c>
      <c r="L39" s="216">
        <f>'Tableaux aéro'!B37*PI()*Géométrie!$B$3^2/4/$B$1</f>
        <v>0.16045411093749998</v>
      </c>
      <c r="M39" s="216" t="e">
        <f ca="1">'Tableaux aéro'!W37*Géométrie!$B$3</f>
        <v>#NAME?</v>
      </c>
      <c r="N39" s="216" t="e">
        <f ca="1">K39*(M39-Géométrie!$F$12)/$B$2</f>
        <v>#NAME?</v>
      </c>
      <c r="O39" s="217" t="e">
        <f ca="1">[1]!InterpCn(10,$A39,Géométrie!$F$13/Géométrie!$B$3)*Géométrie!$B$3^2*PI()/4/Aerodynamique!$B$1</f>
        <v>#NAME?</v>
      </c>
      <c r="P39" s="216" t="e">
        <f ca="1">'Tableaux aéro'!M107*A39*Géométrie!$F$13</f>
        <v>#NAME?</v>
      </c>
      <c r="Q39" s="216" t="e">
        <f ca="1">0.445/POWER(LOG(P39),2.58)/POWER(1+0.15*A39^2,0.58)*Géométrie!$B$10/$B$1</f>
        <v>#NAME?</v>
      </c>
      <c r="R39" s="216"/>
      <c r="S39" s="216" t="e">
        <f ca="1">[1]!InterpCm(10,$A39,Géométrie!$F$13/Géométrie!$B$3)*Géométrie!$B$3^2*PI()/4/$B$1</f>
        <v>#NAME?</v>
      </c>
      <c r="T39" s="218"/>
      <c r="U39" s="150"/>
      <c r="V39" s="150"/>
      <c r="W39" s="219"/>
      <c r="X39" s="150"/>
      <c r="Y39" s="220" t="e">
        <f ca="1">[1]!interpol(A39,'[2]CA basé sur Ariane 3'!$A$6:$A$23,'[2]CA basé sur Ariane 3'!$B$6:$B$23)*PI()*Géométrie!$B$3^2/4/$B$1</f>
        <v>#NAME?</v>
      </c>
      <c r="Z39" s="213">
        <f>0.6*Géométrie!$B$81+Géométrie!$B$16+Géométrie!$B$2</f>
        <v>10.140938348728373</v>
      </c>
      <c r="AA39" s="219"/>
      <c r="AB39" s="218"/>
      <c r="AC39" s="39" t="e">
        <f ca="1">'Tableaux aéro'!R107</f>
        <v>#NAME?</v>
      </c>
      <c r="AD39" s="220" t="e">
        <f t="shared" ca="1" si="2"/>
        <v>#NAME?</v>
      </c>
      <c r="AE39" s="150"/>
      <c r="AF39" s="249" t="e">
        <f ca="1">[1]!interpol(A39,[4]jupA_data!$A$2:$A$10,[4]jupA_data!$B$2:$B$10)*PI()*(Géométrie!$B$114^2-Géométrie!$B$85^2)/$B$1*COS(Géométrie!$I$96*PI()/180)^2/100</f>
        <v>#NAME?</v>
      </c>
      <c r="AG39" s="83" t="e">
        <f ca="1">[3]!interpol(A39,'[2]CA basé sur Ariane 3'!$A$6:$A$23,'[2]CA basé sur Ariane 3'!$B$6:$B$23)*PI()*Géométrie!$B$73^2/4/$B$1</f>
        <v>#NAME?</v>
      </c>
      <c r="AH39" s="220">
        <f>0.4*(Géométrie!$B$110-Géométrie!$B$111)+Géométrie!$B$84+Géométrie!$B$16+Géométrie!$B$3</f>
        <v>20.498665767514421</v>
      </c>
      <c r="AI39" s="220" t="e">
        <f t="shared" ca="1" si="3"/>
        <v>#NAME?</v>
      </c>
      <c r="AJ39" s="249" t="e">
        <f ca="1">([1]!InterpCn(Géométrie!$I$96,$A39,Géométrie!$B$113)-[1]!InterpCn(Géométrie!$I$96,$A39,0))*PI()*Géométrie!$B$114^2/4</f>
        <v>#NAME?</v>
      </c>
      <c r="AK39" s="39" t="e">
        <f ca="1">'Tableaux aéro'!W107</f>
        <v>#NAME?</v>
      </c>
      <c r="AL39" s="220" t="e">
        <f t="shared" ca="1" si="4"/>
        <v>#NAME?</v>
      </c>
      <c r="AM39" s="253" t="e">
        <f ca="1">(([1]!InterpCm(Géométrie!$I$96,$A39,Géométrie!$B$113)-[1]!InterpCm(Géométrie!$I$96,$A39,0))*PI()*Géométrie!$B$114^2/4/$B$1*$AM$2/$B$2)+AJ39*(-Géométrie!$B$114/2/TAN(Géométrie!$I$96*PI()/180)+Géométrie!$B$2+Géométrie!$B$16+Géométrie!$B$84+Géométrie!$B$110-Géométrie!$B$111)/$B$2</f>
        <v>#NAME?</v>
      </c>
      <c r="AN39" s="150"/>
      <c r="AO39" s="220" t="e">
        <f ca="1">[1]!interpol(A39,'[2]CA basé sur Ariane 3'!$A$6:$A$23,'[2]CA basé sur Ariane 3'!$B$6:$B$23)</f>
        <v>#NAME?</v>
      </c>
      <c r="AP39" s="220">
        <f>0.6*(Géométrie!$B$104+Géométrie!$B$137)+Géométrie!$B$16+Géométrie!$B$13+Géométrie!$B$2+Géométrie!$B$84-Géométrie!$B$104</f>
        <v>24.847187000000002</v>
      </c>
      <c r="AQ39" s="219"/>
      <c r="AR39" s="150"/>
      <c r="AS39" s="39" t="e">
        <f ca="1">'Tableaux aéro'!Y107</f>
        <v>#NAME?</v>
      </c>
      <c r="AT39" s="220" t="e">
        <f t="shared" ca="1" si="5"/>
        <v>#NAME?</v>
      </c>
      <c r="AU39" s="219"/>
      <c r="AV39" s="221" t="e">
        <f ca="1">-'Tableaux aéro'!B145*('Tableaux aéro'!$E$112-'Tableaux aéro'!$E$113)/Aerodynamique!$B$1</f>
        <v>#NAME?</v>
      </c>
      <c r="AW39" s="221" t="e">
        <f ca="1">'Tableaux aéro'!S107</f>
        <v>#NAME?</v>
      </c>
      <c r="AX39" s="73"/>
      <c r="AY39" t="e">
        <f t="shared" ca="1" si="6"/>
        <v>#NAME?</v>
      </c>
      <c r="AZ39" t="e">
        <f ca="1">(AY39-AV39-'Tableaux aéro'!J37)/AW39</f>
        <v>#NAME?</v>
      </c>
      <c r="BA39" t="e">
        <f ca="1">'Tableaux aéro'!J37+'Tableaux aéro'!T107*AZ39</f>
        <v>#NAME?</v>
      </c>
      <c r="BC39" t="e">
        <f t="shared" ca="1" si="7"/>
        <v>#NAME?</v>
      </c>
      <c r="BD39" t="e">
        <f ca="1">(BC39-'Tableaux aéro'!U37)/(([1]!InterpCn(Géométrie!$B$4,$A39,(Géométrie!$B$131-Géométrie!$B$121)/Géométrie!$B$3)-[1]!InterpCn(Géométrie!$B$4,$A39,0))*PI()*Géométrie!$B$3^2/4/$B$1)</f>
        <v>#NAME?</v>
      </c>
      <c r="BE39" t="e">
        <f ca="1">'Tableaux aéro'!U37+(([1]!InterpCn(Géométrie!$B$4,$A39,$BB$3/Géométrie!$B$3)-[1]!InterpCn(Géométrie!$B$4,$A39,0))*PI()*Géométrie!$B$3^2/4/$B$1)*BD39</f>
        <v>#NAME?</v>
      </c>
      <c r="BG39" t="e">
        <f t="shared" ca="1" si="8"/>
        <v>#NAME?</v>
      </c>
      <c r="BH39" t="e">
        <f ca="1">(BG39-'Tableaux aéro'!U37*'Tableaux aéro'!AE37/$B$2)/(([1]!InterpCm(Géométrie!$B$4,$A39,(Géométrie!$B$131-Géométrie!$B$121)/Géométrie!$B$3)-[1]!InterpCm(Géométrie!$B$4,$A39,0))*PI()*Géométrie!$B$3^2/4/$B$1)</f>
        <v>#NAME?</v>
      </c>
      <c r="BI39" t="e">
        <f ca="1">'Tableaux aéro'!U37*'Tableaux aéro'!AE37/$B$2+BH39*(([1]!InterpCm(Géométrie!$B$4,$A39,$BB$3/Géométrie!$B$3)-[1]!InterpCm(Géométrie!$B$4,$A39,0))*PI()*Géométrie!$B$3^2/4/$B$1)</f>
        <v>#NAME?</v>
      </c>
      <c r="BK39" t="e">
        <f t="shared" ca="1" si="9"/>
        <v>#NAME?</v>
      </c>
    </row>
    <row r="40" spans="1:63">
      <c r="A40" s="88">
        <v>4.9000000000000004</v>
      </c>
      <c r="B40" s="39" t="e">
        <f ca="1">('Tableaux aéro'!U38)*PI()*Géométrie!$B$3^2/4/$B$1</f>
        <v>#NAME?</v>
      </c>
      <c r="C40" s="39" t="e">
        <f ca="1">'Tableaux aéro'!M108*A40*Géométrie!$B$2</f>
        <v>#NAME?</v>
      </c>
      <c r="D40" s="39" t="e">
        <f ca="1">'Tableaux aéro'!J38*PI()*Géométrie!$B$3^2/4/$B$1</f>
        <v>#NAME?</v>
      </c>
      <c r="E40" s="39" t="e">
        <f ca="1">Géométrie!$F$13-('Tableaux aéro'!AE38)*Géométrie!$B$3</f>
        <v>#NAME?</v>
      </c>
      <c r="F40" s="90" t="e">
        <f ca="1">B40*E40/$B$2</f>
        <v>#NAME?</v>
      </c>
      <c r="G40" s="39" t="e">
        <f ca="1">([1]!InterpCn(Géométrie!$B$4,$A40,Géométrie!$B$18)-[1]!InterpCn(Géométrie!$B$4,$A40,0))*PI()*Géométrie!$B$3^2/4/$B$1</f>
        <v>#NAME?</v>
      </c>
      <c r="H40" s="207" t="e">
        <f ca="1">'Tableaux aéro'!S108</f>
        <v>#NAME?</v>
      </c>
      <c r="I40" s="39" t="e">
        <f t="shared" ca="1" si="1"/>
        <v>#NAME?</v>
      </c>
      <c r="J40" s="39" t="e">
        <f ca="1">([1]!InterpCm(Géométrie!$B$4,$A40,Géométrie!$B$18)-[1]!InterpCm(Géométrie!$B$4,$A40,0))*PI()*Géométrie!$B$3^2/4/$B$1*$J$2/$B$2+G40*(Géométrie!$F$13-Géométrie!$B$3/(2*TAN(Géométrie!$B$4*PI()/180)))*1/$B$2</f>
        <v>#NAME?</v>
      </c>
      <c r="K40" s="222" t="e">
        <f ca="1">'Tableaux aéro'!L38*PI()/180*PI()*Géométrie!$B$3^2/4/$B$1</f>
        <v>#NAME?</v>
      </c>
      <c r="L40" s="222">
        <f>'Tableaux aéro'!B38*PI()*Géométrie!$B$3^2/4/$B$1</f>
        <v>0.16069491718749995</v>
      </c>
      <c r="M40" s="222" t="e">
        <f ca="1">'Tableaux aéro'!W38*Géométrie!$B$3</f>
        <v>#NAME?</v>
      </c>
      <c r="N40" s="222" t="e">
        <f ca="1">K40*(M40-Géométrie!$F$12)/$B$2</f>
        <v>#NAME?</v>
      </c>
      <c r="O40" s="223" t="e">
        <f ca="1">[1]!InterpCn(10,$A40,Géométrie!$F$13/Géométrie!$B$3)*Géométrie!$B$3^2*PI()/4/Aerodynamique!$B$1</f>
        <v>#NAME?</v>
      </c>
      <c r="P40" s="222" t="e">
        <f ca="1">'Tableaux aéro'!M108*A40*Géométrie!$F$13</f>
        <v>#NAME?</v>
      </c>
      <c r="Q40" s="222" t="e">
        <f ca="1">0.445/POWER(LOG(P40),2.58)/POWER(1+0.15*A40^2,0.58)*Géométrie!$B$10/$B$1</f>
        <v>#NAME?</v>
      </c>
      <c r="R40" s="222"/>
      <c r="S40" s="222" t="e">
        <f ca="1">[1]!InterpCm(10,$A40,Géométrie!$F$13/Géométrie!$B$3)*Géométrie!$B$3^2*PI()/4/$B$1</f>
        <v>#NAME?</v>
      </c>
      <c r="T40" s="224"/>
      <c r="U40" s="225"/>
      <c r="V40" s="90"/>
      <c r="W40" s="226"/>
      <c r="X40" s="225"/>
      <c r="Y40" s="220" t="e">
        <f ca="1">[1]!interpol(A40,'[2]CA basé sur Ariane 3'!$A$6:$A$23,'[2]CA basé sur Ariane 3'!$B$6:$B$23)*PI()*Géométrie!$B$3^2/4/$B$1</f>
        <v>#NAME?</v>
      </c>
      <c r="Z40" s="213">
        <f>0.6*Géométrie!$B$81+Géométrie!$B$16+Géométrie!$B$2</f>
        <v>10.140938348728373</v>
      </c>
      <c r="AA40" s="226"/>
      <c r="AB40" s="224"/>
      <c r="AC40" s="90" t="e">
        <f ca="1">'Tableaux aéro'!R108</f>
        <v>#NAME?</v>
      </c>
      <c r="AD40" s="227" t="e">
        <f t="shared" ca="1" si="2"/>
        <v>#NAME?</v>
      </c>
      <c r="AE40" s="225"/>
      <c r="AF40" s="250" t="e">
        <f ca="1">[1]!interpol(A40,[4]jupA_data!$A$2:$A$10,[4]jupA_data!$B$2:$B$10)*PI()*(Géométrie!$B$114^2-Géométrie!$B$85^2)/$B$1*COS(Géométrie!$I$96*PI()/180)^2/100</f>
        <v>#NAME?</v>
      </c>
      <c r="AG40" s="83" t="e">
        <f ca="1">[3]!interpol(A40,'[2]CA basé sur Ariane 3'!$A$6:$A$23,'[2]CA basé sur Ariane 3'!$B$6:$B$23)*PI()*Géométrie!$B$73^2/4/$B$1</f>
        <v>#NAME?</v>
      </c>
      <c r="AH40" s="227">
        <f>0.4*(Géométrie!$B$110-Géométrie!$B$111)+Géométrie!$B$84+Géométrie!$B$16+Géométrie!$B$3</f>
        <v>20.498665767514421</v>
      </c>
      <c r="AI40" s="227" t="e">
        <f t="shared" ca="1" si="3"/>
        <v>#NAME?</v>
      </c>
      <c r="AJ40" s="250" t="e">
        <f ca="1">([1]!InterpCn(Géométrie!$I$96,$A40,Géométrie!$B$113)-[1]!InterpCn(Géométrie!$I$96,$A40,0))*PI()*Géométrie!$B$114^2/4</f>
        <v>#NAME?</v>
      </c>
      <c r="AK40" s="90" t="e">
        <f ca="1">'Tableaux aéro'!W108</f>
        <v>#NAME?</v>
      </c>
      <c r="AL40" s="227" t="e">
        <f t="shared" ca="1" si="4"/>
        <v>#NAME?</v>
      </c>
      <c r="AM40" s="254" t="e">
        <f ca="1">(([1]!InterpCm(Géométrie!$I$96,$A40,Géométrie!$B$113)-[1]!InterpCm(Géométrie!$I$96,$A40,0))*PI()*Géométrie!$B$114^2/4/$B$1*$AM$2/$B$2)+AJ40*(-Géométrie!$B$114/2/TAN(Géométrie!$I$96*PI()/180)+Géométrie!$B$2+Géométrie!$B$16+Géométrie!$B$84+Géométrie!$B$110-Géométrie!$B$111)/$B$2</f>
        <v>#NAME?</v>
      </c>
      <c r="AN40" s="225"/>
      <c r="AO40" s="227" t="e">
        <f ca="1">[1]!interpol(A40,'[2]CA basé sur Ariane 3'!$A$6:$A$23,'[2]CA basé sur Ariane 3'!$B$6:$B$23)</f>
        <v>#NAME?</v>
      </c>
      <c r="AP40" s="227">
        <f>0.6*(Géométrie!$B$104+Géométrie!$B$137)+Géométrie!$B$16+Géométrie!$B$13+Géométrie!$B$2+Géométrie!$B$84-Géométrie!$B$104</f>
        <v>24.847187000000002</v>
      </c>
      <c r="AQ40" s="226"/>
      <c r="AR40" s="225"/>
      <c r="AS40" s="90" t="e">
        <f ca="1">'Tableaux aéro'!Y108</f>
        <v>#NAME?</v>
      </c>
      <c r="AT40" s="227" t="e">
        <f t="shared" ca="1" si="5"/>
        <v>#NAME?</v>
      </c>
      <c r="AU40" s="226"/>
      <c r="AV40" s="112" t="e">
        <f ca="1">-'Tableaux aéro'!B146*('Tableaux aéro'!$E$112-'Tableaux aéro'!$E$113)/Aerodynamique!$B$1</f>
        <v>#NAME?</v>
      </c>
      <c r="AW40" s="112" t="e">
        <f ca="1">'Tableaux aéro'!S108</f>
        <v>#NAME?</v>
      </c>
      <c r="AX40" s="73"/>
      <c r="AY40" t="e">
        <f t="shared" ca="1" si="6"/>
        <v>#NAME?</v>
      </c>
      <c r="AZ40" t="e">
        <f ca="1">(AY40-AV40-'Tableaux aéro'!J38)/AW40</f>
        <v>#NAME?</v>
      </c>
      <c r="BA40" t="e">
        <f ca="1">'Tableaux aéro'!J38+'Tableaux aéro'!T108*AZ40</f>
        <v>#NAME?</v>
      </c>
      <c r="BC40" t="e">
        <f t="shared" ca="1" si="7"/>
        <v>#NAME?</v>
      </c>
      <c r="BD40" t="e">
        <f ca="1">(BC40-'Tableaux aéro'!U38)/(([1]!InterpCn(Géométrie!$B$4,$A40,(Géométrie!$B$131-Géométrie!$B$121)/Géométrie!$B$3)-[1]!InterpCn(Géométrie!$B$4,$A40,0))*PI()*Géométrie!$B$3^2/4/$B$1)</f>
        <v>#NAME?</v>
      </c>
      <c r="BE40" t="e">
        <f ca="1">'Tableaux aéro'!U38+(([1]!InterpCn(Géométrie!$B$4,$A40,$BB$3/Géométrie!$B$3)-[1]!InterpCn(Géométrie!$B$4,$A40,0))*PI()*Géométrie!$B$3^2/4/$B$1)*BD40</f>
        <v>#NAME?</v>
      </c>
      <c r="BG40" t="e">
        <f t="shared" ca="1" si="8"/>
        <v>#NAME?</v>
      </c>
      <c r="BH40" t="e">
        <f ca="1">(BG40-'Tableaux aéro'!U38*'Tableaux aéro'!AE38/$B$2)/(([1]!InterpCm(Géométrie!$B$4,$A40,(Géométrie!$B$131-Géométrie!$B$121)/Géométrie!$B$3)-[1]!InterpCm(Géométrie!$B$4,$A40,0))*PI()*Géométrie!$B$3^2/4/$B$1)</f>
        <v>#NAME?</v>
      </c>
      <c r="BI40" t="e">
        <f ca="1">'Tableaux aéro'!U38*'Tableaux aéro'!AE38/$B$2+BH40*(([1]!InterpCm(Géométrie!$B$4,$A40,$BB$3/Géométrie!$B$3)-[1]!InterpCm(Géométrie!$B$4,$A40,0))*PI()*Géométrie!$B$3^2/4/$B$1)</f>
        <v>#NAME?</v>
      </c>
      <c r="BK40" t="e">
        <f t="shared" ca="1" si="9"/>
        <v>#NAME?</v>
      </c>
    </row>
    <row r="42" spans="1:63">
      <c r="A42" s="118"/>
      <c r="AJ42" s="333"/>
      <c r="AK42" s="333"/>
      <c r="AL42" s="333"/>
      <c r="AM42" s="333"/>
    </row>
    <row r="43" spans="1:63">
      <c r="A43" s="118"/>
    </row>
    <row r="44" spans="1:63">
      <c r="B44" s="228"/>
      <c r="D44" s="76" t="s">
        <v>665</v>
      </c>
    </row>
    <row r="49" spans="1:35">
      <c r="AD49" s="76" t="s">
        <v>706</v>
      </c>
      <c r="AE49" s="76"/>
      <c r="AF49" s="76">
        <f>BB3</f>
        <v>37.9</v>
      </c>
      <c r="AG49" s="76" t="s">
        <v>85</v>
      </c>
    </row>
    <row r="51" spans="1:35">
      <c r="AH51" t="s">
        <v>707</v>
      </c>
    </row>
    <row r="52" spans="1:35">
      <c r="B52" s="334" t="s">
        <v>651</v>
      </c>
      <c r="C52" s="331"/>
      <c r="D52" s="331"/>
      <c r="E52" s="331"/>
      <c r="F52" s="332"/>
      <c r="G52" s="179"/>
      <c r="H52" s="180" t="s">
        <v>702</v>
      </c>
      <c r="I52" s="180"/>
      <c r="J52" s="181"/>
      <c r="K52" s="334" t="s">
        <v>699</v>
      </c>
      <c r="L52" s="331"/>
      <c r="M52" s="331"/>
      <c r="N52" s="332"/>
      <c r="O52" s="334" t="s">
        <v>181</v>
      </c>
      <c r="P52" s="331"/>
      <c r="Q52" s="331"/>
      <c r="R52" s="332"/>
      <c r="S52" s="331" t="s">
        <v>190</v>
      </c>
      <c r="T52" s="331"/>
      <c r="U52" s="331"/>
      <c r="V52" s="332"/>
      <c r="W52" s="183" t="s">
        <v>656</v>
      </c>
      <c r="AD52" s="300" t="s">
        <v>207</v>
      </c>
      <c r="AF52" s="304" t="s">
        <v>703</v>
      </c>
      <c r="AH52" s="304" t="s">
        <v>265</v>
      </c>
    </row>
    <row r="53" spans="1:35">
      <c r="A53" s="185" t="s">
        <v>214</v>
      </c>
      <c r="B53" s="186" t="s">
        <v>266</v>
      </c>
      <c r="C53" s="187" t="s">
        <v>253</v>
      </c>
      <c r="D53" s="188" t="s">
        <v>207</v>
      </c>
      <c r="E53" s="188" t="s">
        <v>243</v>
      </c>
      <c r="F53" s="189" t="s">
        <v>265</v>
      </c>
      <c r="G53" s="186" t="s">
        <v>266</v>
      </c>
      <c r="H53" s="188" t="s">
        <v>207</v>
      </c>
      <c r="I53" s="188" t="s">
        <v>243</v>
      </c>
      <c r="J53" s="189" t="s">
        <v>265</v>
      </c>
      <c r="K53" s="186" t="s">
        <v>703</v>
      </c>
      <c r="L53" s="188" t="s">
        <v>207</v>
      </c>
      <c r="M53" s="188" t="s">
        <v>243</v>
      </c>
      <c r="N53" s="189" t="s">
        <v>704</v>
      </c>
      <c r="O53" s="199" t="s">
        <v>266</v>
      </c>
      <c r="P53" s="199" t="s">
        <v>207</v>
      </c>
      <c r="Q53" s="199" t="s">
        <v>243</v>
      </c>
      <c r="R53" s="199" t="s">
        <v>265</v>
      </c>
      <c r="S53" s="186" t="s">
        <v>266</v>
      </c>
      <c r="T53" s="188" t="s">
        <v>207</v>
      </c>
      <c r="U53" s="188" t="s">
        <v>243</v>
      </c>
      <c r="V53" s="189" t="s">
        <v>265</v>
      </c>
      <c r="W53" s="203" t="s">
        <v>207</v>
      </c>
      <c r="Y53" s="301" t="s">
        <v>658</v>
      </c>
      <c r="Z53" s="302" t="s">
        <v>660</v>
      </c>
      <c r="AA53" s="302" t="s">
        <v>663</v>
      </c>
      <c r="AB53" s="303" t="s">
        <v>705</v>
      </c>
      <c r="AD53" s="186" t="s">
        <v>430</v>
      </c>
      <c r="AE53" s="298" t="s">
        <v>659</v>
      </c>
      <c r="AF53" s="188" t="s">
        <v>661</v>
      </c>
      <c r="AG53" s="298" t="s">
        <v>662</v>
      </c>
      <c r="AH53" s="186" t="s">
        <v>661</v>
      </c>
      <c r="AI53" s="298" t="s">
        <v>664</v>
      </c>
    </row>
    <row r="54" spans="1:35">
      <c r="A54" s="85">
        <v>0.5</v>
      </c>
      <c r="B54" s="286" t="e">
        <f ca="1">B7</f>
        <v>#NAME?</v>
      </c>
      <c r="C54" s="287"/>
      <c r="D54" s="287" t="e">
        <f ca="1">D7</f>
        <v>#NAME?</v>
      </c>
      <c r="E54" s="287" t="e">
        <f ca="1">E7</f>
        <v>#NAME?</v>
      </c>
      <c r="F54" s="288" t="e">
        <f ca="1">F7</f>
        <v>#NAME?</v>
      </c>
      <c r="G54" s="286" t="e">
        <f ca="1">G7</f>
        <v>#NAME?</v>
      </c>
      <c r="H54" s="287" t="e">
        <f ca="1">H7+AC7</f>
        <v>#NAME?</v>
      </c>
      <c r="I54" s="287" t="e">
        <f ca="1">I7</f>
        <v>#NAME?</v>
      </c>
      <c r="J54" s="288" t="e">
        <f ca="1">J7</f>
        <v>#NAME?</v>
      </c>
      <c r="K54" s="283"/>
      <c r="L54" s="287" t="e">
        <f ca="1">AC7</f>
        <v>#NAME?</v>
      </c>
      <c r="M54" s="275"/>
      <c r="N54" s="276"/>
      <c r="O54" s="274"/>
      <c r="P54" s="287" t="e">
        <f ca="1">AK7</f>
        <v>#NAME?</v>
      </c>
      <c r="Q54" s="275"/>
      <c r="R54" s="276"/>
      <c r="S54" s="274"/>
      <c r="T54" s="287" t="e">
        <f ca="1">AS7</f>
        <v>#NAME?</v>
      </c>
      <c r="U54" s="275"/>
      <c r="V54" s="276"/>
      <c r="W54" s="296" t="e">
        <f ca="1">AV7</f>
        <v>#NAME?</v>
      </c>
      <c r="Y54" s="299" t="e">
        <f t="shared" ref="Y54:Y87" ca="1" si="10">AY7</f>
        <v>#NAME?</v>
      </c>
      <c r="Z54" s="286" t="e">
        <f t="shared" ref="Z54:Z87" ca="1" si="11">BC7</f>
        <v>#NAME?</v>
      </c>
      <c r="AA54" s="299" t="e">
        <f t="shared" ref="AA54:AA87" ca="1" si="12">BG7</f>
        <v>#NAME?</v>
      </c>
      <c r="AB54" s="299" t="e">
        <f ca="1">E54+I54</f>
        <v>#NAME?</v>
      </c>
      <c r="AD54" s="289" t="e">
        <f t="shared" ref="AD54:AD87" ca="1" si="13">AZ7</f>
        <v>#NAME?</v>
      </c>
      <c r="AE54" s="291" t="e">
        <f t="shared" ref="AE54:AE87" ca="1" si="14">BA7</f>
        <v>#NAME?</v>
      </c>
      <c r="AF54" s="290" t="e">
        <f t="shared" ref="AF54:AF87" ca="1" si="15">BD7</f>
        <v>#NAME?</v>
      </c>
      <c r="AG54" s="291" t="e">
        <f t="shared" ref="AG54:AG87" ca="1" si="16">BE7</f>
        <v>#NAME?</v>
      </c>
      <c r="AH54" s="305" t="e">
        <f t="shared" ref="AH54:AH87" ca="1" si="17">BH7</f>
        <v>#NAME?</v>
      </c>
      <c r="AI54" s="306" t="e">
        <f t="shared" ref="AI54:AI87" ca="1" si="18">BI7</f>
        <v>#NAME?</v>
      </c>
    </row>
    <row r="55" spans="1:35">
      <c r="A55" s="85">
        <v>0.6</v>
      </c>
      <c r="B55" s="289" t="e">
        <f t="shared" ref="B55:B87" ca="1" si="19">B8</f>
        <v>#NAME?</v>
      </c>
      <c r="C55" s="290"/>
      <c r="D55" s="290" t="e">
        <f t="shared" ref="D55:G87" ca="1" si="20">D8</f>
        <v>#NAME?</v>
      </c>
      <c r="E55" s="290" t="e">
        <f t="shared" ca="1" si="20"/>
        <v>#NAME?</v>
      </c>
      <c r="F55" s="291" t="e">
        <f t="shared" ca="1" si="20"/>
        <v>#NAME?</v>
      </c>
      <c r="G55" s="289" t="e">
        <f t="shared" ca="1" si="20"/>
        <v>#NAME?</v>
      </c>
      <c r="H55" s="290" t="e">
        <f t="shared" ref="H55:H87" ca="1" si="21">H8+AC8</f>
        <v>#NAME?</v>
      </c>
      <c r="I55" s="290" t="e">
        <f t="shared" ref="I55:J87" ca="1" si="22">I8</f>
        <v>#NAME?</v>
      </c>
      <c r="J55" s="291" t="e">
        <f t="shared" ca="1" si="22"/>
        <v>#NAME?</v>
      </c>
      <c r="K55" s="284"/>
      <c r="L55" s="290" t="e">
        <f t="shared" ref="L55:L87" ca="1" si="23">AC8</f>
        <v>#NAME?</v>
      </c>
      <c r="M55" s="278"/>
      <c r="N55" s="279"/>
      <c r="O55" s="277"/>
      <c r="P55" s="290" t="e">
        <f t="shared" ref="P55:P87" ca="1" si="24">AK8</f>
        <v>#NAME?</v>
      </c>
      <c r="Q55" s="278"/>
      <c r="R55" s="279"/>
      <c r="S55" s="277"/>
      <c r="T55" s="290" t="e">
        <f t="shared" ref="T55:T87" ca="1" si="25">AS8</f>
        <v>#NAME?</v>
      </c>
      <c r="U55" s="278"/>
      <c r="V55" s="279"/>
      <c r="W55" s="296" t="e">
        <f t="shared" ref="W55:W87" ca="1" si="26">AV8</f>
        <v>#NAME?</v>
      </c>
      <c r="Y55" s="296" t="e">
        <f t="shared" ca="1" si="10"/>
        <v>#NAME?</v>
      </c>
      <c r="Z55" s="289" t="e">
        <f t="shared" ca="1" si="11"/>
        <v>#NAME?</v>
      </c>
      <c r="AA55" s="296" t="e">
        <f t="shared" ca="1" si="12"/>
        <v>#NAME?</v>
      </c>
      <c r="AB55" s="296" t="e">
        <f t="shared" ref="AB55:AB87" ca="1" si="27">E55+I55</f>
        <v>#NAME?</v>
      </c>
      <c r="AD55" s="289" t="e">
        <f t="shared" ca="1" si="13"/>
        <v>#NAME?</v>
      </c>
      <c r="AE55" s="291" t="e">
        <f t="shared" ca="1" si="14"/>
        <v>#NAME?</v>
      </c>
      <c r="AF55" s="290" t="e">
        <f t="shared" ca="1" si="15"/>
        <v>#NAME?</v>
      </c>
      <c r="AG55" s="291" t="e">
        <f t="shared" ca="1" si="16"/>
        <v>#NAME?</v>
      </c>
      <c r="AH55" s="305" t="e">
        <f t="shared" ca="1" si="17"/>
        <v>#NAME?</v>
      </c>
      <c r="AI55" s="306" t="e">
        <f t="shared" ca="1" si="18"/>
        <v>#NAME?</v>
      </c>
    </row>
    <row r="56" spans="1:35">
      <c r="A56" s="85">
        <v>0.7</v>
      </c>
      <c r="B56" s="289" t="e">
        <f t="shared" ca="1" si="19"/>
        <v>#NAME?</v>
      </c>
      <c r="C56" s="290"/>
      <c r="D56" s="290" t="e">
        <f t="shared" ca="1" si="20"/>
        <v>#NAME?</v>
      </c>
      <c r="E56" s="290" t="e">
        <f t="shared" ca="1" si="20"/>
        <v>#NAME?</v>
      </c>
      <c r="F56" s="291" t="e">
        <f t="shared" ca="1" si="20"/>
        <v>#NAME?</v>
      </c>
      <c r="G56" s="289" t="e">
        <f t="shared" ca="1" si="20"/>
        <v>#NAME?</v>
      </c>
      <c r="H56" s="290" t="e">
        <f t="shared" ca="1" si="21"/>
        <v>#NAME?</v>
      </c>
      <c r="I56" s="290" t="e">
        <f t="shared" ca="1" si="22"/>
        <v>#NAME?</v>
      </c>
      <c r="J56" s="291" t="e">
        <f t="shared" ca="1" si="22"/>
        <v>#NAME?</v>
      </c>
      <c r="K56" s="284"/>
      <c r="L56" s="290" t="e">
        <f t="shared" ca="1" si="23"/>
        <v>#NAME?</v>
      </c>
      <c r="M56" s="278"/>
      <c r="N56" s="279"/>
      <c r="O56" s="277"/>
      <c r="P56" s="290" t="e">
        <f t="shared" ca="1" si="24"/>
        <v>#NAME?</v>
      </c>
      <c r="Q56" s="278"/>
      <c r="R56" s="279"/>
      <c r="S56" s="277"/>
      <c r="T56" s="290" t="e">
        <f t="shared" ca="1" si="25"/>
        <v>#NAME?</v>
      </c>
      <c r="U56" s="278"/>
      <c r="V56" s="279"/>
      <c r="W56" s="296" t="e">
        <f t="shared" ca="1" si="26"/>
        <v>#NAME?</v>
      </c>
      <c r="Y56" s="296" t="e">
        <f t="shared" ca="1" si="10"/>
        <v>#NAME?</v>
      </c>
      <c r="Z56" s="289" t="e">
        <f t="shared" ca="1" si="11"/>
        <v>#NAME?</v>
      </c>
      <c r="AA56" s="296" t="e">
        <f t="shared" ca="1" si="12"/>
        <v>#NAME?</v>
      </c>
      <c r="AB56" s="296" t="e">
        <f t="shared" ca="1" si="27"/>
        <v>#NAME?</v>
      </c>
      <c r="AD56" s="289" t="e">
        <f t="shared" ca="1" si="13"/>
        <v>#NAME?</v>
      </c>
      <c r="AE56" s="291" t="e">
        <f t="shared" ca="1" si="14"/>
        <v>#NAME?</v>
      </c>
      <c r="AF56" s="290" t="e">
        <f t="shared" ca="1" si="15"/>
        <v>#NAME?</v>
      </c>
      <c r="AG56" s="291" t="e">
        <f t="shared" ca="1" si="16"/>
        <v>#NAME?</v>
      </c>
      <c r="AH56" s="305" t="e">
        <f t="shared" ca="1" si="17"/>
        <v>#NAME?</v>
      </c>
      <c r="AI56" s="306" t="e">
        <f t="shared" ca="1" si="18"/>
        <v>#NAME?</v>
      </c>
    </row>
    <row r="57" spans="1:35">
      <c r="A57" s="85">
        <v>0.8</v>
      </c>
      <c r="B57" s="289" t="e">
        <f t="shared" ca="1" si="19"/>
        <v>#NAME?</v>
      </c>
      <c r="C57" s="290"/>
      <c r="D57" s="290" t="e">
        <f t="shared" ca="1" si="20"/>
        <v>#NAME?</v>
      </c>
      <c r="E57" s="290" t="e">
        <f t="shared" ca="1" si="20"/>
        <v>#NAME?</v>
      </c>
      <c r="F57" s="291" t="e">
        <f t="shared" ca="1" si="20"/>
        <v>#NAME?</v>
      </c>
      <c r="G57" s="289" t="e">
        <f t="shared" ca="1" si="20"/>
        <v>#NAME?</v>
      </c>
      <c r="H57" s="290" t="e">
        <f t="shared" ca="1" si="21"/>
        <v>#NAME?</v>
      </c>
      <c r="I57" s="290" t="e">
        <f t="shared" ca="1" si="22"/>
        <v>#NAME?</v>
      </c>
      <c r="J57" s="291" t="e">
        <f t="shared" ca="1" si="22"/>
        <v>#NAME?</v>
      </c>
      <c r="K57" s="284"/>
      <c r="L57" s="290" t="e">
        <f t="shared" ca="1" si="23"/>
        <v>#NAME?</v>
      </c>
      <c r="M57" s="278"/>
      <c r="N57" s="279"/>
      <c r="O57" s="277"/>
      <c r="P57" s="290" t="e">
        <f t="shared" ca="1" si="24"/>
        <v>#NAME?</v>
      </c>
      <c r="Q57" s="278"/>
      <c r="R57" s="279"/>
      <c r="S57" s="277"/>
      <c r="T57" s="290" t="e">
        <f t="shared" ca="1" si="25"/>
        <v>#NAME?</v>
      </c>
      <c r="U57" s="278"/>
      <c r="V57" s="279"/>
      <c r="W57" s="296" t="e">
        <f t="shared" ca="1" si="26"/>
        <v>#NAME?</v>
      </c>
      <c r="Y57" s="296" t="e">
        <f t="shared" ca="1" si="10"/>
        <v>#NAME?</v>
      </c>
      <c r="Z57" s="289" t="e">
        <f t="shared" ca="1" si="11"/>
        <v>#NAME?</v>
      </c>
      <c r="AA57" s="296" t="e">
        <f t="shared" ca="1" si="12"/>
        <v>#NAME?</v>
      </c>
      <c r="AB57" s="296" t="e">
        <f t="shared" ca="1" si="27"/>
        <v>#NAME?</v>
      </c>
      <c r="AD57" s="289" t="e">
        <f t="shared" ca="1" si="13"/>
        <v>#NAME?</v>
      </c>
      <c r="AE57" s="291" t="e">
        <f t="shared" ca="1" si="14"/>
        <v>#NAME?</v>
      </c>
      <c r="AF57" s="290" t="e">
        <f t="shared" ca="1" si="15"/>
        <v>#NAME?</v>
      </c>
      <c r="AG57" s="291" t="e">
        <f t="shared" ca="1" si="16"/>
        <v>#NAME?</v>
      </c>
      <c r="AH57" s="305" t="e">
        <f t="shared" ca="1" si="17"/>
        <v>#NAME?</v>
      </c>
      <c r="AI57" s="306" t="e">
        <f t="shared" ca="1" si="18"/>
        <v>#NAME?</v>
      </c>
    </row>
    <row r="58" spans="1:35">
      <c r="A58" s="85">
        <v>0.9</v>
      </c>
      <c r="B58" s="289" t="e">
        <f t="shared" ca="1" si="19"/>
        <v>#NAME?</v>
      </c>
      <c r="C58" s="290"/>
      <c r="D58" s="290" t="e">
        <f t="shared" ca="1" si="20"/>
        <v>#NAME?</v>
      </c>
      <c r="E58" s="290" t="e">
        <f t="shared" ca="1" si="20"/>
        <v>#NAME?</v>
      </c>
      <c r="F58" s="291" t="e">
        <f t="shared" ca="1" si="20"/>
        <v>#NAME?</v>
      </c>
      <c r="G58" s="289" t="e">
        <f t="shared" ca="1" si="20"/>
        <v>#NAME?</v>
      </c>
      <c r="H58" s="290" t="e">
        <f t="shared" ca="1" si="21"/>
        <v>#NAME?</v>
      </c>
      <c r="I58" s="290" t="e">
        <f t="shared" ca="1" si="22"/>
        <v>#NAME?</v>
      </c>
      <c r="J58" s="291" t="e">
        <f t="shared" ca="1" si="22"/>
        <v>#NAME?</v>
      </c>
      <c r="K58" s="284"/>
      <c r="L58" s="290" t="e">
        <f t="shared" ca="1" si="23"/>
        <v>#NAME?</v>
      </c>
      <c r="M58" s="278"/>
      <c r="N58" s="279"/>
      <c r="O58" s="277"/>
      <c r="P58" s="290" t="e">
        <f t="shared" ca="1" si="24"/>
        <v>#NAME?</v>
      </c>
      <c r="Q58" s="278"/>
      <c r="R58" s="279"/>
      <c r="S58" s="277"/>
      <c r="T58" s="290" t="e">
        <f t="shared" ca="1" si="25"/>
        <v>#NAME?</v>
      </c>
      <c r="U58" s="278"/>
      <c r="V58" s="279"/>
      <c r="W58" s="296" t="e">
        <f t="shared" ca="1" si="26"/>
        <v>#NAME?</v>
      </c>
      <c r="Y58" s="296" t="e">
        <f t="shared" ca="1" si="10"/>
        <v>#NAME?</v>
      </c>
      <c r="Z58" s="289" t="e">
        <f t="shared" ca="1" si="11"/>
        <v>#NAME?</v>
      </c>
      <c r="AA58" s="296" t="e">
        <f t="shared" ca="1" si="12"/>
        <v>#NAME?</v>
      </c>
      <c r="AB58" s="296" t="e">
        <f t="shared" ca="1" si="27"/>
        <v>#NAME?</v>
      </c>
      <c r="AD58" s="289" t="e">
        <f t="shared" ca="1" si="13"/>
        <v>#NAME?</v>
      </c>
      <c r="AE58" s="291" t="e">
        <f t="shared" ca="1" si="14"/>
        <v>#NAME?</v>
      </c>
      <c r="AF58" s="290" t="e">
        <f t="shared" ca="1" si="15"/>
        <v>#NAME?</v>
      </c>
      <c r="AG58" s="291" t="e">
        <f t="shared" ca="1" si="16"/>
        <v>#NAME?</v>
      </c>
      <c r="AH58" s="305" t="e">
        <f t="shared" ca="1" si="17"/>
        <v>#NAME?</v>
      </c>
      <c r="AI58" s="306" t="e">
        <f t="shared" ca="1" si="18"/>
        <v>#NAME?</v>
      </c>
    </row>
    <row r="59" spans="1:35">
      <c r="A59" s="85">
        <v>0.92</v>
      </c>
      <c r="B59" s="289" t="e">
        <f t="shared" ca="1" si="19"/>
        <v>#NAME?</v>
      </c>
      <c r="C59" s="290"/>
      <c r="D59" s="290" t="e">
        <f t="shared" ca="1" si="20"/>
        <v>#NAME?</v>
      </c>
      <c r="E59" s="290" t="e">
        <f t="shared" ca="1" si="20"/>
        <v>#NAME?</v>
      </c>
      <c r="F59" s="291" t="e">
        <f t="shared" ca="1" si="20"/>
        <v>#NAME?</v>
      </c>
      <c r="G59" s="289" t="e">
        <f t="shared" ca="1" si="20"/>
        <v>#NAME?</v>
      </c>
      <c r="H59" s="290" t="e">
        <f t="shared" ca="1" si="21"/>
        <v>#NAME?</v>
      </c>
      <c r="I59" s="290" t="e">
        <f t="shared" ca="1" si="22"/>
        <v>#NAME?</v>
      </c>
      <c r="J59" s="291" t="e">
        <f t="shared" ca="1" si="22"/>
        <v>#NAME?</v>
      </c>
      <c r="K59" s="284"/>
      <c r="L59" s="290" t="e">
        <f t="shared" ca="1" si="23"/>
        <v>#NAME?</v>
      </c>
      <c r="M59" s="278"/>
      <c r="N59" s="279"/>
      <c r="O59" s="277"/>
      <c r="P59" s="290" t="e">
        <f t="shared" ca="1" si="24"/>
        <v>#NAME?</v>
      </c>
      <c r="Q59" s="278"/>
      <c r="R59" s="279"/>
      <c r="S59" s="277"/>
      <c r="T59" s="290" t="e">
        <f t="shared" ca="1" si="25"/>
        <v>#NAME?</v>
      </c>
      <c r="U59" s="278"/>
      <c r="V59" s="279"/>
      <c r="W59" s="296" t="e">
        <f t="shared" ca="1" si="26"/>
        <v>#NAME?</v>
      </c>
      <c r="Y59" s="296" t="e">
        <f t="shared" ca="1" si="10"/>
        <v>#NAME?</v>
      </c>
      <c r="Z59" s="289" t="e">
        <f t="shared" ca="1" si="11"/>
        <v>#NAME?</v>
      </c>
      <c r="AA59" s="296" t="e">
        <f t="shared" ca="1" si="12"/>
        <v>#NAME?</v>
      </c>
      <c r="AB59" s="296" t="e">
        <f t="shared" ca="1" si="27"/>
        <v>#NAME?</v>
      </c>
      <c r="AD59" s="289" t="e">
        <f t="shared" ca="1" si="13"/>
        <v>#NAME?</v>
      </c>
      <c r="AE59" s="291" t="e">
        <f t="shared" ca="1" si="14"/>
        <v>#NAME?</v>
      </c>
      <c r="AF59" s="290" t="e">
        <f t="shared" ca="1" si="15"/>
        <v>#NAME?</v>
      </c>
      <c r="AG59" s="291" t="e">
        <f t="shared" ca="1" si="16"/>
        <v>#NAME?</v>
      </c>
      <c r="AH59" s="305" t="e">
        <f t="shared" ca="1" si="17"/>
        <v>#NAME?</v>
      </c>
      <c r="AI59" s="306" t="e">
        <f t="shared" ca="1" si="18"/>
        <v>#NAME?</v>
      </c>
    </row>
    <row r="60" spans="1:35">
      <c r="A60" s="85">
        <v>0.94</v>
      </c>
      <c r="B60" s="289" t="e">
        <f t="shared" ca="1" si="19"/>
        <v>#NAME?</v>
      </c>
      <c r="C60" s="290"/>
      <c r="D60" s="290" t="e">
        <f t="shared" ca="1" si="20"/>
        <v>#NAME?</v>
      </c>
      <c r="E60" s="290" t="e">
        <f t="shared" ca="1" si="20"/>
        <v>#NAME?</v>
      </c>
      <c r="F60" s="291" t="e">
        <f t="shared" ca="1" si="20"/>
        <v>#NAME?</v>
      </c>
      <c r="G60" s="289" t="e">
        <f t="shared" ca="1" si="20"/>
        <v>#NAME?</v>
      </c>
      <c r="H60" s="290" t="e">
        <f t="shared" ca="1" si="21"/>
        <v>#NAME?</v>
      </c>
      <c r="I60" s="290" t="e">
        <f t="shared" ca="1" si="22"/>
        <v>#NAME?</v>
      </c>
      <c r="J60" s="291" t="e">
        <f t="shared" ca="1" si="22"/>
        <v>#NAME?</v>
      </c>
      <c r="K60" s="284"/>
      <c r="L60" s="290" t="e">
        <f t="shared" ca="1" si="23"/>
        <v>#NAME?</v>
      </c>
      <c r="M60" s="278"/>
      <c r="N60" s="279"/>
      <c r="O60" s="277"/>
      <c r="P60" s="290" t="e">
        <f t="shared" ca="1" si="24"/>
        <v>#NAME?</v>
      </c>
      <c r="Q60" s="278"/>
      <c r="R60" s="279"/>
      <c r="S60" s="277"/>
      <c r="T60" s="290" t="e">
        <f t="shared" ca="1" si="25"/>
        <v>#NAME?</v>
      </c>
      <c r="U60" s="278"/>
      <c r="V60" s="279"/>
      <c r="W60" s="296" t="e">
        <f t="shared" ca="1" si="26"/>
        <v>#NAME?</v>
      </c>
      <c r="Y60" s="296" t="e">
        <f t="shared" ca="1" si="10"/>
        <v>#NAME?</v>
      </c>
      <c r="Z60" s="289" t="e">
        <f t="shared" ca="1" si="11"/>
        <v>#NAME?</v>
      </c>
      <c r="AA60" s="296" t="e">
        <f t="shared" ca="1" si="12"/>
        <v>#NAME?</v>
      </c>
      <c r="AB60" s="296" t="e">
        <f t="shared" ca="1" si="27"/>
        <v>#NAME?</v>
      </c>
      <c r="AD60" s="289" t="e">
        <f t="shared" ca="1" si="13"/>
        <v>#NAME?</v>
      </c>
      <c r="AE60" s="291" t="e">
        <f t="shared" ca="1" si="14"/>
        <v>#NAME?</v>
      </c>
      <c r="AF60" s="290" t="e">
        <f t="shared" ca="1" si="15"/>
        <v>#NAME?</v>
      </c>
      <c r="AG60" s="291" t="e">
        <f t="shared" ca="1" si="16"/>
        <v>#NAME?</v>
      </c>
      <c r="AH60" s="305" t="e">
        <f t="shared" ca="1" si="17"/>
        <v>#NAME?</v>
      </c>
      <c r="AI60" s="306" t="e">
        <f t="shared" ca="1" si="18"/>
        <v>#NAME?</v>
      </c>
    </row>
    <row r="61" spans="1:35">
      <c r="A61" s="85">
        <v>0.96</v>
      </c>
      <c r="B61" s="289" t="e">
        <f t="shared" ca="1" si="19"/>
        <v>#NAME?</v>
      </c>
      <c r="C61" s="290"/>
      <c r="D61" s="290" t="e">
        <f t="shared" ca="1" si="20"/>
        <v>#NAME?</v>
      </c>
      <c r="E61" s="290" t="e">
        <f t="shared" ca="1" si="20"/>
        <v>#NAME?</v>
      </c>
      <c r="F61" s="291" t="e">
        <f t="shared" ca="1" si="20"/>
        <v>#NAME?</v>
      </c>
      <c r="G61" s="289" t="e">
        <f t="shared" ca="1" si="20"/>
        <v>#NAME?</v>
      </c>
      <c r="H61" s="290" t="e">
        <f t="shared" ca="1" si="21"/>
        <v>#NAME?</v>
      </c>
      <c r="I61" s="290" t="e">
        <f t="shared" ca="1" si="22"/>
        <v>#NAME?</v>
      </c>
      <c r="J61" s="291" t="e">
        <f t="shared" ca="1" si="22"/>
        <v>#NAME?</v>
      </c>
      <c r="K61" s="284"/>
      <c r="L61" s="290" t="e">
        <f t="shared" ca="1" si="23"/>
        <v>#NAME?</v>
      </c>
      <c r="M61" s="278"/>
      <c r="N61" s="279"/>
      <c r="O61" s="277"/>
      <c r="P61" s="290" t="e">
        <f t="shared" ca="1" si="24"/>
        <v>#NAME?</v>
      </c>
      <c r="Q61" s="278"/>
      <c r="R61" s="279"/>
      <c r="S61" s="277"/>
      <c r="T61" s="290" t="e">
        <f t="shared" ca="1" si="25"/>
        <v>#NAME?</v>
      </c>
      <c r="U61" s="278"/>
      <c r="V61" s="279"/>
      <c r="W61" s="296" t="e">
        <f t="shared" ca="1" si="26"/>
        <v>#NAME?</v>
      </c>
      <c r="Y61" s="296" t="e">
        <f t="shared" ca="1" si="10"/>
        <v>#NAME?</v>
      </c>
      <c r="Z61" s="289" t="e">
        <f t="shared" ca="1" si="11"/>
        <v>#NAME?</v>
      </c>
      <c r="AA61" s="296" t="e">
        <f t="shared" ca="1" si="12"/>
        <v>#NAME?</v>
      </c>
      <c r="AB61" s="296" t="e">
        <f t="shared" ca="1" si="27"/>
        <v>#NAME?</v>
      </c>
      <c r="AD61" s="289" t="e">
        <f t="shared" ca="1" si="13"/>
        <v>#NAME?</v>
      </c>
      <c r="AE61" s="291" t="e">
        <f t="shared" ca="1" si="14"/>
        <v>#NAME?</v>
      </c>
      <c r="AF61" s="290" t="e">
        <f t="shared" ca="1" si="15"/>
        <v>#NAME?</v>
      </c>
      <c r="AG61" s="291" t="e">
        <f t="shared" ca="1" si="16"/>
        <v>#NAME?</v>
      </c>
      <c r="AH61" s="305" t="e">
        <f t="shared" ca="1" si="17"/>
        <v>#NAME?</v>
      </c>
      <c r="AI61" s="306" t="e">
        <f t="shared" ca="1" si="18"/>
        <v>#NAME?</v>
      </c>
    </row>
    <row r="62" spans="1:35">
      <c r="A62" s="85">
        <v>0.98</v>
      </c>
      <c r="B62" s="289" t="e">
        <f t="shared" ca="1" si="19"/>
        <v>#NAME?</v>
      </c>
      <c r="C62" s="290"/>
      <c r="D62" s="290" t="e">
        <f t="shared" ca="1" si="20"/>
        <v>#NAME?</v>
      </c>
      <c r="E62" s="290" t="e">
        <f t="shared" ca="1" si="20"/>
        <v>#NAME?</v>
      </c>
      <c r="F62" s="291" t="e">
        <f t="shared" ca="1" si="20"/>
        <v>#NAME?</v>
      </c>
      <c r="G62" s="289" t="e">
        <f t="shared" ca="1" si="20"/>
        <v>#NAME?</v>
      </c>
      <c r="H62" s="290" t="e">
        <f t="shared" ca="1" si="21"/>
        <v>#NAME?</v>
      </c>
      <c r="I62" s="290" t="e">
        <f t="shared" ca="1" si="22"/>
        <v>#NAME?</v>
      </c>
      <c r="J62" s="291" t="e">
        <f t="shared" ca="1" si="22"/>
        <v>#NAME?</v>
      </c>
      <c r="K62" s="284"/>
      <c r="L62" s="290" t="e">
        <f t="shared" ca="1" si="23"/>
        <v>#NAME?</v>
      </c>
      <c r="M62" s="278"/>
      <c r="N62" s="279"/>
      <c r="O62" s="277"/>
      <c r="P62" s="290" t="e">
        <f t="shared" ca="1" si="24"/>
        <v>#NAME?</v>
      </c>
      <c r="Q62" s="278"/>
      <c r="R62" s="279"/>
      <c r="S62" s="277"/>
      <c r="T62" s="290" t="e">
        <f t="shared" ca="1" si="25"/>
        <v>#NAME?</v>
      </c>
      <c r="U62" s="278"/>
      <c r="V62" s="279"/>
      <c r="W62" s="296" t="e">
        <f t="shared" ca="1" si="26"/>
        <v>#NAME?</v>
      </c>
      <c r="Y62" s="296" t="e">
        <f t="shared" ca="1" si="10"/>
        <v>#NAME?</v>
      </c>
      <c r="Z62" s="289" t="e">
        <f t="shared" ca="1" si="11"/>
        <v>#NAME?</v>
      </c>
      <c r="AA62" s="296" t="e">
        <f t="shared" ca="1" si="12"/>
        <v>#NAME?</v>
      </c>
      <c r="AB62" s="296" t="e">
        <f t="shared" ca="1" si="27"/>
        <v>#NAME?</v>
      </c>
      <c r="AD62" s="289" t="e">
        <f t="shared" ca="1" si="13"/>
        <v>#NAME?</v>
      </c>
      <c r="AE62" s="291" t="e">
        <f t="shared" ca="1" si="14"/>
        <v>#NAME?</v>
      </c>
      <c r="AF62" s="290" t="e">
        <f t="shared" ca="1" si="15"/>
        <v>#NAME?</v>
      </c>
      <c r="AG62" s="291" t="e">
        <f t="shared" ca="1" si="16"/>
        <v>#NAME?</v>
      </c>
      <c r="AH62" s="305" t="e">
        <f t="shared" ca="1" si="17"/>
        <v>#NAME?</v>
      </c>
      <c r="AI62" s="306" t="e">
        <f t="shared" ca="1" si="18"/>
        <v>#NAME?</v>
      </c>
    </row>
    <row r="63" spans="1:35">
      <c r="A63" s="85">
        <v>1</v>
      </c>
      <c r="B63" s="289" t="e">
        <f t="shared" ca="1" si="19"/>
        <v>#NAME?</v>
      </c>
      <c r="C63" s="290"/>
      <c r="D63" s="290" t="e">
        <f t="shared" ca="1" si="20"/>
        <v>#NAME?</v>
      </c>
      <c r="E63" s="290" t="e">
        <f t="shared" ca="1" si="20"/>
        <v>#NAME?</v>
      </c>
      <c r="F63" s="291" t="e">
        <f t="shared" ca="1" si="20"/>
        <v>#NAME?</v>
      </c>
      <c r="G63" s="289" t="e">
        <f t="shared" ca="1" si="20"/>
        <v>#NAME?</v>
      </c>
      <c r="H63" s="290" t="e">
        <f t="shared" ca="1" si="21"/>
        <v>#NAME?</v>
      </c>
      <c r="I63" s="290" t="e">
        <f t="shared" ca="1" si="22"/>
        <v>#NAME?</v>
      </c>
      <c r="J63" s="291" t="e">
        <f t="shared" ca="1" si="22"/>
        <v>#NAME?</v>
      </c>
      <c r="K63" s="284"/>
      <c r="L63" s="290" t="e">
        <f t="shared" ca="1" si="23"/>
        <v>#NAME?</v>
      </c>
      <c r="M63" s="278"/>
      <c r="N63" s="279"/>
      <c r="O63" s="277"/>
      <c r="P63" s="290" t="e">
        <f t="shared" ca="1" si="24"/>
        <v>#NAME?</v>
      </c>
      <c r="Q63" s="278"/>
      <c r="R63" s="279"/>
      <c r="S63" s="277"/>
      <c r="T63" s="290" t="e">
        <f t="shared" ca="1" si="25"/>
        <v>#NAME?</v>
      </c>
      <c r="U63" s="278"/>
      <c r="V63" s="279"/>
      <c r="W63" s="296" t="e">
        <f t="shared" ca="1" si="26"/>
        <v>#NAME?</v>
      </c>
      <c r="Y63" s="296" t="e">
        <f t="shared" ca="1" si="10"/>
        <v>#NAME?</v>
      </c>
      <c r="Z63" s="289" t="e">
        <f t="shared" ca="1" si="11"/>
        <v>#NAME?</v>
      </c>
      <c r="AA63" s="296" t="e">
        <f t="shared" ca="1" si="12"/>
        <v>#NAME?</v>
      </c>
      <c r="AB63" s="296" t="e">
        <f t="shared" ca="1" si="27"/>
        <v>#NAME?</v>
      </c>
      <c r="AD63" s="289" t="e">
        <f t="shared" ca="1" si="13"/>
        <v>#NAME?</v>
      </c>
      <c r="AE63" s="291" t="e">
        <f t="shared" ca="1" si="14"/>
        <v>#NAME?</v>
      </c>
      <c r="AF63" s="290" t="e">
        <f t="shared" ca="1" si="15"/>
        <v>#NAME?</v>
      </c>
      <c r="AG63" s="291" t="e">
        <f t="shared" ca="1" si="16"/>
        <v>#NAME?</v>
      </c>
      <c r="AH63" s="305" t="e">
        <f t="shared" ca="1" si="17"/>
        <v>#NAME?</v>
      </c>
      <c r="AI63" s="306" t="e">
        <f t="shared" ca="1" si="18"/>
        <v>#NAME?</v>
      </c>
    </row>
    <row r="64" spans="1:35">
      <c r="A64" s="85">
        <v>1.02</v>
      </c>
      <c r="B64" s="289" t="e">
        <f t="shared" ca="1" si="19"/>
        <v>#NAME?</v>
      </c>
      <c r="C64" s="290"/>
      <c r="D64" s="290" t="e">
        <f t="shared" ca="1" si="20"/>
        <v>#NAME?</v>
      </c>
      <c r="E64" s="290" t="e">
        <f t="shared" ca="1" si="20"/>
        <v>#NAME?</v>
      </c>
      <c r="F64" s="291" t="e">
        <f t="shared" ca="1" si="20"/>
        <v>#NAME?</v>
      </c>
      <c r="G64" s="289" t="e">
        <f t="shared" ca="1" si="20"/>
        <v>#NAME?</v>
      </c>
      <c r="H64" s="290" t="e">
        <f t="shared" ca="1" si="21"/>
        <v>#NAME?</v>
      </c>
      <c r="I64" s="290" t="e">
        <f t="shared" ca="1" si="22"/>
        <v>#NAME?</v>
      </c>
      <c r="J64" s="291" t="e">
        <f t="shared" ca="1" si="22"/>
        <v>#NAME?</v>
      </c>
      <c r="K64" s="284"/>
      <c r="L64" s="290" t="e">
        <f t="shared" ca="1" si="23"/>
        <v>#NAME?</v>
      </c>
      <c r="M64" s="278"/>
      <c r="N64" s="279"/>
      <c r="O64" s="277"/>
      <c r="P64" s="290" t="e">
        <f t="shared" ca="1" si="24"/>
        <v>#NAME?</v>
      </c>
      <c r="Q64" s="278"/>
      <c r="R64" s="279"/>
      <c r="S64" s="277"/>
      <c r="T64" s="290" t="e">
        <f t="shared" ca="1" si="25"/>
        <v>#NAME?</v>
      </c>
      <c r="U64" s="278"/>
      <c r="V64" s="279"/>
      <c r="W64" s="296" t="e">
        <f t="shared" ca="1" si="26"/>
        <v>#NAME?</v>
      </c>
      <c r="Y64" s="296" t="e">
        <f t="shared" ca="1" si="10"/>
        <v>#NAME?</v>
      </c>
      <c r="Z64" s="289" t="e">
        <f t="shared" ca="1" si="11"/>
        <v>#NAME?</v>
      </c>
      <c r="AA64" s="296" t="e">
        <f t="shared" ca="1" si="12"/>
        <v>#NAME?</v>
      </c>
      <c r="AB64" s="296" t="e">
        <f t="shared" ca="1" si="27"/>
        <v>#NAME?</v>
      </c>
      <c r="AD64" s="289" t="e">
        <f t="shared" ca="1" si="13"/>
        <v>#NAME?</v>
      </c>
      <c r="AE64" s="291" t="e">
        <f t="shared" ca="1" si="14"/>
        <v>#NAME?</v>
      </c>
      <c r="AF64" s="290" t="e">
        <f t="shared" ca="1" si="15"/>
        <v>#NAME?</v>
      </c>
      <c r="AG64" s="291" t="e">
        <f t="shared" ca="1" si="16"/>
        <v>#NAME?</v>
      </c>
      <c r="AH64" s="305" t="e">
        <f t="shared" ca="1" si="17"/>
        <v>#NAME?</v>
      </c>
      <c r="AI64" s="306" t="e">
        <f t="shared" ca="1" si="18"/>
        <v>#NAME?</v>
      </c>
    </row>
    <row r="65" spans="1:35">
      <c r="A65" s="85">
        <v>1.04</v>
      </c>
      <c r="B65" s="289" t="e">
        <f t="shared" ca="1" si="19"/>
        <v>#NAME?</v>
      </c>
      <c r="C65" s="290"/>
      <c r="D65" s="290" t="e">
        <f t="shared" ca="1" si="20"/>
        <v>#NAME?</v>
      </c>
      <c r="E65" s="290" t="e">
        <f t="shared" ca="1" si="20"/>
        <v>#NAME?</v>
      </c>
      <c r="F65" s="291" t="e">
        <f t="shared" ca="1" si="20"/>
        <v>#NAME?</v>
      </c>
      <c r="G65" s="289" t="e">
        <f t="shared" ca="1" si="20"/>
        <v>#NAME?</v>
      </c>
      <c r="H65" s="290" t="e">
        <f t="shared" ca="1" si="21"/>
        <v>#NAME?</v>
      </c>
      <c r="I65" s="290" t="e">
        <f t="shared" ca="1" si="22"/>
        <v>#NAME?</v>
      </c>
      <c r="J65" s="291" t="e">
        <f t="shared" ca="1" si="22"/>
        <v>#NAME?</v>
      </c>
      <c r="K65" s="284"/>
      <c r="L65" s="290" t="e">
        <f t="shared" ca="1" si="23"/>
        <v>#NAME?</v>
      </c>
      <c r="M65" s="278"/>
      <c r="N65" s="279"/>
      <c r="O65" s="277"/>
      <c r="P65" s="290" t="e">
        <f t="shared" ca="1" si="24"/>
        <v>#NAME?</v>
      </c>
      <c r="Q65" s="278"/>
      <c r="R65" s="279"/>
      <c r="S65" s="277"/>
      <c r="T65" s="290" t="e">
        <f t="shared" ca="1" si="25"/>
        <v>#NAME?</v>
      </c>
      <c r="U65" s="278"/>
      <c r="V65" s="279"/>
      <c r="W65" s="296" t="e">
        <f t="shared" ca="1" si="26"/>
        <v>#NAME?</v>
      </c>
      <c r="Y65" s="296" t="e">
        <f t="shared" ca="1" si="10"/>
        <v>#NAME?</v>
      </c>
      <c r="Z65" s="289" t="e">
        <f t="shared" ca="1" si="11"/>
        <v>#NAME?</v>
      </c>
      <c r="AA65" s="296" t="e">
        <f t="shared" ca="1" si="12"/>
        <v>#NAME?</v>
      </c>
      <c r="AB65" s="296" t="e">
        <f t="shared" ca="1" si="27"/>
        <v>#NAME?</v>
      </c>
      <c r="AD65" s="289" t="e">
        <f t="shared" ca="1" si="13"/>
        <v>#NAME?</v>
      </c>
      <c r="AE65" s="291" t="e">
        <f t="shared" ca="1" si="14"/>
        <v>#NAME?</v>
      </c>
      <c r="AF65" s="290" t="e">
        <f t="shared" ca="1" si="15"/>
        <v>#NAME?</v>
      </c>
      <c r="AG65" s="291" t="e">
        <f t="shared" ca="1" si="16"/>
        <v>#NAME?</v>
      </c>
      <c r="AH65" s="305" t="e">
        <f t="shared" ca="1" si="17"/>
        <v>#NAME?</v>
      </c>
      <c r="AI65" s="306" t="e">
        <f t="shared" ca="1" si="18"/>
        <v>#NAME?</v>
      </c>
    </row>
    <row r="66" spans="1:35">
      <c r="A66" s="85">
        <v>1.06</v>
      </c>
      <c r="B66" s="289" t="e">
        <f t="shared" ca="1" si="19"/>
        <v>#NAME?</v>
      </c>
      <c r="C66" s="290"/>
      <c r="D66" s="290" t="e">
        <f t="shared" ca="1" si="20"/>
        <v>#NAME?</v>
      </c>
      <c r="E66" s="290" t="e">
        <f t="shared" ca="1" si="20"/>
        <v>#NAME?</v>
      </c>
      <c r="F66" s="291" t="e">
        <f t="shared" ca="1" si="20"/>
        <v>#NAME?</v>
      </c>
      <c r="G66" s="289" t="e">
        <f t="shared" ca="1" si="20"/>
        <v>#NAME?</v>
      </c>
      <c r="H66" s="290" t="e">
        <f t="shared" ca="1" si="21"/>
        <v>#NAME?</v>
      </c>
      <c r="I66" s="290" t="e">
        <f t="shared" ca="1" si="22"/>
        <v>#NAME?</v>
      </c>
      <c r="J66" s="291" t="e">
        <f t="shared" ca="1" si="22"/>
        <v>#NAME?</v>
      </c>
      <c r="K66" s="284"/>
      <c r="L66" s="290" t="e">
        <f t="shared" ca="1" si="23"/>
        <v>#NAME?</v>
      </c>
      <c r="M66" s="278"/>
      <c r="N66" s="279"/>
      <c r="O66" s="277"/>
      <c r="P66" s="290" t="e">
        <f t="shared" ca="1" si="24"/>
        <v>#NAME?</v>
      </c>
      <c r="Q66" s="278"/>
      <c r="R66" s="279"/>
      <c r="S66" s="277"/>
      <c r="T66" s="290" t="e">
        <f t="shared" ca="1" si="25"/>
        <v>#NAME?</v>
      </c>
      <c r="U66" s="278"/>
      <c r="V66" s="279"/>
      <c r="W66" s="296" t="e">
        <f t="shared" ca="1" si="26"/>
        <v>#NAME?</v>
      </c>
      <c r="Y66" s="296" t="e">
        <f t="shared" ca="1" si="10"/>
        <v>#NAME?</v>
      </c>
      <c r="Z66" s="289" t="e">
        <f t="shared" ca="1" si="11"/>
        <v>#NAME?</v>
      </c>
      <c r="AA66" s="296" t="e">
        <f t="shared" ca="1" si="12"/>
        <v>#NAME?</v>
      </c>
      <c r="AB66" s="296" t="e">
        <f t="shared" ca="1" si="27"/>
        <v>#NAME?</v>
      </c>
      <c r="AD66" s="289" t="e">
        <f t="shared" ca="1" si="13"/>
        <v>#NAME?</v>
      </c>
      <c r="AE66" s="291" t="e">
        <f t="shared" ca="1" si="14"/>
        <v>#NAME?</v>
      </c>
      <c r="AF66" s="290" t="e">
        <f t="shared" ca="1" si="15"/>
        <v>#NAME?</v>
      </c>
      <c r="AG66" s="291" t="e">
        <f t="shared" ca="1" si="16"/>
        <v>#NAME?</v>
      </c>
      <c r="AH66" s="305" t="e">
        <f t="shared" ca="1" si="17"/>
        <v>#NAME?</v>
      </c>
      <c r="AI66" s="306" t="e">
        <f t="shared" ca="1" si="18"/>
        <v>#NAME?</v>
      </c>
    </row>
    <row r="67" spans="1:35">
      <c r="A67" s="85">
        <v>1.08</v>
      </c>
      <c r="B67" s="289" t="e">
        <f t="shared" ca="1" si="19"/>
        <v>#NAME?</v>
      </c>
      <c r="C67" s="290"/>
      <c r="D67" s="290" t="e">
        <f t="shared" ca="1" si="20"/>
        <v>#NAME?</v>
      </c>
      <c r="E67" s="290" t="e">
        <f t="shared" ca="1" si="20"/>
        <v>#NAME?</v>
      </c>
      <c r="F67" s="291" t="e">
        <f t="shared" ca="1" si="20"/>
        <v>#NAME?</v>
      </c>
      <c r="G67" s="289" t="e">
        <f t="shared" ca="1" si="20"/>
        <v>#NAME?</v>
      </c>
      <c r="H67" s="290" t="e">
        <f t="shared" ca="1" si="21"/>
        <v>#NAME?</v>
      </c>
      <c r="I67" s="290" t="e">
        <f t="shared" ca="1" si="22"/>
        <v>#NAME?</v>
      </c>
      <c r="J67" s="291" t="e">
        <f t="shared" ca="1" si="22"/>
        <v>#NAME?</v>
      </c>
      <c r="K67" s="284"/>
      <c r="L67" s="290" t="e">
        <f t="shared" ca="1" si="23"/>
        <v>#NAME?</v>
      </c>
      <c r="M67" s="278"/>
      <c r="N67" s="279"/>
      <c r="O67" s="277"/>
      <c r="P67" s="290" t="e">
        <f t="shared" ca="1" si="24"/>
        <v>#NAME?</v>
      </c>
      <c r="Q67" s="278"/>
      <c r="R67" s="279"/>
      <c r="S67" s="277"/>
      <c r="T67" s="290" t="e">
        <f t="shared" ca="1" si="25"/>
        <v>#NAME?</v>
      </c>
      <c r="U67" s="278"/>
      <c r="V67" s="279"/>
      <c r="W67" s="296" t="e">
        <f t="shared" ca="1" si="26"/>
        <v>#NAME?</v>
      </c>
      <c r="Y67" s="296" t="e">
        <f t="shared" ca="1" si="10"/>
        <v>#NAME?</v>
      </c>
      <c r="Z67" s="289" t="e">
        <f t="shared" ca="1" si="11"/>
        <v>#NAME?</v>
      </c>
      <c r="AA67" s="296" t="e">
        <f t="shared" ca="1" si="12"/>
        <v>#NAME?</v>
      </c>
      <c r="AB67" s="296" t="e">
        <f t="shared" ca="1" si="27"/>
        <v>#NAME?</v>
      </c>
      <c r="AD67" s="289" t="e">
        <f t="shared" ca="1" si="13"/>
        <v>#NAME?</v>
      </c>
      <c r="AE67" s="291" t="e">
        <f t="shared" ca="1" si="14"/>
        <v>#NAME?</v>
      </c>
      <c r="AF67" s="290" t="e">
        <f t="shared" ca="1" si="15"/>
        <v>#NAME?</v>
      </c>
      <c r="AG67" s="291" t="e">
        <f t="shared" ca="1" si="16"/>
        <v>#NAME?</v>
      </c>
      <c r="AH67" s="305" t="e">
        <f t="shared" ca="1" si="17"/>
        <v>#NAME?</v>
      </c>
      <c r="AI67" s="306" t="e">
        <f t="shared" ca="1" si="18"/>
        <v>#NAME?</v>
      </c>
    </row>
    <row r="68" spans="1:35">
      <c r="A68" s="85">
        <v>1.1000000000000001</v>
      </c>
      <c r="B68" s="289" t="e">
        <f t="shared" ca="1" si="19"/>
        <v>#NAME?</v>
      </c>
      <c r="C68" s="290"/>
      <c r="D68" s="290" t="e">
        <f t="shared" ca="1" si="20"/>
        <v>#NAME?</v>
      </c>
      <c r="E68" s="290" t="e">
        <f t="shared" ca="1" si="20"/>
        <v>#NAME?</v>
      </c>
      <c r="F68" s="291" t="e">
        <f t="shared" ca="1" si="20"/>
        <v>#NAME?</v>
      </c>
      <c r="G68" s="289" t="e">
        <f t="shared" ca="1" si="20"/>
        <v>#NAME?</v>
      </c>
      <c r="H68" s="290" t="e">
        <f t="shared" ca="1" si="21"/>
        <v>#NAME?</v>
      </c>
      <c r="I68" s="290" t="e">
        <f t="shared" ca="1" si="22"/>
        <v>#NAME?</v>
      </c>
      <c r="J68" s="291" t="e">
        <f t="shared" ca="1" si="22"/>
        <v>#NAME?</v>
      </c>
      <c r="K68" s="284"/>
      <c r="L68" s="290" t="e">
        <f t="shared" ca="1" si="23"/>
        <v>#NAME?</v>
      </c>
      <c r="M68" s="278"/>
      <c r="N68" s="279"/>
      <c r="O68" s="277"/>
      <c r="P68" s="290" t="e">
        <f t="shared" ca="1" si="24"/>
        <v>#NAME?</v>
      </c>
      <c r="Q68" s="278"/>
      <c r="R68" s="279"/>
      <c r="S68" s="277"/>
      <c r="T68" s="290" t="e">
        <f t="shared" ca="1" si="25"/>
        <v>#NAME?</v>
      </c>
      <c r="U68" s="278"/>
      <c r="V68" s="279"/>
      <c r="W68" s="296" t="e">
        <f t="shared" ca="1" si="26"/>
        <v>#NAME?</v>
      </c>
      <c r="Y68" s="296" t="e">
        <f t="shared" ca="1" si="10"/>
        <v>#NAME?</v>
      </c>
      <c r="Z68" s="289" t="e">
        <f t="shared" ca="1" si="11"/>
        <v>#NAME?</v>
      </c>
      <c r="AA68" s="296" t="e">
        <f t="shared" ca="1" si="12"/>
        <v>#NAME?</v>
      </c>
      <c r="AB68" s="296" t="e">
        <f t="shared" ca="1" si="27"/>
        <v>#NAME?</v>
      </c>
      <c r="AD68" s="289" t="e">
        <f t="shared" ca="1" si="13"/>
        <v>#NAME?</v>
      </c>
      <c r="AE68" s="291" t="e">
        <f t="shared" ca="1" si="14"/>
        <v>#NAME?</v>
      </c>
      <c r="AF68" s="290" t="e">
        <f t="shared" ca="1" si="15"/>
        <v>#NAME?</v>
      </c>
      <c r="AG68" s="291" t="e">
        <f t="shared" ca="1" si="16"/>
        <v>#NAME?</v>
      </c>
      <c r="AH68" s="305" t="e">
        <f t="shared" ca="1" si="17"/>
        <v>#NAME?</v>
      </c>
      <c r="AI68" s="306" t="e">
        <f t="shared" ca="1" si="18"/>
        <v>#NAME?</v>
      </c>
    </row>
    <row r="69" spans="1:35">
      <c r="A69" s="85">
        <v>1.3</v>
      </c>
      <c r="B69" s="289" t="e">
        <f t="shared" ca="1" si="19"/>
        <v>#NAME?</v>
      </c>
      <c r="C69" s="290"/>
      <c r="D69" s="290" t="e">
        <f t="shared" ca="1" si="20"/>
        <v>#NAME?</v>
      </c>
      <c r="E69" s="290" t="e">
        <f t="shared" ca="1" si="20"/>
        <v>#NAME?</v>
      </c>
      <c r="F69" s="291" t="e">
        <f t="shared" ca="1" si="20"/>
        <v>#NAME?</v>
      </c>
      <c r="G69" s="289" t="e">
        <f t="shared" ca="1" si="20"/>
        <v>#NAME?</v>
      </c>
      <c r="H69" s="290" t="e">
        <f t="shared" ca="1" si="21"/>
        <v>#NAME?</v>
      </c>
      <c r="I69" s="290" t="e">
        <f t="shared" ca="1" si="22"/>
        <v>#NAME?</v>
      </c>
      <c r="J69" s="291" t="e">
        <f t="shared" ca="1" si="22"/>
        <v>#NAME?</v>
      </c>
      <c r="K69" s="284"/>
      <c r="L69" s="290" t="e">
        <f t="shared" ca="1" si="23"/>
        <v>#NAME?</v>
      </c>
      <c r="M69" s="278"/>
      <c r="N69" s="279"/>
      <c r="O69" s="277"/>
      <c r="P69" s="290" t="e">
        <f t="shared" ca="1" si="24"/>
        <v>#NAME?</v>
      </c>
      <c r="Q69" s="278"/>
      <c r="R69" s="279"/>
      <c r="S69" s="277"/>
      <c r="T69" s="290" t="e">
        <f t="shared" ca="1" si="25"/>
        <v>#NAME?</v>
      </c>
      <c r="U69" s="278"/>
      <c r="V69" s="279"/>
      <c r="W69" s="296" t="e">
        <f t="shared" ca="1" si="26"/>
        <v>#NAME?</v>
      </c>
      <c r="Y69" s="296" t="e">
        <f t="shared" ca="1" si="10"/>
        <v>#NAME?</v>
      </c>
      <c r="Z69" s="289" t="e">
        <f t="shared" ca="1" si="11"/>
        <v>#NAME?</v>
      </c>
      <c r="AA69" s="296" t="e">
        <f t="shared" ca="1" si="12"/>
        <v>#NAME?</v>
      </c>
      <c r="AB69" s="296" t="e">
        <f t="shared" ca="1" si="27"/>
        <v>#NAME?</v>
      </c>
      <c r="AD69" s="289" t="e">
        <f t="shared" ca="1" si="13"/>
        <v>#NAME?</v>
      </c>
      <c r="AE69" s="291" t="e">
        <f t="shared" ca="1" si="14"/>
        <v>#NAME?</v>
      </c>
      <c r="AF69" s="290" t="e">
        <f t="shared" ca="1" si="15"/>
        <v>#NAME?</v>
      </c>
      <c r="AG69" s="291" t="e">
        <f t="shared" ca="1" si="16"/>
        <v>#NAME?</v>
      </c>
      <c r="AH69" s="305" t="e">
        <f t="shared" ca="1" si="17"/>
        <v>#NAME?</v>
      </c>
      <c r="AI69" s="306" t="e">
        <f t="shared" ca="1" si="18"/>
        <v>#NAME?</v>
      </c>
    </row>
    <row r="70" spans="1:35">
      <c r="A70" s="85">
        <v>1.5</v>
      </c>
      <c r="B70" s="289" t="e">
        <f t="shared" ca="1" si="19"/>
        <v>#NAME?</v>
      </c>
      <c r="C70" s="290"/>
      <c r="D70" s="290" t="e">
        <f t="shared" ca="1" si="20"/>
        <v>#NAME?</v>
      </c>
      <c r="E70" s="290" t="e">
        <f t="shared" ca="1" si="20"/>
        <v>#NAME?</v>
      </c>
      <c r="F70" s="291" t="e">
        <f t="shared" ca="1" si="20"/>
        <v>#NAME?</v>
      </c>
      <c r="G70" s="289" t="e">
        <f t="shared" ca="1" si="20"/>
        <v>#NAME?</v>
      </c>
      <c r="H70" s="290" t="e">
        <f t="shared" ca="1" si="21"/>
        <v>#NAME?</v>
      </c>
      <c r="I70" s="290" t="e">
        <f t="shared" ca="1" si="22"/>
        <v>#NAME?</v>
      </c>
      <c r="J70" s="291" t="e">
        <f t="shared" ca="1" si="22"/>
        <v>#NAME?</v>
      </c>
      <c r="K70" s="284"/>
      <c r="L70" s="290" t="e">
        <f t="shared" ca="1" si="23"/>
        <v>#NAME?</v>
      </c>
      <c r="M70" s="278"/>
      <c r="N70" s="279"/>
      <c r="O70" s="277"/>
      <c r="P70" s="290" t="e">
        <f t="shared" ca="1" si="24"/>
        <v>#NAME?</v>
      </c>
      <c r="Q70" s="278"/>
      <c r="R70" s="279"/>
      <c r="S70" s="277"/>
      <c r="T70" s="290" t="e">
        <f t="shared" ca="1" si="25"/>
        <v>#NAME?</v>
      </c>
      <c r="U70" s="278"/>
      <c r="V70" s="279"/>
      <c r="W70" s="296" t="e">
        <f t="shared" ca="1" si="26"/>
        <v>#NAME?</v>
      </c>
      <c r="Y70" s="296" t="e">
        <f t="shared" ca="1" si="10"/>
        <v>#NAME?</v>
      </c>
      <c r="Z70" s="289" t="e">
        <f t="shared" ca="1" si="11"/>
        <v>#NAME?</v>
      </c>
      <c r="AA70" s="296" t="e">
        <f t="shared" ca="1" si="12"/>
        <v>#NAME?</v>
      </c>
      <c r="AB70" s="296" t="e">
        <f t="shared" ca="1" si="27"/>
        <v>#NAME?</v>
      </c>
      <c r="AD70" s="289" t="e">
        <f t="shared" ca="1" si="13"/>
        <v>#NAME?</v>
      </c>
      <c r="AE70" s="291" t="e">
        <f t="shared" ca="1" si="14"/>
        <v>#NAME?</v>
      </c>
      <c r="AF70" s="290" t="e">
        <f t="shared" ca="1" si="15"/>
        <v>#NAME?</v>
      </c>
      <c r="AG70" s="291" t="e">
        <f t="shared" ca="1" si="16"/>
        <v>#NAME?</v>
      </c>
      <c r="AH70" s="305" t="e">
        <f t="shared" ca="1" si="17"/>
        <v>#NAME?</v>
      </c>
      <c r="AI70" s="306" t="e">
        <f t="shared" ca="1" si="18"/>
        <v>#NAME?</v>
      </c>
    </row>
    <row r="71" spans="1:35">
      <c r="A71" s="85">
        <v>1.7</v>
      </c>
      <c r="B71" s="289" t="e">
        <f t="shared" ca="1" si="19"/>
        <v>#NAME?</v>
      </c>
      <c r="C71" s="290"/>
      <c r="D71" s="290" t="e">
        <f t="shared" ca="1" si="20"/>
        <v>#NAME?</v>
      </c>
      <c r="E71" s="290" t="e">
        <f t="shared" ca="1" si="20"/>
        <v>#NAME?</v>
      </c>
      <c r="F71" s="291" t="e">
        <f t="shared" ca="1" si="20"/>
        <v>#NAME?</v>
      </c>
      <c r="G71" s="289" t="e">
        <f t="shared" ca="1" si="20"/>
        <v>#NAME?</v>
      </c>
      <c r="H71" s="290" t="e">
        <f t="shared" ca="1" si="21"/>
        <v>#NAME?</v>
      </c>
      <c r="I71" s="290" t="e">
        <f t="shared" ca="1" si="22"/>
        <v>#NAME?</v>
      </c>
      <c r="J71" s="291" t="e">
        <f t="shared" ca="1" si="22"/>
        <v>#NAME?</v>
      </c>
      <c r="K71" s="284"/>
      <c r="L71" s="290" t="e">
        <f t="shared" ca="1" si="23"/>
        <v>#NAME?</v>
      </c>
      <c r="M71" s="278"/>
      <c r="N71" s="279"/>
      <c r="O71" s="277"/>
      <c r="P71" s="290" t="e">
        <f t="shared" ca="1" si="24"/>
        <v>#NAME?</v>
      </c>
      <c r="Q71" s="278"/>
      <c r="R71" s="279"/>
      <c r="S71" s="277"/>
      <c r="T71" s="290" t="e">
        <f t="shared" ca="1" si="25"/>
        <v>#NAME?</v>
      </c>
      <c r="U71" s="278"/>
      <c r="V71" s="279"/>
      <c r="W71" s="296" t="e">
        <f t="shared" ca="1" si="26"/>
        <v>#NAME?</v>
      </c>
      <c r="Y71" s="296" t="e">
        <f t="shared" ca="1" si="10"/>
        <v>#NAME?</v>
      </c>
      <c r="Z71" s="289" t="e">
        <f t="shared" ca="1" si="11"/>
        <v>#NAME?</v>
      </c>
      <c r="AA71" s="296" t="e">
        <f t="shared" ca="1" si="12"/>
        <v>#NAME?</v>
      </c>
      <c r="AB71" s="296" t="e">
        <f t="shared" ca="1" si="27"/>
        <v>#NAME?</v>
      </c>
      <c r="AD71" s="289" t="e">
        <f t="shared" ca="1" si="13"/>
        <v>#NAME?</v>
      </c>
      <c r="AE71" s="291" t="e">
        <f t="shared" ca="1" si="14"/>
        <v>#NAME?</v>
      </c>
      <c r="AF71" s="290" t="e">
        <f t="shared" ca="1" si="15"/>
        <v>#NAME?</v>
      </c>
      <c r="AG71" s="291" t="e">
        <f t="shared" ca="1" si="16"/>
        <v>#NAME?</v>
      </c>
      <c r="AH71" s="305" t="e">
        <f t="shared" ca="1" si="17"/>
        <v>#NAME?</v>
      </c>
      <c r="AI71" s="306" t="e">
        <f t="shared" ca="1" si="18"/>
        <v>#NAME?</v>
      </c>
    </row>
    <row r="72" spans="1:35">
      <c r="A72" s="85">
        <v>1.9</v>
      </c>
      <c r="B72" s="289" t="e">
        <f t="shared" ca="1" si="19"/>
        <v>#NAME?</v>
      </c>
      <c r="C72" s="290"/>
      <c r="D72" s="290" t="e">
        <f t="shared" ca="1" si="20"/>
        <v>#NAME?</v>
      </c>
      <c r="E72" s="290" t="e">
        <f t="shared" ca="1" si="20"/>
        <v>#NAME?</v>
      </c>
      <c r="F72" s="291" t="e">
        <f t="shared" ca="1" si="20"/>
        <v>#NAME?</v>
      </c>
      <c r="G72" s="289" t="e">
        <f t="shared" ca="1" si="20"/>
        <v>#NAME?</v>
      </c>
      <c r="H72" s="290" t="e">
        <f t="shared" ca="1" si="21"/>
        <v>#NAME?</v>
      </c>
      <c r="I72" s="290" t="e">
        <f t="shared" ca="1" si="22"/>
        <v>#NAME?</v>
      </c>
      <c r="J72" s="291" t="e">
        <f t="shared" ca="1" si="22"/>
        <v>#NAME?</v>
      </c>
      <c r="K72" s="284"/>
      <c r="L72" s="290" t="e">
        <f t="shared" ca="1" si="23"/>
        <v>#NAME?</v>
      </c>
      <c r="M72" s="278"/>
      <c r="N72" s="279"/>
      <c r="O72" s="277"/>
      <c r="P72" s="290" t="e">
        <f t="shared" ca="1" si="24"/>
        <v>#NAME?</v>
      </c>
      <c r="Q72" s="278"/>
      <c r="R72" s="279"/>
      <c r="S72" s="277"/>
      <c r="T72" s="290" t="e">
        <f t="shared" ca="1" si="25"/>
        <v>#NAME?</v>
      </c>
      <c r="U72" s="278"/>
      <c r="V72" s="279"/>
      <c r="W72" s="296" t="e">
        <f t="shared" ca="1" si="26"/>
        <v>#NAME?</v>
      </c>
      <c r="Y72" s="296" t="e">
        <f t="shared" ca="1" si="10"/>
        <v>#NAME?</v>
      </c>
      <c r="Z72" s="289" t="e">
        <f t="shared" ca="1" si="11"/>
        <v>#NAME?</v>
      </c>
      <c r="AA72" s="296" t="e">
        <f t="shared" ca="1" si="12"/>
        <v>#NAME?</v>
      </c>
      <c r="AB72" s="296" t="e">
        <f t="shared" ca="1" si="27"/>
        <v>#NAME?</v>
      </c>
      <c r="AD72" s="289" t="e">
        <f t="shared" ca="1" si="13"/>
        <v>#NAME?</v>
      </c>
      <c r="AE72" s="291" t="e">
        <f t="shared" ca="1" si="14"/>
        <v>#NAME?</v>
      </c>
      <c r="AF72" s="290" t="e">
        <f t="shared" ca="1" si="15"/>
        <v>#NAME?</v>
      </c>
      <c r="AG72" s="291" t="e">
        <f t="shared" ca="1" si="16"/>
        <v>#NAME?</v>
      </c>
      <c r="AH72" s="305" t="e">
        <f t="shared" ca="1" si="17"/>
        <v>#NAME?</v>
      </c>
      <c r="AI72" s="306" t="e">
        <f t="shared" ca="1" si="18"/>
        <v>#NAME?</v>
      </c>
    </row>
    <row r="73" spans="1:35">
      <c r="A73" s="85">
        <v>2.1</v>
      </c>
      <c r="B73" s="289" t="e">
        <f t="shared" ca="1" si="19"/>
        <v>#NAME?</v>
      </c>
      <c r="C73" s="290"/>
      <c r="D73" s="290" t="e">
        <f t="shared" ca="1" si="20"/>
        <v>#NAME?</v>
      </c>
      <c r="E73" s="290" t="e">
        <f t="shared" ca="1" si="20"/>
        <v>#NAME?</v>
      </c>
      <c r="F73" s="291" t="e">
        <f t="shared" ca="1" si="20"/>
        <v>#NAME?</v>
      </c>
      <c r="G73" s="289" t="e">
        <f t="shared" ca="1" si="20"/>
        <v>#NAME?</v>
      </c>
      <c r="H73" s="290" t="e">
        <f t="shared" ca="1" si="21"/>
        <v>#NAME?</v>
      </c>
      <c r="I73" s="290" t="e">
        <f t="shared" ca="1" si="22"/>
        <v>#NAME?</v>
      </c>
      <c r="J73" s="291" t="e">
        <f t="shared" ca="1" si="22"/>
        <v>#NAME?</v>
      </c>
      <c r="K73" s="284"/>
      <c r="L73" s="290" t="e">
        <f t="shared" ca="1" si="23"/>
        <v>#NAME?</v>
      </c>
      <c r="M73" s="278"/>
      <c r="N73" s="279"/>
      <c r="O73" s="277"/>
      <c r="P73" s="290" t="e">
        <f t="shared" ca="1" si="24"/>
        <v>#NAME?</v>
      </c>
      <c r="Q73" s="278"/>
      <c r="R73" s="279"/>
      <c r="S73" s="277"/>
      <c r="T73" s="290" t="e">
        <f t="shared" ca="1" si="25"/>
        <v>#NAME?</v>
      </c>
      <c r="U73" s="278"/>
      <c r="V73" s="279"/>
      <c r="W73" s="296" t="e">
        <f t="shared" ca="1" si="26"/>
        <v>#NAME?</v>
      </c>
      <c r="Y73" s="296" t="e">
        <f t="shared" ca="1" si="10"/>
        <v>#NAME?</v>
      </c>
      <c r="Z73" s="289" t="e">
        <f t="shared" ca="1" si="11"/>
        <v>#NAME?</v>
      </c>
      <c r="AA73" s="296" t="e">
        <f t="shared" ca="1" si="12"/>
        <v>#NAME?</v>
      </c>
      <c r="AB73" s="296" t="e">
        <f t="shared" ca="1" si="27"/>
        <v>#NAME?</v>
      </c>
      <c r="AD73" s="289" t="e">
        <f t="shared" ca="1" si="13"/>
        <v>#NAME?</v>
      </c>
      <c r="AE73" s="291" t="e">
        <f t="shared" ca="1" si="14"/>
        <v>#NAME?</v>
      </c>
      <c r="AF73" s="290" t="e">
        <f t="shared" ca="1" si="15"/>
        <v>#NAME?</v>
      </c>
      <c r="AG73" s="291" t="e">
        <f t="shared" ca="1" si="16"/>
        <v>#NAME?</v>
      </c>
      <c r="AH73" s="305" t="e">
        <f t="shared" ca="1" si="17"/>
        <v>#NAME?</v>
      </c>
      <c r="AI73" s="306" t="e">
        <f t="shared" ca="1" si="18"/>
        <v>#NAME?</v>
      </c>
    </row>
    <row r="74" spans="1:35">
      <c r="A74" s="85">
        <v>2.2999999999999998</v>
      </c>
      <c r="B74" s="289" t="e">
        <f t="shared" ca="1" si="19"/>
        <v>#NAME?</v>
      </c>
      <c r="C74" s="290"/>
      <c r="D74" s="290" t="e">
        <f t="shared" ca="1" si="20"/>
        <v>#NAME?</v>
      </c>
      <c r="E74" s="290" t="e">
        <f t="shared" ca="1" si="20"/>
        <v>#NAME?</v>
      </c>
      <c r="F74" s="291" t="e">
        <f t="shared" ca="1" si="20"/>
        <v>#NAME?</v>
      </c>
      <c r="G74" s="289" t="e">
        <f t="shared" ca="1" si="20"/>
        <v>#NAME?</v>
      </c>
      <c r="H74" s="290" t="e">
        <f t="shared" ca="1" si="21"/>
        <v>#NAME?</v>
      </c>
      <c r="I74" s="290" t="e">
        <f t="shared" ca="1" si="22"/>
        <v>#NAME?</v>
      </c>
      <c r="J74" s="291" t="e">
        <f t="shared" ca="1" si="22"/>
        <v>#NAME?</v>
      </c>
      <c r="K74" s="284"/>
      <c r="L74" s="290" t="e">
        <f t="shared" ca="1" si="23"/>
        <v>#NAME?</v>
      </c>
      <c r="M74" s="278"/>
      <c r="N74" s="279"/>
      <c r="O74" s="277"/>
      <c r="P74" s="290" t="e">
        <f t="shared" ca="1" si="24"/>
        <v>#NAME?</v>
      </c>
      <c r="Q74" s="278"/>
      <c r="R74" s="279"/>
      <c r="S74" s="277"/>
      <c r="T74" s="290" t="e">
        <f t="shared" ca="1" si="25"/>
        <v>#NAME?</v>
      </c>
      <c r="U74" s="278"/>
      <c r="V74" s="279"/>
      <c r="W74" s="296" t="e">
        <f t="shared" ca="1" si="26"/>
        <v>#NAME?</v>
      </c>
      <c r="Y74" s="296" t="e">
        <f t="shared" ca="1" si="10"/>
        <v>#NAME?</v>
      </c>
      <c r="Z74" s="289" t="e">
        <f t="shared" ca="1" si="11"/>
        <v>#NAME?</v>
      </c>
      <c r="AA74" s="296" t="e">
        <f t="shared" ca="1" si="12"/>
        <v>#NAME?</v>
      </c>
      <c r="AB74" s="296" t="e">
        <f t="shared" ca="1" si="27"/>
        <v>#NAME?</v>
      </c>
      <c r="AD74" s="289" t="e">
        <f t="shared" ca="1" si="13"/>
        <v>#NAME?</v>
      </c>
      <c r="AE74" s="291" t="e">
        <f t="shared" ca="1" si="14"/>
        <v>#NAME?</v>
      </c>
      <c r="AF74" s="290" t="e">
        <f t="shared" ca="1" si="15"/>
        <v>#NAME?</v>
      </c>
      <c r="AG74" s="291" t="e">
        <f t="shared" ca="1" si="16"/>
        <v>#NAME?</v>
      </c>
      <c r="AH74" s="305" t="e">
        <f t="shared" ca="1" si="17"/>
        <v>#NAME?</v>
      </c>
      <c r="AI74" s="306" t="e">
        <f t="shared" ca="1" si="18"/>
        <v>#NAME?</v>
      </c>
    </row>
    <row r="75" spans="1:35">
      <c r="A75" s="85">
        <v>2.5</v>
      </c>
      <c r="B75" s="289" t="e">
        <f t="shared" ca="1" si="19"/>
        <v>#NAME?</v>
      </c>
      <c r="C75" s="290"/>
      <c r="D75" s="290" t="e">
        <f t="shared" ca="1" si="20"/>
        <v>#NAME?</v>
      </c>
      <c r="E75" s="290" t="e">
        <f t="shared" ca="1" si="20"/>
        <v>#NAME?</v>
      </c>
      <c r="F75" s="291" t="e">
        <f t="shared" ca="1" si="20"/>
        <v>#NAME?</v>
      </c>
      <c r="G75" s="289" t="e">
        <f t="shared" ca="1" si="20"/>
        <v>#NAME?</v>
      </c>
      <c r="H75" s="290" t="e">
        <f t="shared" ca="1" si="21"/>
        <v>#NAME?</v>
      </c>
      <c r="I75" s="290" t="e">
        <f t="shared" ca="1" si="22"/>
        <v>#NAME?</v>
      </c>
      <c r="J75" s="291" t="e">
        <f t="shared" ca="1" si="22"/>
        <v>#NAME?</v>
      </c>
      <c r="K75" s="284"/>
      <c r="L75" s="290" t="e">
        <f t="shared" ca="1" si="23"/>
        <v>#NAME?</v>
      </c>
      <c r="M75" s="278"/>
      <c r="N75" s="279"/>
      <c r="O75" s="277"/>
      <c r="P75" s="290" t="e">
        <f t="shared" ca="1" si="24"/>
        <v>#NAME?</v>
      </c>
      <c r="Q75" s="278"/>
      <c r="R75" s="279"/>
      <c r="S75" s="277"/>
      <c r="T75" s="290" t="e">
        <f t="shared" ca="1" si="25"/>
        <v>#NAME?</v>
      </c>
      <c r="U75" s="278"/>
      <c r="V75" s="279"/>
      <c r="W75" s="296" t="e">
        <f t="shared" ca="1" si="26"/>
        <v>#NAME?</v>
      </c>
      <c r="Y75" s="296" t="e">
        <f t="shared" ca="1" si="10"/>
        <v>#NAME?</v>
      </c>
      <c r="Z75" s="289" t="e">
        <f t="shared" ca="1" si="11"/>
        <v>#NAME?</v>
      </c>
      <c r="AA75" s="296" t="e">
        <f t="shared" ca="1" si="12"/>
        <v>#NAME?</v>
      </c>
      <c r="AB75" s="296" t="e">
        <f t="shared" ca="1" si="27"/>
        <v>#NAME?</v>
      </c>
      <c r="AD75" s="289" t="e">
        <f t="shared" ca="1" si="13"/>
        <v>#NAME?</v>
      </c>
      <c r="AE75" s="291" t="e">
        <f t="shared" ca="1" si="14"/>
        <v>#NAME?</v>
      </c>
      <c r="AF75" s="290" t="e">
        <f t="shared" ca="1" si="15"/>
        <v>#NAME?</v>
      </c>
      <c r="AG75" s="291" t="e">
        <f t="shared" ca="1" si="16"/>
        <v>#NAME?</v>
      </c>
      <c r="AH75" s="305" t="e">
        <f t="shared" ca="1" si="17"/>
        <v>#NAME?</v>
      </c>
      <c r="AI75" s="306" t="e">
        <f t="shared" ca="1" si="18"/>
        <v>#NAME?</v>
      </c>
    </row>
    <row r="76" spans="1:35">
      <c r="A76" s="85">
        <v>2.7</v>
      </c>
      <c r="B76" s="289" t="e">
        <f t="shared" ca="1" si="19"/>
        <v>#NAME?</v>
      </c>
      <c r="C76" s="290"/>
      <c r="D76" s="290" t="e">
        <f t="shared" ca="1" si="20"/>
        <v>#NAME?</v>
      </c>
      <c r="E76" s="290" t="e">
        <f t="shared" ca="1" si="20"/>
        <v>#NAME?</v>
      </c>
      <c r="F76" s="291" t="e">
        <f t="shared" ca="1" si="20"/>
        <v>#NAME?</v>
      </c>
      <c r="G76" s="289" t="e">
        <f t="shared" ca="1" si="20"/>
        <v>#NAME?</v>
      </c>
      <c r="H76" s="290" t="e">
        <f t="shared" ca="1" si="21"/>
        <v>#NAME?</v>
      </c>
      <c r="I76" s="290" t="e">
        <f t="shared" ca="1" si="22"/>
        <v>#NAME?</v>
      </c>
      <c r="J76" s="291" t="e">
        <f t="shared" ca="1" si="22"/>
        <v>#NAME?</v>
      </c>
      <c r="K76" s="284"/>
      <c r="L76" s="290" t="e">
        <f t="shared" ca="1" si="23"/>
        <v>#NAME?</v>
      </c>
      <c r="M76" s="278"/>
      <c r="N76" s="279"/>
      <c r="O76" s="277"/>
      <c r="P76" s="290" t="e">
        <f t="shared" ca="1" si="24"/>
        <v>#NAME?</v>
      </c>
      <c r="Q76" s="278"/>
      <c r="R76" s="279"/>
      <c r="S76" s="277"/>
      <c r="T76" s="290" t="e">
        <f t="shared" ca="1" si="25"/>
        <v>#NAME?</v>
      </c>
      <c r="U76" s="278"/>
      <c r="V76" s="279"/>
      <c r="W76" s="296" t="e">
        <f t="shared" ca="1" si="26"/>
        <v>#NAME?</v>
      </c>
      <c r="Y76" s="296" t="e">
        <f t="shared" ca="1" si="10"/>
        <v>#NAME?</v>
      </c>
      <c r="Z76" s="289" t="e">
        <f t="shared" ca="1" si="11"/>
        <v>#NAME?</v>
      </c>
      <c r="AA76" s="296" t="e">
        <f t="shared" ca="1" si="12"/>
        <v>#NAME?</v>
      </c>
      <c r="AB76" s="296" t="e">
        <f t="shared" ca="1" si="27"/>
        <v>#NAME?</v>
      </c>
      <c r="AD76" s="289" t="e">
        <f t="shared" ca="1" si="13"/>
        <v>#NAME?</v>
      </c>
      <c r="AE76" s="291" t="e">
        <f t="shared" ca="1" si="14"/>
        <v>#NAME?</v>
      </c>
      <c r="AF76" s="290" t="e">
        <f t="shared" ca="1" si="15"/>
        <v>#NAME?</v>
      </c>
      <c r="AG76" s="291" t="e">
        <f t="shared" ca="1" si="16"/>
        <v>#NAME?</v>
      </c>
      <c r="AH76" s="305" t="e">
        <f t="shared" ca="1" si="17"/>
        <v>#NAME?</v>
      </c>
      <c r="AI76" s="306" t="e">
        <f t="shared" ca="1" si="18"/>
        <v>#NAME?</v>
      </c>
    </row>
    <row r="77" spans="1:35">
      <c r="A77" s="85">
        <v>2.9</v>
      </c>
      <c r="B77" s="289" t="e">
        <f t="shared" ca="1" si="19"/>
        <v>#NAME?</v>
      </c>
      <c r="C77" s="290"/>
      <c r="D77" s="290" t="e">
        <f t="shared" ca="1" si="20"/>
        <v>#NAME?</v>
      </c>
      <c r="E77" s="290" t="e">
        <f t="shared" ca="1" si="20"/>
        <v>#NAME?</v>
      </c>
      <c r="F77" s="291" t="e">
        <f t="shared" ca="1" si="20"/>
        <v>#NAME?</v>
      </c>
      <c r="G77" s="289" t="e">
        <f t="shared" ca="1" si="20"/>
        <v>#NAME?</v>
      </c>
      <c r="H77" s="290" t="e">
        <f t="shared" ca="1" si="21"/>
        <v>#NAME?</v>
      </c>
      <c r="I77" s="290" t="e">
        <f t="shared" ca="1" si="22"/>
        <v>#NAME?</v>
      </c>
      <c r="J77" s="291" t="e">
        <f t="shared" ca="1" si="22"/>
        <v>#NAME?</v>
      </c>
      <c r="K77" s="284"/>
      <c r="L77" s="290" t="e">
        <f t="shared" ca="1" si="23"/>
        <v>#NAME?</v>
      </c>
      <c r="M77" s="278"/>
      <c r="N77" s="279"/>
      <c r="O77" s="277"/>
      <c r="P77" s="290" t="e">
        <f t="shared" ca="1" si="24"/>
        <v>#NAME?</v>
      </c>
      <c r="Q77" s="278"/>
      <c r="R77" s="279"/>
      <c r="S77" s="277"/>
      <c r="T77" s="290" t="e">
        <f t="shared" ca="1" si="25"/>
        <v>#NAME?</v>
      </c>
      <c r="U77" s="278"/>
      <c r="V77" s="279"/>
      <c r="W77" s="296" t="e">
        <f t="shared" ca="1" si="26"/>
        <v>#NAME?</v>
      </c>
      <c r="Y77" s="296" t="e">
        <f t="shared" ca="1" si="10"/>
        <v>#NAME?</v>
      </c>
      <c r="Z77" s="289" t="e">
        <f t="shared" ca="1" si="11"/>
        <v>#NAME?</v>
      </c>
      <c r="AA77" s="296" t="e">
        <f t="shared" ca="1" si="12"/>
        <v>#NAME?</v>
      </c>
      <c r="AB77" s="296" t="e">
        <f t="shared" ca="1" si="27"/>
        <v>#NAME?</v>
      </c>
      <c r="AD77" s="289" t="e">
        <f t="shared" ca="1" si="13"/>
        <v>#NAME?</v>
      </c>
      <c r="AE77" s="291" t="e">
        <f t="shared" ca="1" si="14"/>
        <v>#NAME?</v>
      </c>
      <c r="AF77" s="290" t="e">
        <f t="shared" ca="1" si="15"/>
        <v>#NAME?</v>
      </c>
      <c r="AG77" s="291" t="e">
        <f t="shared" ca="1" si="16"/>
        <v>#NAME?</v>
      </c>
      <c r="AH77" s="305" t="e">
        <f t="shared" ca="1" si="17"/>
        <v>#NAME?</v>
      </c>
      <c r="AI77" s="306" t="e">
        <f t="shared" ca="1" si="18"/>
        <v>#NAME?</v>
      </c>
    </row>
    <row r="78" spans="1:35">
      <c r="A78" s="85">
        <v>3.1</v>
      </c>
      <c r="B78" s="289" t="e">
        <f t="shared" ca="1" si="19"/>
        <v>#NAME?</v>
      </c>
      <c r="C78" s="290"/>
      <c r="D78" s="290" t="e">
        <f t="shared" ca="1" si="20"/>
        <v>#NAME?</v>
      </c>
      <c r="E78" s="290" t="e">
        <f t="shared" ca="1" si="20"/>
        <v>#NAME?</v>
      </c>
      <c r="F78" s="291" t="e">
        <f t="shared" ca="1" si="20"/>
        <v>#NAME?</v>
      </c>
      <c r="G78" s="289" t="e">
        <f t="shared" ca="1" si="20"/>
        <v>#NAME?</v>
      </c>
      <c r="H78" s="290" t="e">
        <f t="shared" ca="1" si="21"/>
        <v>#NAME?</v>
      </c>
      <c r="I78" s="290" t="e">
        <f t="shared" ca="1" si="22"/>
        <v>#NAME?</v>
      </c>
      <c r="J78" s="291" t="e">
        <f t="shared" ca="1" si="22"/>
        <v>#NAME?</v>
      </c>
      <c r="K78" s="284"/>
      <c r="L78" s="290" t="e">
        <f t="shared" ca="1" si="23"/>
        <v>#NAME?</v>
      </c>
      <c r="M78" s="278"/>
      <c r="N78" s="279"/>
      <c r="O78" s="277"/>
      <c r="P78" s="290" t="e">
        <f t="shared" ca="1" si="24"/>
        <v>#NAME?</v>
      </c>
      <c r="Q78" s="278"/>
      <c r="R78" s="279"/>
      <c r="S78" s="277"/>
      <c r="T78" s="290" t="e">
        <f t="shared" ca="1" si="25"/>
        <v>#NAME?</v>
      </c>
      <c r="U78" s="278"/>
      <c r="V78" s="279"/>
      <c r="W78" s="296" t="e">
        <f t="shared" ca="1" si="26"/>
        <v>#NAME?</v>
      </c>
      <c r="Y78" s="296" t="e">
        <f t="shared" ca="1" si="10"/>
        <v>#NAME?</v>
      </c>
      <c r="Z78" s="289" t="e">
        <f t="shared" ca="1" si="11"/>
        <v>#NAME?</v>
      </c>
      <c r="AA78" s="296" t="e">
        <f t="shared" ca="1" si="12"/>
        <v>#NAME?</v>
      </c>
      <c r="AB78" s="296" t="e">
        <f t="shared" ca="1" si="27"/>
        <v>#NAME?</v>
      </c>
      <c r="AD78" s="289" t="e">
        <f t="shared" ca="1" si="13"/>
        <v>#NAME?</v>
      </c>
      <c r="AE78" s="291" t="e">
        <f t="shared" ca="1" si="14"/>
        <v>#NAME?</v>
      </c>
      <c r="AF78" s="290" t="e">
        <f t="shared" ca="1" si="15"/>
        <v>#NAME?</v>
      </c>
      <c r="AG78" s="291" t="e">
        <f t="shared" ca="1" si="16"/>
        <v>#NAME?</v>
      </c>
      <c r="AH78" s="305" t="e">
        <f t="shared" ca="1" si="17"/>
        <v>#NAME?</v>
      </c>
      <c r="AI78" s="306" t="e">
        <f t="shared" ca="1" si="18"/>
        <v>#NAME?</v>
      </c>
    </row>
    <row r="79" spans="1:35">
      <c r="A79" s="85">
        <v>3.3</v>
      </c>
      <c r="B79" s="289" t="e">
        <f t="shared" ca="1" si="19"/>
        <v>#NAME?</v>
      </c>
      <c r="C79" s="290"/>
      <c r="D79" s="290" t="e">
        <f t="shared" ca="1" si="20"/>
        <v>#NAME?</v>
      </c>
      <c r="E79" s="290" t="e">
        <f t="shared" ca="1" si="20"/>
        <v>#NAME?</v>
      </c>
      <c r="F79" s="291" t="e">
        <f t="shared" ca="1" si="20"/>
        <v>#NAME?</v>
      </c>
      <c r="G79" s="289" t="e">
        <f t="shared" ca="1" si="20"/>
        <v>#NAME?</v>
      </c>
      <c r="H79" s="290" t="e">
        <f t="shared" ca="1" si="21"/>
        <v>#NAME?</v>
      </c>
      <c r="I79" s="290" t="e">
        <f t="shared" ca="1" si="22"/>
        <v>#NAME?</v>
      </c>
      <c r="J79" s="291" t="e">
        <f t="shared" ca="1" si="22"/>
        <v>#NAME?</v>
      </c>
      <c r="K79" s="284"/>
      <c r="L79" s="290" t="e">
        <f t="shared" ca="1" si="23"/>
        <v>#NAME?</v>
      </c>
      <c r="M79" s="278"/>
      <c r="N79" s="279"/>
      <c r="O79" s="277"/>
      <c r="P79" s="290" t="e">
        <f t="shared" ca="1" si="24"/>
        <v>#NAME?</v>
      </c>
      <c r="Q79" s="278"/>
      <c r="R79" s="279"/>
      <c r="S79" s="277"/>
      <c r="T79" s="290" t="e">
        <f t="shared" ca="1" si="25"/>
        <v>#NAME?</v>
      </c>
      <c r="U79" s="278"/>
      <c r="V79" s="279"/>
      <c r="W79" s="296" t="e">
        <f t="shared" ca="1" si="26"/>
        <v>#NAME?</v>
      </c>
      <c r="Y79" s="296" t="e">
        <f t="shared" ca="1" si="10"/>
        <v>#NAME?</v>
      </c>
      <c r="Z79" s="289" t="e">
        <f t="shared" ca="1" si="11"/>
        <v>#NAME?</v>
      </c>
      <c r="AA79" s="296" t="e">
        <f t="shared" ca="1" si="12"/>
        <v>#NAME?</v>
      </c>
      <c r="AB79" s="296" t="e">
        <f t="shared" ca="1" si="27"/>
        <v>#NAME?</v>
      </c>
      <c r="AD79" s="289" t="e">
        <f t="shared" ca="1" si="13"/>
        <v>#NAME?</v>
      </c>
      <c r="AE79" s="291" t="e">
        <f t="shared" ca="1" si="14"/>
        <v>#NAME?</v>
      </c>
      <c r="AF79" s="290" t="e">
        <f t="shared" ca="1" si="15"/>
        <v>#NAME?</v>
      </c>
      <c r="AG79" s="291" t="e">
        <f t="shared" ca="1" si="16"/>
        <v>#NAME?</v>
      </c>
      <c r="AH79" s="305" t="e">
        <f t="shared" ca="1" si="17"/>
        <v>#NAME?</v>
      </c>
      <c r="AI79" s="306" t="e">
        <f t="shared" ca="1" si="18"/>
        <v>#NAME?</v>
      </c>
    </row>
    <row r="80" spans="1:35">
      <c r="A80" s="85">
        <v>3.5</v>
      </c>
      <c r="B80" s="289" t="e">
        <f t="shared" ca="1" si="19"/>
        <v>#NAME?</v>
      </c>
      <c r="C80" s="290"/>
      <c r="D80" s="290" t="e">
        <f t="shared" ca="1" si="20"/>
        <v>#NAME?</v>
      </c>
      <c r="E80" s="290" t="e">
        <f t="shared" ca="1" si="20"/>
        <v>#NAME?</v>
      </c>
      <c r="F80" s="291" t="e">
        <f t="shared" ca="1" si="20"/>
        <v>#NAME?</v>
      </c>
      <c r="G80" s="289" t="e">
        <f t="shared" ca="1" si="20"/>
        <v>#NAME?</v>
      </c>
      <c r="H80" s="290" t="e">
        <f t="shared" ca="1" si="21"/>
        <v>#NAME?</v>
      </c>
      <c r="I80" s="290" t="e">
        <f t="shared" ca="1" si="22"/>
        <v>#NAME?</v>
      </c>
      <c r="J80" s="291" t="e">
        <f t="shared" ca="1" si="22"/>
        <v>#NAME?</v>
      </c>
      <c r="K80" s="284"/>
      <c r="L80" s="290" t="e">
        <f t="shared" ca="1" si="23"/>
        <v>#NAME?</v>
      </c>
      <c r="M80" s="278"/>
      <c r="N80" s="279"/>
      <c r="O80" s="277"/>
      <c r="P80" s="290" t="e">
        <f t="shared" ca="1" si="24"/>
        <v>#NAME?</v>
      </c>
      <c r="Q80" s="278"/>
      <c r="R80" s="279"/>
      <c r="S80" s="277"/>
      <c r="T80" s="290" t="e">
        <f t="shared" ca="1" si="25"/>
        <v>#NAME?</v>
      </c>
      <c r="U80" s="278"/>
      <c r="V80" s="279"/>
      <c r="W80" s="296" t="e">
        <f t="shared" ca="1" si="26"/>
        <v>#NAME?</v>
      </c>
      <c r="Y80" s="296" t="e">
        <f t="shared" ca="1" si="10"/>
        <v>#NAME?</v>
      </c>
      <c r="Z80" s="289" t="e">
        <f t="shared" ca="1" si="11"/>
        <v>#NAME?</v>
      </c>
      <c r="AA80" s="296" t="e">
        <f t="shared" ca="1" si="12"/>
        <v>#NAME?</v>
      </c>
      <c r="AB80" s="296" t="e">
        <f t="shared" ca="1" si="27"/>
        <v>#NAME?</v>
      </c>
      <c r="AD80" s="289" t="e">
        <f t="shared" ca="1" si="13"/>
        <v>#NAME?</v>
      </c>
      <c r="AE80" s="291" t="e">
        <f t="shared" ca="1" si="14"/>
        <v>#NAME?</v>
      </c>
      <c r="AF80" s="290" t="e">
        <f t="shared" ca="1" si="15"/>
        <v>#NAME?</v>
      </c>
      <c r="AG80" s="291" t="e">
        <f t="shared" ca="1" si="16"/>
        <v>#NAME?</v>
      </c>
      <c r="AH80" s="305" t="e">
        <f t="shared" ca="1" si="17"/>
        <v>#NAME?</v>
      </c>
      <c r="AI80" s="306" t="e">
        <f t="shared" ca="1" si="18"/>
        <v>#NAME?</v>
      </c>
    </row>
    <row r="81" spans="1:35">
      <c r="A81" s="85">
        <v>3.7</v>
      </c>
      <c r="B81" s="289" t="e">
        <f t="shared" ca="1" si="19"/>
        <v>#NAME?</v>
      </c>
      <c r="C81" s="290"/>
      <c r="D81" s="290" t="e">
        <f t="shared" ca="1" si="20"/>
        <v>#NAME?</v>
      </c>
      <c r="E81" s="290" t="e">
        <f t="shared" ca="1" si="20"/>
        <v>#NAME?</v>
      </c>
      <c r="F81" s="291" t="e">
        <f t="shared" ca="1" si="20"/>
        <v>#NAME?</v>
      </c>
      <c r="G81" s="289" t="e">
        <f t="shared" ca="1" si="20"/>
        <v>#NAME?</v>
      </c>
      <c r="H81" s="290" t="e">
        <f t="shared" ca="1" si="21"/>
        <v>#NAME?</v>
      </c>
      <c r="I81" s="290" t="e">
        <f t="shared" ca="1" si="22"/>
        <v>#NAME?</v>
      </c>
      <c r="J81" s="291" t="e">
        <f t="shared" ca="1" si="22"/>
        <v>#NAME?</v>
      </c>
      <c r="K81" s="284"/>
      <c r="L81" s="290" t="e">
        <f t="shared" ca="1" si="23"/>
        <v>#NAME?</v>
      </c>
      <c r="M81" s="278"/>
      <c r="N81" s="279"/>
      <c r="O81" s="277"/>
      <c r="P81" s="290" t="e">
        <f t="shared" ca="1" si="24"/>
        <v>#NAME?</v>
      </c>
      <c r="Q81" s="278"/>
      <c r="R81" s="279"/>
      <c r="S81" s="277"/>
      <c r="T81" s="290" t="e">
        <f t="shared" ca="1" si="25"/>
        <v>#NAME?</v>
      </c>
      <c r="U81" s="278"/>
      <c r="V81" s="279"/>
      <c r="W81" s="296" t="e">
        <f t="shared" ca="1" si="26"/>
        <v>#NAME?</v>
      </c>
      <c r="Y81" s="296" t="e">
        <f t="shared" ca="1" si="10"/>
        <v>#NAME?</v>
      </c>
      <c r="Z81" s="289" t="e">
        <f t="shared" ca="1" si="11"/>
        <v>#NAME?</v>
      </c>
      <c r="AA81" s="296" t="e">
        <f t="shared" ca="1" si="12"/>
        <v>#NAME?</v>
      </c>
      <c r="AB81" s="296" t="e">
        <f t="shared" ca="1" si="27"/>
        <v>#NAME?</v>
      </c>
      <c r="AD81" s="289" t="e">
        <f t="shared" ca="1" si="13"/>
        <v>#NAME?</v>
      </c>
      <c r="AE81" s="291" t="e">
        <f t="shared" ca="1" si="14"/>
        <v>#NAME?</v>
      </c>
      <c r="AF81" s="290" t="e">
        <f t="shared" ca="1" si="15"/>
        <v>#NAME?</v>
      </c>
      <c r="AG81" s="291" t="e">
        <f t="shared" ca="1" si="16"/>
        <v>#NAME?</v>
      </c>
      <c r="AH81" s="305" t="e">
        <f t="shared" ca="1" si="17"/>
        <v>#NAME?</v>
      </c>
      <c r="AI81" s="306" t="e">
        <f t="shared" ca="1" si="18"/>
        <v>#NAME?</v>
      </c>
    </row>
    <row r="82" spans="1:35">
      <c r="A82" s="85">
        <v>3.9</v>
      </c>
      <c r="B82" s="289" t="e">
        <f t="shared" ca="1" si="19"/>
        <v>#NAME?</v>
      </c>
      <c r="C82" s="290"/>
      <c r="D82" s="290" t="e">
        <f t="shared" ca="1" si="20"/>
        <v>#NAME?</v>
      </c>
      <c r="E82" s="290" t="e">
        <f t="shared" ca="1" si="20"/>
        <v>#NAME?</v>
      </c>
      <c r="F82" s="291" t="e">
        <f t="shared" ca="1" si="20"/>
        <v>#NAME?</v>
      </c>
      <c r="G82" s="289" t="e">
        <f t="shared" ca="1" si="20"/>
        <v>#NAME?</v>
      </c>
      <c r="H82" s="290" t="e">
        <f t="shared" ca="1" si="21"/>
        <v>#NAME?</v>
      </c>
      <c r="I82" s="290" t="e">
        <f t="shared" ca="1" si="22"/>
        <v>#NAME?</v>
      </c>
      <c r="J82" s="291" t="e">
        <f t="shared" ca="1" si="22"/>
        <v>#NAME?</v>
      </c>
      <c r="K82" s="284"/>
      <c r="L82" s="290" t="e">
        <f t="shared" ca="1" si="23"/>
        <v>#NAME?</v>
      </c>
      <c r="M82" s="278"/>
      <c r="N82" s="279"/>
      <c r="O82" s="277"/>
      <c r="P82" s="290" t="e">
        <f t="shared" ca="1" si="24"/>
        <v>#NAME?</v>
      </c>
      <c r="Q82" s="278"/>
      <c r="R82" s="279"/>
      <c r="S82" s="277"/>
      <c r="T82" s="290" t="e">
        <f t="shared" ca="1" si="25"/>
        <v>#NAME?</v>
      </c>
      <c r="U82" s="278"/>
      <c r="V82" s="279"/>
      <c r="W82" s="296" t="e">
        <f t="shared" ca="1" si="26"/>
        <v>#NAME?</v>
      </c>
      <c r="Y82" s="296" t="e">
        <f t="shared" ca="1" si="10"/>
        <v>#NAME?</v>
      </c>
      <c r="Z82" s="289" t="e">
        <f t="shared" ca="1" si="11"/>
        <v>#NAME?</v>
      </c>
      <c r="AA82" s="296" t="e">
        <f t="shared" ca="1" si="12"/>
        <v>#NAME?</v>
      </c>
      <c r="AB82" s="296" t="e">
        <f t="shared" ca="1" si="27"/>
        <v>#NAME?</v>
      </c>
      <c r="AD82" s="289" t="e">
        <f t="shared" ca="1" si="13"/>
        <v>#NAME?</v>
      </c>
      <c r="AE82" s="291" t="e">
        <f t="shared" ca="1" si="14"/>
        <v>#NAME?</v>
      </c>
      <c r="AF82" s="290" t="e">
        <f t="shared" ca="1" si="15"/>
        <v>#NAME?</v>
      </c>
      <c r="AG82" s="291" t="e">
        <f t="shared" ca="1" si="16"/>
        <v>#NAME?</v>
      </c>
      <c r="AH82" s="305" t="e">
        <f t="shared" ca="1" si="17"/>
        <v>#NAME?</v>
      </c>
      <c r="AI82" s="306" t="e">
        <f t="shared" ca="1" si="18"/>
        <v>#NAME?</v>
      </c>
    </row>
    <row r="83" spans="1:35">
      <c r="A83" s="85">
        <v>4.0999999999999996</v>
      </c>
      <c r="B83" s="289" t="e">
        <f t="shared" ca="1" si="19"/>
        <v>#NAME?</v>
      </c>
      <c r="C83" s="290"/>
      <c r="D83" s="290" t="e">
        <f t="shared" ca="1" si="20"/>
        <v>#NAME?</v>
      </c>
      <c r="E83" s="290" t="e">
        <f t="shared" ca="1" si="20"/>
        <v>#NAME?</v>
      </c>
      <c r="F83" s="291" t="e">
        <f t="shared" ca="1" si="20"/>
        <v>#NAME?</v>
      </c>
      <c r="G83" s="289" t="e">
        <f t="shared" ca="1" si="20"/>
        <v>#NAME?</v>
      </c>
      <c r="H83" s="290" t="e">
        <f t="shared" ca="1" si="21"/>
        <v>#NAME?</v>
      </c>
      <c r="I83" s="290" t="e">
        <f t="shared" ca="1" si="22"/>
        <v>#NAME?</v>
      </c>
      <c r="J83" s="291" t="e">
        <f t="shared" ca="1" si="22"/>
        <v>#NAME?</v>
      </c>
      <c r="K83" s="284"/>
      <c r="L83" s="290" t="e">
        <f t="shared" ca="1" si="23"/>
        <v>#NAME?</v>
      </c>
      <c r="M83" s="278"/>
      <c r="N83" s="279"/>
      <c r="O83" s="277"/>
      <c r="P83" s="290" t="e">
        <f t="shared" ca="1" si="24"/>
        <v>#NAME?</v>
      </c>
      <c r="Q83" s="278"/>
      <c r="R83" s="279"/>
      <c r="S83" s="277"/>
      <c r="T83" s="290" t="e">
        <f t="shared" ca="1" si="25"/>
        <v>#NAME?</v>
      </c>
      <c r="U83" s="278"/>
      <c r="V83" s="279"/>
      <c r="W83" s="296" t="e">
        <f t="shared" ca="1" si="26"/>
        <v>#NAME?</v>
      </c>
      <c r="Y83" s="296" t="e">
        <f t="shared" ca="1" si="10"/>
        <v>#NAME?</v>
      </c>
      <c r="Z83" s="289" t="e">
        <f t="shared" ca="1" si="11"/>
        <v>#NAME?</v>
      </c>
      <c r="AA83" s="296" t="e">
        <f t="shared" ca="1" si="12"/>
        <v>#NAME?</v>
      </c>
      <c r="AB83" s="296" t="e">
        <f t="shared" ca="1" si="27"/>
        <v>#NAME?</v>
      </c>
      <c r="AD83" s="289" t="e">
        <f t="shared" ca="1" si="13"/>
        <v>#NAME?</v>
      </c>
      <c r="AE83" s="291" t="e">
        <f t="shared" ca="1" si="14"/>
        <v>#NAME?</v>
      </c>
      <c r="AF83" s="290" t="e">
        <f t="shared" ca="1" si="15"/>
        <v>#NAME?</v>
      </c>
      <c r="AG83" s="291" t="e">
        <f t="shared" ca="1" si="16"/>
        <v>#NAME?</v>
      </c>
      <c r="AH83" s="305" t="e">
        <f t="shared" ca="1" si="17"/>
        <v>#NAME?</v>
      </c>
      <c r="AI83" s="306" t="e">
        <f t="shared" ca="1" si="18"/>
        <v>#NAME?</v>
      </c>
    </row>
    <row r="84" spans="1:35">
      <c r="A84" s="85">
        <v>4.3</v>
      </c>
      <c r="B84" s="289" t="e">
        <f t="shared" ca="1" si="19"/>
        <v>#NAME?</v>
      </c>
      <c r="C84" s="290"/>
      <c r="D84" s="290" t="e">
        <f t="shared" ca="1" si="20"/>
        <v>#NAME?</v>
      </c>
      <c r="E84" s="290" t="e">
        <f t="shared" ca="1" si="20"/>
        <v>#NAME?</v>
      </c>
      <c r="F84" s="291" t="e">
        <f t="shared" ca="1" si="20"/>
        <v>#NAME?</v>
      </c>
      <c r="G84" s="289" t="e">
        <f t="shared" ca="1" si="20"/>
        <v>#NAME?</v>
      </c>
      <c r="H84" s="290" t="e">
        <f t="shared" ca="1" si="21"/>
        <v>#NAME?</v>
      </c>
      <c r="I84" s="290" t="e">
        <f t="shared" ca="1" si="22"/>
        <v>#NAME?</v>
      </c>
      <c r="J84" s="291" t="e">
        <f t="shared" ca="1" si="22"/>
        <v>#NAME?</v>
      </c>
      <c r="K84" s="284"/>
      <c r="L84" s="290" t="e">
        <f t="shared" ca="1" si="23"/>
        <v>#NAME?</v>
      </c>
      <c r="M84" s="278"/>
      <c r="N84" s="279"/>
      <c r="O84" s="277"/>
      <c r="P84" s="290" t="e">
        <f t="shared" ca="1" si="24"/>
        <v>#NAME?</v>
      </c>
      <c r="Q84" s="278"/>
      <c r="R84" s="279"/>
      <c r="S84" s="277"/>
      <c r="T84" s="290" t="e">
        <f t="shared" ca="1" si="25"/>
        <v>#NAME?</v>
      </c>
      <c r="U84" s="278"/>
      <c r="V84" s="279"/>
      <c r="W84" s="296" t="e">
        <f t="shared" ca="1" si="26"/>
        <v>#NAME?</v>
      </c>
      <c r="Y84" s="296" t="e">
        <f t="shared" ca="1" si="10"/>
        <v>#NAME?</v>
      </c>
      <c r="Z84" s="289" t="e">
        <f t="shared" ca="1" si="11"/>
        <v>#NAME?</v>
      </c>
      <c r="AA84" s="296" t="e">
        <f t="shared" ca="1" si="12"/>
        <v>#NAME?</v>
      </c>
      <c r="AB84" s="296" t="e">
        <f t="shared" ca="1" si="27"/>
        <v>#NAME?</v>
      </c>
      <c r="AD84" s="289" t="e">
        <f t="shared" ca="1" si="13"/>
        <v>#NAME?</v>
      </c>
      <c r="AE84" s="291" t="e">
        <f t="shared" ca="1" si="14"/>
        <v>#NAME?</v>
      </c>
      <c r="AF84" s="290" t="e">
        <f t="shared" ca="1" si="15"/>
        <v>#NAME?</v>
      </c>
      <c r="AG84" s="291" t="e">
        <f t="shared" ca="1" si="16"/>
        <v>#NAME?</v>
      </c>
      <c r="AH84" s="305" t="e">
        <f t="shared" ca="1" si="17"/>
        <v>#NAME?</v>
      </c>
      <c r="AI84" s="306" t="e">
        <f t="shared" ca="1" si="18"/>
        <v>#NAME?</v>
      </c>
    </row>
    <row r="85" spans="1:35">
      <c r="A85" s="85">
        <v>4.5</v>
      </c>
      <c r="B85" s="289" t="e">
        <f t="shared" ca="1" si="19"/>
        <v>#NAME?</v>
      </c>
      <c r="C85" s="290"/>
      <c r="D85" s="290" t="e">
        <f t="shared" ca="1" si="20"/>
        <v>#NAME?</v>
      </c>
      <c r="E85" s="290" t="e">
        <f t="shared" ca="1" si="20"/>
        <v>#NAME?</v>
      </c>
      <c r="F85" s="291" t="e">
        <f t="shared" ca="1" si="20"/>
        <v>#NAME?</v>
      </c>
      <c r="G85" s="289" t="e">
        <f t="shared" ca="1" si="20"/>
        <v>#NAME?</v>
      </c>
      <c r="H85" s="290" t="e">
        <f t="shared" ca="1" si="21"/>
        <v>#NAME?</v>
      </c>
      <c r="I85" s="290" t="e">
        <f t="shared" ca="1" si="22"/>
        <v>#NAME?</v>
      </c>
      <c r="J85" s="291" t="e">
        <f t="shared" ca="1" si="22"/>
        <v>#NAME?</v>
      </c>
      <c r="K85" s="284"/>
      <c r="L85" s="290" t="e">
        <f t="shared" ca="1" si="23"/>
        <v>#NAME?</v>
      </c>
      <c r="M85" s="278"/>
      <c r="N85" s="279"/>
      <c r="O85" s="277"/>
      <c r="P85" s="290" t="e">
        <f ca="1">AK38</f>
        <v>#NAME?</v>
      </c>
      <c r="Q85" s="278"/>
      <c r="R85" s="279"/>
      <c r="S85" s="277"/>
      <c r="T85" s="290" t="e">
        <f t="shared" ca="1" si="25"/>
        <v>#NAME?</v>
      </c>
      <c r="U85" s="278"/>
      <c r="V85" s="279"/>
      <c r="W85" s="296" t="e">
        <f t="shared" ca="1" si="26"/>
        <v>#NAME?</v>
      </c>
      <c r="Y85" s="296" t="e">
        <f t="shared" ca="1" si="10"/>
        <v>#NAME?</v>
      </c>
      <c r="Z85" s="289" t="e">
        <f t="shared" ca="1" si="11"/>
        <v>#NAME?</v>
      </c>
      <c r="AA85" s="296" t="e">
        <f t="shared" ca="1" si="12"/>
        <v>#NAME?</v>
      </c>
      <c r="AB85" s="296" t="e">
        <f t="shared" ca="1" si="27"/>
        <v>#NAME?</v>
      </c>
      <c r="AD85" s="289" t="e">
        <f t="shared" ca="1" si="13"/>
        <v>#NAME?</v>
      </c>
      <c r="AE85" s="291" t="e">
        <f t="shared" ca="1" si="14"/>
        <v>#NAME?</v>
      </c>
      <c r="AF85" s="290" t="e">
        <f t="shared" ca="1" si="15"/>
        <v>#NAME?</v>
      </c>
      <c r="AG85" s="291" t="e">
        <f t="shared" ca="1" si="16"/>
        <v>#NAME?</v>
      </c>
      <c r="AH85" s="305" t="e">
        <f t="shared" ca="1" si="17"/>
        <v>#NAME?</v>
      </c>
      <c r="AI85" s="306" t="e">
        <f t="shared" ca="1" si="18"/>
        <v>#NAME?</v>
      </c>
    </row>
    <row r="86" spans="1:35">
      <c r="A86" s="85">
        <v>4.7</v>
      </c>
      <c r="B86" s="289" t="e">
        <f t="shared" ca="1" si="19"/>
        <v>#NAME?</v>
      </c>
      <c r="C86" s="290"/>
      <c r="D86" s="290" t="e">
        <f t="shared" ca="1" si="20"/>
        <v>#NAME?</v>
      </c>
      <c r="E86" s="290" t="e">
        <f t="shared" ca="1" si="20"/>
        <v>#NAME?</v>
      </c>
      <c r="F86" s="291" t="e">
        <f t="shared" ca="1" si="20"/>
        <v>#NAME?</v>
      </c>
      <c r="G86" s="289" t="e">
        <f t="shared" ca="1" si="20"/>
        <v>#NAME?</v>
      </c>
      <c r="H86" s="290" t="e">
        <f t="shared" ca="1" si="21"/>
        <v>#NAME?</v>
      </c>
      <c r="I86" s="290" t="e">
        <f t="shared" ca="1" si="22"/>
        <v>#NAME?</v>
      </c>
      <c r="J86" s="291" t="e">
        <f t="shared" ca="1" si="22"/>
        <v>#NAME?</v>
      </c>
      <c r="K86" s="284"/>
      <c r="L86" s="290" t="e">
        <f t="shared" ca="1" si="23"/>
        <v>#NAME?</v>
      </c>
      <c r="M86" s="278"/>
      <c r="N86" s="279"/>
      <c r="O86" s="277"/>
      <c r="P86" s="290" t="e">
        <f t="shared" ca="1" si="24"/>
        <v>#NAME?</v>
      </c>
      <c r="Q86" s="278"/>
      <c r="R86" s="279"/>
      <c r="S86" s="277"/>
      <c r="T86" s="290" t="e">
        <f t="shared" ca="1" si="25"/>
        <v>#NAME?</v>
      </c>
      <c r="U86" s="278"/>
      <c r="V86" s="279"/>
      <c r="W86" s="296" t="e">
        <f t="shared" ca="1" si="26"/>
        <v>#NAME?</v>
      </c>
      <c r="Y86" s="296" t="e">
        <f t="shared" ca="1" si="10"/>
        <v>#NAME?</v>
      </c>
      <c r="Z86" s="289" t="e">
        <f t="shared" ca="1" si="11"/>
        <v>#NAME?</v>
      </c>
      <c r="AA86" s="296" t="e">
        <f t="shared" ca="1" si="12"/>
        <v>#NAME?</v>
      </c>
      <c r="AB86" s="296" t="e">
        <f t="shared" ca="1" si="27"/>
        <v>#NAME?</v>
      </c>
      <c r="AD86" s="289" t="e">
        <f t="shared" ca="1" si="13"/>
        <v>#NAME?</v>
      </c>
      <c r="AE86" s="291" t="e">
        <f t="shared" ca="1" si="14"/>
        <v>#NAME?</v>
      </c>
      <c r="AF86" s="290" t="e">
        <f t="shared" ca="1" si="15"/>
        <v>#NAME?</v>
      </c>
      <c r="AG86" s="291" t="e">
        <f t="shared" ca="1" si="16"/>
        <v>#NAME?</v>
      </c>
      <c r="AH86" s="305" t="e">
        <f t="shared" ca="1" si="17"/>
        <v>#NAME?</v>
      </c>
      <c r="AI86" s="306" t="e">
        <f t="shared" ca="1" si="18"/>
        <v>#NAME?</v>
      </c>
    </row>
    <row r="87" spans="1:35">
      <c r="A87" s="88">
        <v>4.9000000000000004</v>
      </c>
      <c r="B87" s="292" t="e">
        <f t="shared" ca="1" si="19"/>
        <v>#NAME?</v>
      </c>
      <c r="C87" s="293"/>
      <c r="D87" s="293" t="e">
        <f t="shared" ca="1" si="20"/>
        <v>#NAME?</v>
      </c>
      <c r="E87" s="293" t="e">
        <f t="shared" ca="1" si="20"/>
        <v>#NAME?</v>
      </c>
      <c r="F87" s="294" t="e">
        <f t="shared" ca="1" si="20"/>
        <v>#NAME?</v>
      </c>
      <c r="G87" s="292" t="e">
        <f t="shared" ca="1" si="20"/>
        <v>#NAME?</v>
      </c>
      <c r="H87" s="293" t="e">
        <f t="shared" ca="1" si="21"/>
        <v>#NAME?</v>
      </c>
      <c r="I87" s="293" t="e">
        <f t="shared" ca="1" si="22"/>
        <v>#NAME?</v>
      </c>
      <c r="J87" s="294" t="e">
        <f t="shared" ca="1" si="22"/>
        <v>#NAME?</v>
      </c>
      <c r="K87" s="285"/>
      <c r="L87" s="293" t="e">
        <f t="shared" ca="1" si="23"/>
        <v>#NAME?</v>
      </c>
      <c r="M87" s="281"/>
      <c r="N87" s="282"/>
      <c r="O87" s="280"/>
      <c r="P87" s="293" t="e">
        <f t="shared" ca="1" si="24"/>
        <v>#NAME?</v>
      </c>
      <c r="Q87" s="281"/>
      <c r="R87" s="282"/>
      <c r="S87" s="280"/>
      <c r="T87" s="293" t="e">
        <f t="shared" ca="1" si="25"/>
        <v>#NAME?</v>
      </c>
      <c r="U87" s="281"/>
      <c r="V87" s="282"/>
      <c r="W87" s="297" t="e">
        <f t="shared" ca="1" si="26"/>
        <v>#NAME?</v>
      </c>
      <c r="Y87" s="297" t="e">
        <f t="shared" ca="1" si="10"/>
        <v>#NAME?</v>
      </c>
      <c r="Z87" s="292" t="e">
        <f t="shared" ca="1" si="11"/>
        <v>#NAME?</v>
      </c>
      <c r="AA87" s="297" t="e">
        <f t="shared" ca="1" si="12"/>
        <v>#NAME?</v>
      </c>
      <c r="AB87" s="297" t="e">
        <f t="shared" ca="1" si="27"/>
        <v>#NAME?</v>
      </c>
      <c r="AD87" s="292" t="e">
        <f t="shared" ca="1" si="13"/>
        <v>#NAME?</v>
      </c>
      <c r="AE87" s="294" t="e">
        <f t="shared" ca="1" si="14"/>
        <v>#NAME?</v>
      </c>
      <c r="AF87" s="293" t="e">
        <f t="shared" ca="1" si="15"/>
        <v>#NAME?</v>
      </c>
      <c r="AG87" s="294" t="e">
        <f t="shared" ca="1" si="16"/>
        <v>#NAME?</v>
      </c>
      <c r="AH87" s="307" t="e">
        <f t="shared" ca="1" si="17"/>
        <v>#NAME?</v>
      </c>
      <c r="AI87" s="308" t="e">
        <f t="shared" ca="1" si="18"/>
        <v>#NAME?</v>
      </c>
    </row>
    <row r="88" spans="1:35">
      <c r="P88" s="295"/>
      <c r="T88" s="295"/>
    </row>
    <row r="92" spans="1:35">
      <c r="AC92" s="184" t="s">
        <v>657</v>
      </c>
    </row>
    <row r="93" spans="1:35">
      <c r="AC93" s="204" t="s">
        <v>207</v>
      </c>
    </row>
    <row r="94" spans="1:35">
      <c r="AC94" s="110" t="e">
        <f t="shared" ref="AC94:AC127" ca="1" si="28">AW7</f>
        <v>#NAME?</v>
      </c>
    </row>
    <row r="95" spans="1:35">
      <c r="AC95" s="296" t="e">
        <f t="shared" ca="1" si="28"/>
        <v>#NAME?</v>
      </c>
    </row>
    <row r="96" spans="1:35">
      <c r="AC96" s="296" t="e">
        <f t="shared" ca="1" si="28"/>
        <v>#NAME?</v>
      </c>
    </row>
    <row r="97" spans="29:29">
      <c r="AC97" s="296" t="e">
        <f t="shared" ca="1" si="28"/>
        <v>#NAME?</v>
      </c>
    </row>
    <row r="98" spans="29:29">
      <c r="AC98" s="296" t="e">
        <f t="shared" ca="1" si="28"/>
        <v>#NAME?</v>
      </c>
    </row>
    <row r="99" spans="29:29">
      <c r="AC99" s="296" t="e">
        <f t="shared" ca="1" si="28"/>
        <v>#NAME?</v>
      </c>
    </row>
    <row r="100" spans="29:29">
      <c r="AC100" s="296" t="e">
        <f t="shared" ca="1" si="28"/>
        <v>#NAME?</v>
      </c>
    </row>
    <row r="101" spans="29:29">
      <c r="AC101" s="296" t="e">
        <f t="shared" ca="1" si="28"/>
        <v>#NAME?</v>
      </c>
    </row>
    <row r="102" spans="29:29">
      <c r="AC102" s="296" t="e">
        <f t="shared" ca="1" si="28"/>
        <v>#NAME?</v>
      </c>
    </row>
    <row r="103" spans="29:29">
      <c r="AC103" s="296" t="e">
        <f t="shared" ca="1" si="28"/>
        <v>#NAME?</v>
      </c>
    </row>
    <row r="104" spans="29:29">
      <c r="AC104" s="296" t="e">
        <f t="shared" ca="1" si="28"/>
        <v>#NAME?</v>
      </c>
    </row>
    <row r="105" spans="29:29">
      <c r="AC105" s="296" t="e">
        <f t="shared" ca="1" si="28"/>
        <v>#NAME?</v>
      </c>
    </row>
    <row r="106" spans="29:29">
      <c r="AC106" s="296" t="e">
        <f t="shared" ca="1" si="28"/>
        <v>#NAME?</v>
      </c>
    </row>
    <row r="107" spans="29:29">
      <c r="AC107" s="296" t="e">
        <f t="shared" ca="1" si="28"/>
        <v>#NAME?</v>
      </c>
    </row>
    <row r="108" spans="29:29">
      <c r="AC108" s="296" t="e">
        <f t="shared" ca="1" si="28"/>
        <v>#NAME?</v>
      </c>
    </row>
    <row r="109" spans="29:29">
      <c r="AC109" s="296" t="e">
        <f t="shared" ca="1" si="28"/>
        <v>#NAME?</v>
      </c>
    </row>
    <row r="110" spans="29:29">
      <c r="AC110" s="296" t="e">
        <f t="shared" ca="1" si="28"/>
        <v>#NAME?</v>
      </c>
    </row>
    <row r="111" spans="29:29">
      <c r="AC111" s="296" t="e">
        <f t="shared" ca="1" si="28"/>
        <v>#NAME?</v>
      </c>
    </row>
    <row r="112" spans="29:29">
      <c r="AC112" s="296" t="e">
        <f t="shared" ca="1" si="28"/>
        <v>#NAME?</v>
      </c>
    </row>
    <row r="113" spans="29:29">
      <c r="AC113" s="296" t="e">
        <f t="shared" ca="1" si="28"/>
        <v>#NAME?</v>
      </c>
    </row>
    <row r="114" spans="29:29">
      <c r="AC114" s="296" t="e">
        <f t="shared" ca="1" si="28"/>
        <v>#NAME?</v>
      </c>
    </row>
    <row r="115" spans="29:29">
      <c r="AC115" s="296" t="e">
        <f t="shared" ca="1" si="28"/>
        <v>#NAME?</v>
      </c>
    </row>
    <row r="116" spans="29:29">
      <c r="AC116" s="296" t="e">
        <f t="shared" ca="1" si="28"/>
        <v>#NAME?</v>
      </c>
    </row>
    <row r="117" spans="29:29">
      <c r="AC117" s="296" t="e">
        <f t="shared" ca="1" si="28"/>
        <v>#NAME?</v>
      </c>
    </row>
    <row r="118" spans="29:29">
      <c r="AC118" s="296" t="e">
        <f t="shared" ca="1" si="28"/>
        <v>#NAME?</v>
      </c>
    </row>
    <row r="119" spans="29:29">
      <c r="AC119" s="296" t="e">
        <f t="shared" ca="1" si="28"/>
        <v>#NAME?</v>
      </c>
    </row>
    <row r="120" spans="29:29">
      <c r="AC120" s="296" t="e">
        <f t="shared" ca="1" si="28"/>
        <v>#NAME?</v>
      </c>
    </row>
    <row r="121" spans="29:29">
      <c r="AC121" s="296" t="e">
        <f t="shared" ca="1" si="28"/>
        <v>#NAME?</v>
      </c>
    </row>
    <row r="122" spans="29:29">
      <c r="AC122" s="296" t="e">
        <f t="shared" ca="1" si="28"/>
        <v>#NAME?</v>
      </c>
    </row>
    <row r="123" spans="29:29">
      <c r="AC123" s="296" t="e">
        <f t="shared" ca="1" si="28"/>
        <v>#NAME?</v>
      </c>
    </row>
    <row r="124" spans="29:29">
      <c r="AC124" s="296" t="e">
        <f t="shared" ca="1" si="28"/>
        <v>#NAME?</v>
      </c>
    </row>
    <row r="125" spans="29:29">
      <c r="AC125" s="296" t="e">
        <f t="shared" ca="1" si="28"/>
        <v>#NAME?</v>
      </c>
    </row>
    <row r="126" spans="29:29">
      <c r="AC126" s="296" t="e">
        <f t="shared" ca="1" si="28"/>
        <v>#NAME?</v>
      </c>
    </row>
    <row r="127" spans="29:29">
      <c r="AC127" s="297" t="e">
        <f t="shared" ca="1" si="28"/>
        <v>#NAME?</v>
      </c>
    </row>
  </sheetData>
  <mergeCells count="14">
    <mergeCell ref="B52:F52"/>
    <mergeCell ref="K52:N52"/>
    <mergeCell ref="O52:R52"/>
    <mergeCell ref="S52:V52"/>
    <mergeCell ref="AJ5:AM5"/>
    <mergeCell ref="AN5:AQ5"/>
    <mergeCell ref="AR5:AU5"/>
    <mergeCell ref="AJ42:AM42"/>
    <mergeCell ref="AF5:AI5"/>
    <mergeCell ref="B5:F5"/>
    <mergeCell ref="X5:AA5"/>
    <mergeCell ref="AB5:AE5"/>
    <mergeCell ref="K5:N5"/>
    <mergeCell ref="O5:S5"/>
  </mergeCells>
  <pageMargins left="0.78740157499999996" right="0.78740157499999996" top="0.984251969" bottom="0.984251969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 enableFormatConditionsCalculation="0"/>
  <dimension ref="A1:AF167"/>
  <sheetViews>
    <sheetView zoomScale="66" zoomScaleNormal="66" zoomScalePageLayoutView="66" workbookViewId="0">
      <selection activeCell="H18" sqref="H18"/>
    </sheetView>
  </sheetViews>
  <sheetFormatPr baseColWidth="10" defaultRowHeight="13" x14ac:dyDescent="0"/>
  <cols>
    <col min="1" max="1" width="18.7109375" bestFit="1" customWidth="1"/>
    <col min="9" max="11" width="12" bestFit="1" customWidth="1"/>
    <col min="19" max="19" width="15.7109375" customWidth="1"/>
  </cols>
  <sheetData>
    <row r="1" spans="1:32">
      <c r="A1" s="76" t="s">
        <v>259</v>
      </c>
      <c r="J1" t="s">
        <v>616</v>
      </c>
      <c r="T1" s="148" t="s">
        <v>617</v>
      </c>
      <c r="U1" s="148" t="s">
        <v>616</v>
      </c>
      <c r="AE1" t="s">
        <v>618</v>
      </c>
      <c r="AF1" t="s">
        <v>619</v>
      </c>
    </row>
    <row r="2" spans="1:32">
      <c r="A2" s="102" t="s">
        <v>258</v>
      </c>
      <c r="B2" s="81">
        <v>0</v>
      </c>
      <c r="C2" s="83">
        <v>0</v>
      </c>
      <c r="D2" s="83">
        <v>0</v>
      </c>
      <c r="F2" s="83">
        <v>0.4</v>
      </c>
      <c r="G2" s="83">
        <v>0.4</v>
      </c>
      <c r="H2" s="84">
        <v>0.4</v>
      </c>
      <c r="I2" s="83">
        <v>0</v>
      </c>
      <c r="J2" s="149">
        <f>Géométrie!B8</f>
        <v>0.27493252591026274</v>
      </c>
      <c r="L2" s="81">
        <v>0</v>
      </c>
      <c r="M2" s="83">
        <v>0</v>
      </c>
      <c r="N2" s="83">
        <v>0</v>
      </c>
      <c r="O2" s="83"/>
      <c r="P2" s="83">
        <v>0.4</v>
      </c>
      <c r="Q2" s="83">
        <v>0.4</v>
      </c>
      <c r="R2" s="84">
        <v>0.4</v>
      </c>
      <c r="S2" s="84">
        <v>0</v>
      </c>
      <c r="T2" s="150">
        <f>0</f>
        <v>0</v>
      </c>
      <c r="U2" s="150">
        <f>J2</f>
        <v>0.27493252591026274</v>
      </c>
      <c r="W2" s="81">
        <v>0</v>
      </c>
      <c r="X2" s="83">
        <v>0</v>
      </c>
      <c r="Y2" s="83">
        <v>0</v>
      </c>
      <c r="Z2" s="83"/>
      <c r="AA2" s="83">
        <v>0.4</v>
      </c>
      <c r="AB2" s="83">
        <v>0.4</v>
      </c>
      <c r="AC2" s="84">
        <v>0.4</v>
      </c>
      <c r="AD2" s="73">
        <v>0</v>
      </c>
      <c r="AE2" s="148">
        <f>J2</f>
        <v>0.27493252591026274</v>
      </c>
      <c r="AF2" s="150">
        <v>0</v>
      </c>
    </row>
    <row r="3" spans="1:32">
      <c r="A3" s="102" t="s">
        <v>205</v>
      </c>
      <c r="B3" s="85">
        <v>10</v>
      </c>
      <c r="C3" s="39">
        <v>15</v>
      </c>
      <c r="D3" s="39">
        <f>Géométrie!B4</f>
        <v>14.9</v>
      </c>
      <c r="F3" s="39">
        <v>10</v>
      </c>
      <c r="G3" s="39">
        <v>15</v>
      </c>
      <c r="H3" s="87">
        <f>D3</f>
        <v>14.9</v>
      </c>
      <c r="I3" s="39">
        <f>Géométrie!B4</f>
        <v>14.9</v>
      </c>
      <c r="J3" s="151">
        <f>I3</f>
        <v>14.9</v>
      </c>
      <c r="L3" s="85">
        <v>10</v>
      </c>
      <c r="M3" s="39">
        <v>15</v>
      </c>
      <c r="N3" s="39">
        <f>Géométrie!B4</f>
        <v>14.9</v>
      </c>
      <c r="O3" s="39"/>
      <c r="P3" s="39">
        <v>10</v>
      </c>
      <c r="Q3" s="39">
        <v>15</v>
      </c>
      <c r="R3" s="87">
        <f>N3</f>
        <v>14.9</v>
      </c>
      <c r="S3" s="87">
        <f>R3</f>
        <v>14.9</v>
      </c>
      <c r="T3" s="150">
        <f>Géométrie!I96</f>
        <v>0</v>
      </c>
      <c r="U3" s="150">
        <f>J3</f>
        <v>14.9</v>
      </c>
      <c r="W3" s="85">
        <v>10</v>
      </c>
      <c r="X3" s="39">
        <v>15</v>
      </c>
      <c r="Y3" s="39">
        <f>Géométrie!B4</f>
        <v>14.9</v>
      </c>
      <c r="Z3" s="39"/>
      <c r="AA3" s="39">
        <v>10</v>
      </c>
      <c r="AB3" s="39">
        <v>15</v>
      </c>
      <c r="AC3" s="87">
        <f>Géométrie!B4</f>
        <v>14.9</v>
      </c>
      <c r="AD3">
        <f>AC3</f>
        <v>14.9</v>
      </c>
      <c r="AE3" s="148">
        <f>AD3</f>
        <v>14.9</v>
      </c>
      <c r="AF3" s="229">
        <f>Géométrie!B113</f>
        <v>2.6995295048196954</v>
      </c>
    </row>
    <row r="4" spans="1:32">
      <c r="A4" s="152" t="s">
        <v>214</v>
      </c>
      <c r="B4" s="88" t="s">
        <v>207</v>
      </c>
      <c r="C4" s="90" t="s">
        <v>207</v>
      </c>
      <c r="D4" s="90" t="s">
        <v>207</v>
      </c>
      <c r="F4" s="90" t="s">
        <v>207</v>
      </c>
      <c r="G4" s="90" t="s">
        <v>207</v>
      </c>
      <c r="H4" s="91" t="s">
        <v>207</v>
      </c>
      <c r="I4" s="90" t="s">
        <v>207</v>
      </c>
      <c r="J4" s="151" t="s">
        <v>207</v>
      </c>
      <c r="L4" s="88" t="s">
        <v>208</v>
      </c>
      <c r="M4" s="90" t="s">
        <v>208</v>
      </c>
      <c r="N4" s="90" t="s">
        <v>208</v>
      </c>
      <c r="O4" s="90"/>
      <c r="P4" s="90" t="s">
        <v>208</v>
      </c>
      <c r="Q4" s="90" t="s">
        <v>208</v>
      </c>
      <c r="R4" s="91" t="s">
        <v>208</v>
      </c>
      <c r="S4" s="91" t="s">
        <v>208</v>
      </c>
      <c r="T4" s="150" t="s">
        <v>208</v>
      </c>
      <c r="U4" s="150" t="s">
        <v>208</v>
      </c>
      <c r="W4" s="88" t="s">
        <v>243</v>
      </c>
      <c r="X4" s="90" t="s">
        <v>243</v>
      </c>
      <c r="Y4" s="90" t="s">
        <v>243</v>
      </c>
      <c r="Z4" s="90"/>
      <c r="AA4" s="90" t="s">
        <v>243</v>
      </c>
      <c r="AB4" s="90" t="s">
        <v>243</v>
      </c>
      <c r="AC4" s="91" t="s">
        <v>243</v>
      </c>
      <c r="AD4" s="73" t="s">
        <v>243</v>
      </c>
      <c r="AE4" s="150" t="s">
        <v>243</v>
      </c>
      <c r="AF4" s="150" t="s">
        <v>243</v>
      </c>
    </row>
    <row r="5" spans="1:32">
      <c r="A5" s="110">
        <v>0.5</v>
      </c>
      <c r="B5" s="85">
        <v>2.6799164E-2</v>
      </c>
      <c r="C5" s="39" t="e">
        <f ca="1">[3]!interpol(A5,[5]CA_CON15_D0!$A$1:$A$21,[5]CA_CON15_D0!$B$1:$B$21)</f>
        <v>#NAME?</v>
      </c>
      <c r="D5" s="39" t="e">
        <f ca="1">[3]!interpol(D$3,B$3:C$3,B5:C5)</f>
        <v>#NAME?</v>
      </c>
      <c r="F5" s="39" t="e">
        <f ca="1">[3]!interpol(A5,[5]CA_CON10_D4!$A$1:$A$20,[5]CA_CON10_D4!$B$1:$B$20)</f>
        <v>#NAME?</v>
      </c>
      <c r="G5" s="39" t="e">
        <f ca="1">[3]!interpol(A5,[5]CA_CON15_D4!$A$1:$A$20,[5]CA_CON15_D4!$B$1:$B$20)</f>
        <v>#NAME?</v>
      </c>
      <c r="H5" s="87" t="e">
        <f ca="1">[3]!interpol(H$3,F$3:G$3,F5:G5)</f>
        <v>#NAME?</v>
      </c>
      <c r="I5" s="39" t="e">
        <f ca="1">D5</f>
        <v>#NAME?</v>
      </c>
      <c r="J5" s="110" t="e">
        <f ca="1">[3]!interpol(J$2,H$2:I$2,H5:I5)</f>
        <v>#NAME?</v>
      </c>
      <c r="L5" s="85" t="e">
        <f ca="1">[3]!interpol(A5,[5]CN_CON10_D0!$A$1:$A$21,[5]CN_CON10_D0!$B$1:$B$21)</f>
        <v>#NAME?</v>
      </c>
      <c r="M5" s="39" t="e">
        <f ca="1">[3]!interpol(A5,[5]CN_CON15_D0!$A$1:$A$21,[5]CN_CON15_D0!$B$1:$B$21)</f>
        <v>#NAME?</v>
      </c>
      <c r="N5" s="39" t="e">
        <f ca="1">[3]!interpol(N$3,L$3:M$3,L5:M5)</f>
        <v>#NAME?</v>
      </c>
      <c r="O5" s="39"/>
      <c r="P5" s="39" t="e">
        <f ca="1">[3]!interpol(A5,[5]CN_CON10_D4!$A$1:$A$20,[5]CN_CON10_D4!$B$1:$B$20)</f>
        <v>#NAME?</v>
      </c>
      <c r="Q5" s="39" t="e">
        <f ca="1">[3]!interpol(A5,[5]CN_CON15_D4!$A$1:$A$20,[5]CN_CON15_D4!$B$1:$B$20)</f>
        <v>#NAME?</v>
      </c>
      <c r="R5" s="87" t="e">
        <f ca="1">[3]!interpol(R$3,P$3:Q$3,P5:Q5)</f>
        <v>#NAME?</v>
      </c>
      <c r="S5" s="87" t="e">
        <f ca="1">N5</f>
        <v>#NAME?</v>
      </c>
      <c r="T5" s="39" t="e">
        <f ca="1">[3]!interpol(T$2,R$2:S$2,R5:S5)</f>
        <v>#NAME?</v>
      </c>
      <c r="U5" s="39" t="e">
        <f ca="1">[3]!interpol(U$2,R$2:S$2,R5:S5)</f>
        <v>#NAME?</v>
      </c>
      <c r="W5" s="85" t="e">
        <f ca="1">[3]!interpol($A5,[5]XCP_CON10_D0!$A$1:$A$26,[5]XCP_CON10_D0!$B$1:$B$26)</f>
        <v>#NAME?</v>
      </c>
      <c r="X5" s="39" t="e">
        <f ca="1">[3]!interpol($A5,[5]XCP_CON15_D0!$A$1:$A$26,[5]XCP_CON15_D0!$B$1:$B$26)</f>
        <v>#NAME?</v>
      </c>
      <c r="Y5" s="39" t="e">
        <f ca="1">(X5-W5)/(X$3-W$3)*(Y$3-W$3)+W5</f>
        <v>#NAME?</v>
      </c>
      <c r="Z5" s="39"/>
      <c r="AA5" s="39" t="e">
        <f ca="1">[3]!interpol($A5,[5]XCP_CON10_D4!$A$1:$A$26,[5]XCP_CON10_D4!$B$1:$B$26)</f>
        <v>#NAME?</v>
      </c>
      <c r="AB5" s="39" t="e">
        <f ca="1">[3]!interpol($A5,[5]XCP_CON15_D4!$A$1:$A$26,[5]XCP_CON15_D4!$B$1:$B$26)</f>
        <v>#NAME?</v>
      </c>
      <c r="AC5" s="87" t="e">
        <f ca="1">(AB5-AA5)/(AB$3-AA$3)*(AC$3-AA$3)+AA5</f>
        <v>#NAME?</v>
      </c>
      <c r="AD5" t="e">
        <f ca="1">Y5</f>
        <v>#NAME?</v>
      </c>
      <c r="AE5" t="e">
        <f ca="1">(AC5-AD5)/(AC$2-AD$2)*(AE$2-AD$2)+AD5</f>
        <v>#NAME?</v>
      </c>
      <c r="AF5" t="e">
        <f ca="1">(X5-W5)/(X$3-W$3)*(AF$3-W$3)+W5</f>
        <v>#NAME?</v>
      </c>
    </row>
    <row r="6" spans="1:32">
      <c r="A6" s="110">
        <v>0.6</v>
      </c>
      <c r="B6" s="85">
        <v>3.3620049999999999E-2</v>
      </c>
      <c r="C6" s="39" t="e">
        <f ca="1">[3]!interpol(A6,[5]CA_CON15_D0!$A$1:$A$21,[5]CA_CON15_D0!$B$1:$B$21)</f>
        <v>#NAME?</v>
      </c>
      <c r="D6" s="39" t="e">
        <f ca="1">[3]!interpol(D$3,B$3:C$3,B6:C6)</f>
        <v>#NAME?</v>
      </c>
      <c r="E6" s="39"/>
      <c r="F6" s="39" t="e">
        <f ca="1">[3]!interpol(A6,[5]CA_CON10_D4!$A$1:$A$20,[5]CA_CON10_D4!$B$1:$B$20)</f>
        <v>#NAME?</v>
      </c>
      <c r="G6" s="39" t="e">
        <f ca="1">[3]!interpol(A6,[5]CA_CON15_D4!$A$1:$A$20,[5]CA_CON15_D4!$B$1:$B$20)</f>
        <v>#NAME?</v>
      </c>
      <c r="H6" s="87" t="e">
        <f ca="1">[3]!interpol(H$3,F$3:G$3,F6:G6)</f>
        <v>#NAME?</v>
      </c>
      <c r="I6" s="39" t="e">
        <f t="shared" ref="I6:I38" ca="1" si="0">D6</f>
        <v>#NAME?</v>
      </c>
      <c r="J6" s="110" t="e">
        <f ca="1">[3]!interpol(J$2,H$2:I$2,H6:I6)</f>
        <v>#NAME?</v>
      </c>
      <c r="L6" s="85" t="e">
        <f ca="1">[3]!interpol(A6,[5]CN_CON10_D0!$A$1:$A$21,[5]CN_CON10_D0!$B$1:$B$21)</f>
        <v>#NAME?</v>
      </c>
      <c r="M6" s="39" t="e">
        <f ca="1">[3]!interpol(A6,[5]CN_CON15_D0!$A$1:$A$21,[5]CN_CON15_D0!$B$1:$B$21)</f>
        <v>#NAME?</v>
      </c>
      <c r="N6" s="39" t="e">
        <f ca="1">[3]!interpol(N$3,L$3:M$3,L6:M6)</f>
        <v>#NAME?</v>
      </c>
      <c r="O6" s="39"/>
      <c r="P6" s="39" t="e">
        <f ca="1">[3]!interpol(A6,[5]CN_CON10_D4!$A$1:$A$20,[5]CN_CON10_D4!$B$1:$B$20)</f>
        <v>#NAME?</v>
      </c>
      <c r="Q6" s="39" t="e">
        <f ca="1">[3]!interpol(A6,[5]CN_CON15_D4!$A$1:$A$20,[5]CN_CON15_D4!$B$1:$B$20)</f>
        <v>#NAME?</v>
      </c>
      <c r="R6" s="87" t="e">
        <f ca="1">[3]!interpol(R$3,P$3:Q$3,P6:Q6)</f>
        <v>#NAME?</v>
      </c>
      <c r="S6" s="87" t="e">
        <f t="shared" ref="S6:S38" ca="1" si="1">N6</f>
        <v>#NAME?</v>
      </c>
      <c r="T6" s="39" t="e">
        <f ca="1">[3]!interpol(T$2,R$2:S$2,R6:S6)</f>
        <v>#NAME?</v>
      </c>
      <c r="U6" s="39" t="e">
        <f ca="1">[3]!interpol(U$2,R$2:S$2,R6:S6)</f>
        <v>#NAME?</v>
      </c>
      <c r="W6" s="85" t="e">
        <f ca="1">[3]!interpol($A6,[5]XCP_CON10_D0!$A$1:$A$26,[5]XCP_CON10_D0!$B$1:$B$26)</f>
        <v>#NAME?</v>
      </c>
      <c r="X6" s="39" t="e">
        <f ca="1">[3]!interpol($A6,[5]XCP_CON15_D0!$A$1:$A$26,[5]XCP_CON15_D0!$B$1:$B$26)</f>
        <v>#NAME?</v>
      </c>
      <c r="Y6" s="39" t="e">
        <f t="shared" ref="Y6:Y38" ca="1" si="2">(X6-W6)/(X$3-W$3)*(Y$3-W$3)+W6</f>
        <v>#NAME?</v>
      </c>
      <c r="Z6" s="39"/>
      <c r="AA6" s="39" t="e">
        <f ca="1">[3]!interpol($A6,[5]XCP_CON10_D4!$A$1:$A$26,[5]XCP_CON10_D4!$B$1:$B$26)</f>
        <v>#NAME?</v>
      </c>
      <c r="AB6" s="39" t="e">
        <f ca="1">[3]!interpol($A6,[5]XCP_CON15_D4!$A$1:$A$26,[5]XCP_CON15_D4!$B$1:$B$26)</f>
        <v>#NAME?</v>
      </c>
      <c r="AC6" s="87" t="e">
        <f t="shared" ref="AC6:AC38" ca="1" si="3">(AB6-AA6)/(AB$3-AA$3)*(AC$3-AA$3)+AA6</f>
        <v>#NAME?</v>
      </c>
      <c r="AD6" t="e">
        <f t="shared" ref="AD6:AD38" ca="1" si="4">Y6</f>
        <v>#NAME?</v>
      </c>
      <c r="AE6" t="e">
        <f t="shared" ref="AE6:AE38" ca="1" si="5">(AC6-AD6)/(AC$2-AD$2)*(AE$2-AD$2)+AD6</f>
        <v>#NAME?</v>
      </c>
      <c r="AF6" t="e">
        <f t="shared" ref="AF6:AF38" ca="1" si="6">(X6-W6)/(X$3-W$3)*(AF$3-W$3)+W6</f>
        <v>#NAME?</v>
      </c>
    </row>
    <row r="7" spans="1:32">
      <c r="A7" s="110">
        <v>0.7</v>
      </c>
      <c r="B7" s="85">
        <v>5.0791761999999997E-2</v>
      </c>
      <c r="C7" s="39" t="e">
        <f ca="1">[3]!interpol(A7,[5]CA_CON15_D0!$A$1:$A$21,[5]CA_CON15_D0!$B$1:$B$21)</f>
        <v>#NAME?</v>
      </c>
      <c r="D7" s="39" t="e">
        <f ca="1">[3]!interpol(D$3,B$3:C$3,B7:C7)</f>
        <v>#NAME?</v>
      </c>
      <c r="E7" s="39"/>
      <c r="F7" s="39" t="e">
        <f ca="1">[3]!interpol(A7,[5]CA_CON10_D4!$A$1:$A$20,[5]CA_CON10_D4!$B$1:$B$20)</f>
        <v>#NAME?</v>
      </c>
      <c r="G7" s="39" t="e">
        <f ca="1">[3]!interpol(A7,[5]CA_CON15_D4!$A$1:$A$20,[5]CA_CON15_D4!$B$1:$B$20)</f>
        <v>#NAME?</v>
      </c>
      <c r="H7" s="87" t="e">
        <f ca="1">[3]!interpol(H$3,F$3:G$3,F7:G7)</f>
        <v>#NAME?</v>
      </c>
      <c r="I7" s="39" t="e">
        <f t="shared" ca="1" si="0"/>
        <v>#NAME?</v>
      </c>
      <c r="J7" s="110" t="e">
        <f ca="1">[3]!interpol(J$2,H$2:I$2,H7:I7)</f>
        <v>#NAME?</v>
      </c>
      <c r="L7" s="85" t="e">
        <f ca="1">[3]!interpol(A7,[5]CN_CON10_D0!$A$1:$A$21,[5]CN_CON10_D0!$B$1:$B$21)</f>
        <v>#NAME?</v>
      </c>
      <c r="M7" s="39" t="e">
        <f ca="1">[3]!interpol(A7,[5]CN_CON15_D0!$A$1:$A$21,[5]CN_CON15_D0!$B$1:$B$21)</f>
        <v>#NAME?</v>
      </c>
      <c r="N7" s="39" t="e">
        <f ca="1">[3]!interpol(N$3,L$3:M$3,L7:M7)</f>
        <v>#NAME?</v>
      </c>
      <c r="O7" s="39"/>
      <c r="P7" s="39" t="e">
        <f ca="1">[3]!interpol(A7,[5]CN_CON10_D4!$A$1:$A$20,[5]CN_CON10_D4!$B$1:$B$20)</f>
        <v>#NAME?</v>
      </c>
      <c r="Q7" s="39" t="e">
        <f ca="1">[3]!interpol(A7,[5]CN_CON15_D4!$A$1:$A$20,[5]CN_CON15_D4!$B$1:$B$20)</f>
        <v>#NAME?</v>
      </c>
      <c r="R7" s="87" t="e">
        <f ca="1">[3]!interpol(R$3,P$3:Q$3,P7:Q7)</f>
        <v>#NAME?</v>
      </c>
      <c r="S7" s="87" t="e">
        <f t="shared" ca="1" si="1"/>
        <v>#NAME?</v>
      </c>
      <c r="T7" s="39" t="e">
        <f ca="1">[3]!interpol(T$2,R$2:S$2,R7:S7)</f>
        <v>#NAME?</v>
      </c>
      <c r="U7" s="39" t="e">
        <f ca="1">[3]!interpol(U$2,R$2:S$2,R7:S7)</f>
        <v>#NAME?</v>
      </c>
      <c r="W7" s="85" t="e">
        <f ca="1">[3]!interpol($A7,[5]XCP_CON10_D0!$A$1:$A$26,[5]XCP_CON10_D0!$B$1:$B$26)</f>
        <v>#NAME?</v>
      </c>
      <c r="X7" s="39" t="e">
        <f ca="1">[3]!interpol($A7,[5]XCP_CON15_D0!$A$1:$A$26,[5]XCP_CON15_D0!$B$1:$B$26)</f>
        <v>#NAME?</v>
      </c>
      <c r="Y7" s="39" t="e">
        <f t="shared" ca="1" si="2"/>
        <v>#NAME?</v>
      </c>
      <c r="Z7" s="39"/>
      <c r="AA7" s="39" t="e">
        <f ca="1">[3]!interpol($A7,[5]XCP_CON10_D4!$A$1:$A$26,[5]XCP_CON10_D4!$B$1:$B$26)</f>
        <v>#NAME?</v>
      </c>
      <c r="AB7" s="39" t="e">
        <f ca="1">[3]!interpol($A7,[5]XCP_CON15_D4!$A$1:$A$26,[5]XCP_CON15_D4!$B$1:$B$26)</f>
        <v>#NAME?</v>
      </c>
      <c r="AC7" s="87" t="e">
        <f t="shared" ca="1" si="3"/>
        <v>#NAME?</v>
      </c>
      <c r="AD7" t="e">
        <f t="shared" ca="1" si="4"/>
        <v>#NAME?</v>
      </c>
      <c r="AE7" t="e">
        <f t="shared" ca="1" si="5"/>
        <v>#NAME?</v>
      </c>
      <c r="AF7" t="e">
        <f t="shared" ca="1" si="6"/>
        <v>#NAME?</v>
      </c>
    </row>
    <row r="8" spans="1:32">
      <c r="A8" s="110">
        <v>0.8</v>
      </c>
      <c r="B8" s="85">
        <v>7.5105068999999997E-2</v>
      </c>
      <c r="C8" s="39" t="e">
        <f ca="1">[3]!interpol(A8,[5]CA_CON15_D0!$A$1:$A$21,[5]CA_CON15_D0!$B$1:$B$21)</f>
        <v>#NAME?</v>
      </c>
      <c r="D8" s="39" t="e">
        <f ca="1">[3]!interpol(D$3,B$3:C$3,B8:C8)</f>
        <v>#NAME?</v>
      </c>
      <c r="E8" s="39"/>
      <c r="F8" s="39" t="e">
        <f ca="1">[3]!interpol(A8,[5]CA_CON10_D4!$A$1:$A$20,[5]CA_CON10_D4!$B$1:$B$20)</f>
        <v>#NAME?</v>
      </c>
      <c r="G8" s="39" t="e">
        <f ca="1">[3]!interpol(A8,[5]CA_CON15_D4!$A$1:$A$20,[5]CA_CON15_D4!$B$1:$B$20)</f>
        <v>#NAME?</v>
      </c>
      <c r="H8" s="87" t="e">
        <f ca="1">[3]!interpol(H$3,F$3:G$3,F8:G8)</f>
        <v>#NAME?</v>
      </c>
      <c r="I8" s="39" t="e">
        <f t="shared" ca="1" si="0"/>
        <v>#NAME?</v>
      </c>
      <c r="J8" s="110" t="e">
        <f ca="1">[3]!interpol(J$2,H$2:I$2,H8:I8)</f>
        <v>#NAME?</v>
      </c>
      <c r="L8" s="85" t="e">
        <f ca="1">[3]!interpol(A8,[5]CN_CON10_D0!$A$1:$A$21,[5]CN_CON10_D0!$B$1:$B$21)</f>
        <v>#NAME?</v>
      </c>
      <c r="M8" s="39" t="e">
        <f ca="1">[3]!interpol(A8,[5]CN_CON15_D0!$A$1:$A$21,[5]CN_CON15_D0!$B$1:$B$21)</f>
        <v>#NAME?</v>
      </c>
      <c r="N8" s="39" t="e">
        <f ca="1">[3]!interpol(N$3,L$3:M$3,L8:M8)</f>
        <v>#NAME?</v>
      </c>
      <c r="O8" s="39"/>
      <c r="P8" s="39" t="e">
        <f ca="1">[3]!interpol(A8,[5]CN_CON10_D4!$A$1:$A$20,[5]CN_CON10_D4!$B$1:$B$20)</f>
        <v>#NAME?</v>
      </c>
      <c r="Q8" s="39" t="e">
        <f ca="1">[3]!interpol(A8,[5]CN_CON15_D4!$A$1:$A$20,[5]CN_CON15_D4!$B$1:$B$20)</f>
        <v>#NAME?</v>
      </c>
      <c r="R8" s="87" t="e">
        <f ca="1">[3]!interpol(R$3,P$3:Q$3,P8:Q8)</f>
        <v>#NAME?</v>
      </c>
      <c r="S8" s="87" t="e">
        <f t="shared" ca="1" si="1"/>
        <v>#NAME?</v>
      </c>
      <c r="T8" s="39" t="e">
        <f ca="1">[3]!interpol(T$2,R$2:S$2,R8:S8)</f>
        <v>#NAME?</v>
      </c>
      <c r="U8" s="39" t="e">
        <f ca="1">[3]!interpol(U$2,R$2:S$2,R8:S8)</f>
        <v>#NAME?</v>
      </c>
      <c r="W8" s="85" t="e">
        <f ca="1">[3]!interpol($A8,[5]XCP_CON10_D0!$A$1:$A$26,[5]XCP_CON10_D0!$B$1:$B$26)</f>
        <v>#NAME?</v>
      </c>
      <c r="X8" s="39" t="e">
        <f ca="1">[3]!interpol($A8,[5]XCP_CON15_D0!$A$1:$A$26,[5]XCP_CON15_D0!$B$1:$B$26)</f>
        <v>#NAME?</v>
      </c>
      <c r="Y8" s="39" t="e">
        <f t="shared" ca="1" si="2"/>
        <v>#NAME?</v>
      </c>
      <c r="Z8" s="39"/>
      <c r="AA8" s="39" t="e">
        <f ca="1">[3]!interpol($A8,[5]XCP_CON10_D4!$A$1:$A$26,[5]XCP_CON10_D4!$B$1:$B$26)</f>
        <v>#NAME?</v>
      </c>
      <c r="AB8" s="39" t="e">
        <f ca="1">[3]!interpol($A8,[5]XCP_CON15_D4!$A$1:$A$26,[5]XCP_CON15_D4!$B$1:$B$26)</f>
        <v>#NAME?</v>
      </c>
      <c r="AC8" s="87" t="e">
        <f t="shared" ca="1" si="3"/>
        <v>#NAME?</v>
      </c>
      <c r="AD8" t="e">
        <f t="shared" ca="1" si="4"/>
        <v>#NAME?</v>
      </c>
      <c r="AE8" t="e">
        <f t="shared" ca="1" si="5"/>
        <v>#NAME?</v>
      </c>
      <c r="AF8" t="e">
        <f t="shared" ca="1" si="6"/>
        <v>#NAME?</v>
      </c>
    </row>
    <row r="9" spans="1:32">
      <c r="A9" s="110">
        <v>0.9</v>
      </c>
      <c r="B9" s="85">
        <v>9.7415430999999997E-2</v>
      </c>
      <c r="C9" s="39" t="e">
        <f ca="1">[3]!interpol(A9,[5]CA_CON15_D0!$A$1:$A$21,[5]CA_CON15_D0!$B$1:$B$21)</f>
        <v>#NAME?</v>
      </c>
      <c r="D9" s="39" t="e">
        <f ca="1">[3]!interpol(D$3,B$3:C$3,B9:C9)</f>
        <v>#NAME?</v>
      </c>
      <c r="E9" s="39"/>
      <c r="F9" s="39" t="e">
        <f ca="1">[3]!interpol(A9,[5]CA_CON10_D4!$A$1:$A$20,[5]CA_CON10_D4!$B$1:$B$20)</f>
        <v>#NAME?</v>
      </c>
      <c r="G9" s="39" t="e">
        <f ca="1">[3]!interpol(A9,[5]CA_CON15_D4!$A$1:$A$20,[5]CA_CON15_D4!$B$1:$B$20)</f>
        <v>#NAME?</v>
      </c>
      <c r="H9" s="87" t="e">
        <f ca="1">[3]!interpol(H$3,F$3:G$3,F9:G9)</f>
        <v>#NAME?</v>
      </c>
      <c r="I9" s="39" t="e">
        <f t="shared" ca="1" si="0"/>
        <v>#NAME?</v>
      </c>
      <c r="J9" s="110" t="e">
        <f ca="1">[3]!interpol(J$2,H$2:I$2,H9:I9)</f>
        <v>#NAME?</v>
      </c>
      <c r="L9" s="85" t="e">
        <f ca="1">[3]!interpol(A9,[5]CN_CON10_D0!$A$1:$A$21,[5]CN_CON10_D0!$B$1:$B$21)</f>
        <v>#NAME?</v>
      </c>
      <c r="M9" s="39" t="e">
        <f ca="1">[3]!interpol(A9,[5]CN_CON15_D0!$A$1:$A$21,[5]CN_CON15_D0!$B$1:$B$21)</f>
        <v>#NAME?</v>
      </c>
      <c r="N9" s="39" t="e">
        <f ca="1">[3]!interpol(N$3,L$3:M$3,L9:M9)</f>
        <v>#NAME?</v>
      </c>
      <c r="O9" s="39"/>
      <c r="P9" s="39" t="e">
        <f ca="1">[3]!interpol(A9,[5]CN_CON10_D4!$A$1:$A$20,[5]CN_CON10_D4!$B$1:$B$20)</f>
        <v>#NAME?</v>
      </c>
      <c r="Q9" s="39" t="e">
        <f ca="1">[3]!interpol(A9,[5]CN_CON15_D4!$A$1:$A$20,[5]CN_CON15_D4!$B$1:$B$20)</f>
        <v>#NAME?</v>
      </c>
      <c r="R9" s="87" t="e">
        <f ca="1">[3]!interpol(R$3,P$3:Q$3,P9:Q9)</f>
        <v>#NAME?</v>
      </c>
      <c r="S9" s="87" t="e">
        <f t="shared" ca="1" si="1"/>
        <v>#NAME?</v>
      </c>
      <c r="T9" s="39" t="e">
        <f ca="1">[3]!interpol(T$2,R$2:S$2,R9:S9)</f>
        <v>#NAME?</v>
      </c>
      <c r="U9" s="39" t="e">
        <f ca="1">[3]!interpol(U$2,R$2:S$2,R9:S9)</f>
        <v>#NAME?</v>
      </c>
      <c r="W9" s="85" t="e">
        <f ca="1">[3]!interpol($A9,[5]XCP_CON10_D0!$A$1:$A$26,[5]XCP_CON10_D0!$B$1:$B$26)</f>
        <v>#NAME?</v>
      </c>
      <c r="X9" s="39" t="e">
        <f ca="1">[3]!interpol($A9,[5]XCP_CON15_D0!$A$1:$A$26,[5]XCP_CON15_D0!$B$1:$B$26)</f>
        <v>#NAME?</v>
      </c>
      <c r="Y9" s="39" t="e">
        <f t="shared" ca="1" si="2"/>
        <v>#NAME?</v>
      </c>
      <c r="Z9" s="39"/>
      <c r="AA9" s="39" t="e">
        <f ca="1">[3]!interpol($A9,[5]XCP_CON10_D4!$A$1:$A$26,[5]XCP_CON10_D4!$B$1:$B$26)</f>
        <v>#NAME?</v>
      </c>
      <c r="AB9" s="39" t="e">
        <f ca="1">[3]!interpol($A9,[5]XCP_CON15_D4!$A$1:$A$26,[5]XCP_CON15_D4!$B$1:$B$26)</f>
        <v>#NAME?</v>
      </c>
      <c r="AC9" s="87" t="e">
        <f t="shared" ca="1" si="3"/>
        <v>#NAME?</v>
      </c>
      <c r="AD9" t="e">
        <f t="shared" ca="1" si="4"/>
        <v>#NAME?</v>
      </c>
      <c r="AE9" t="e">
        <f t="shared" ca="1" si="5"/>
        <v>#NAME?</v>
      </c>
      <c r="AF9" t="e">
        <f t="shared" ca="1" si="6"/>
        <v>#NAME?</v>
      </c>
    </row>
    <row r="10" spans="1:32">
      <c r="A10" s="110">
        <v>0.92</v>
      </c>
      <c r="B10" s="85">
        <v>0.10304187200000001</v>
      </c>
      <c r="C10" s="39" t="e">
        <f ca="1">[3]!interpol(A10,[5]CA_CON15_D0!$A$1:$A$21,[5]CA_CON15_D0!$B$1:$B$21)</f>
        <v>#NAME?</v>
      </c>
      <c r="D10" s="39" t="e">
        <f ca="1">[3]!interpol(D$3,B$3:C$3,B10:C10)</f>
        <v>#NAME?</v>
      </c>
      <c r="E10" s="39"/>
      <c r="F10" s="39" t="e">
        <f ca="1">[3]!interpol(A10,[5]CA_CON10_D4!$A$1:$A$20,[5]CA_CON10_D4!$B$1:$B$20)</f>
        <v>#NAME?</v>
      </c>
      <c r="G10" s="39" t="e">
        <f ca="1">[3]!interpol(A10,[5]CA_CON15_D4!$A$1:$A$20,[5]CA_CON15_D4!$B$1:$B$20)</f>
        <v>#NAME?</v>
      </c>
      <c r="H10" s="87" t="e">
        <f ca="1">[3]!interpol(H$3,F$3:G$3,F10:G10)</f>
        <v>#NAME?</v>
      </c>
      <c r="I10" s="39" t="e">
        <f t="shared" ca="1" si="0"/>
        <v>#NAME?</v>
      </c>
      <c r="J10" s="110" t="e">
        <f ca="1">[3]!interpol(J$2,H$2:I$2,H10:I10)</f>
        <v>#NAME?</v>
      </c>
      <c r="L10" s="85" t="e">
        <f ca="1">[3]!interpol(A10,[5]CN_CON10_D0!$A$1:$A$21,[5]CN_CON10_D0!$B$1:$B$21)</f>
        <v>#NAME?</v>
      </c>
      <c r="M10" s="39" t="e">
        <f ca="1">[3]!interpol(A10,[5]CN_CON15_D0!$A$1:$A$21,[5]CN_CON15_D0!$B$1:$B$21)</f>
        <v>#NAME?</v>
      </c>
      <c r="N10" s="39" t="e">
        <f ca="1">[3]!interpol(N$3,L$3:M$3,L10:M10)</f>
        <v>#NAME?</v>
      </c>
      <c r="O10" s="39"/>
      <c r="P10" s="39" t="e">
        <f ca="1">[3]!interpol(A10,[5]CN_CON10_D4!$A$1:$A$20,[5]CN_CON10_D4!$B$1:$B$20)</f>
        <v>#NAME?</v>
      </c>
      <c r="Q10" s="39" t="e">
        <f ca="1">[3]!interpol(A10,[5]CN_CON15_D4!$A$1:$A$20,[5]CN_CON15_D4!$B$1:$B$20)</f>
        <v>#NAME?</v>
      </c>
      <c r="R10" s="87" t="e">
        <f ca="1">[3]!interpol(R$3,P$3:Q$3,P10:Q10)</f>
        <v>#NAME?</v>
      </c>
      <c r="S10" s="87" t="e">
        <f t="shared" ca="1" si="1"/>
        <v>#NAME?</v>
      </c>
      <c r="T10" s="39" t="e">
        <f ca="1">[3]!interpol(T$2,R$2:S$2,R10:S10)</f>
        <v>#NAME?</v>
      </c>
      <c r="U10" s="39" t="e">
        <f ca="1">[3]!interpol(U$2,R$2:S$2,R10:S10)</f>
        <v>#NAME?</v>
      </c>
      <c r="W10" s="85" t="e">
        <f ca="1">[3]!interpol($A10,[5]XCP_CON10_D0!$A$1:$A$26,[5]XCP_CON10_D0!$B$1:$B$26)</f>
        <v>#NAME?</v>
      </c>
      <c r="X10" s="39" t="e">
        <f ca="1">[3]!interpol($A10,[5]XCP_CON15_D0!$A$1:$A$26,[5]XCP_CON15_D0!$B$1:$B$26)</f>
        <v>#NAME?</v>
      </c>
      <c r="Y10" s="39" t="e">
        <f t="shared" ca="1" si="2"/>
        <v>#NAME?</v>
      </c>
      <c r="Z10" s="39"/>
      <c r="AA10" s="39" t="e">
        <f ca="1">[3]!interpol($A10,[5]XCP_CON10_D4!$A$1:$A$26,[5]XCP_CON10_D4!$B$1:$B$26)</f>
        <v>#NAME?</v>
      </c>
      <c r="AB10" s="39" t="e">
        <f ca="1">[3]!interpol($A10,[5]XCP_CON15_D4!$A$1:$A$26,[5]XCP_CON15_D4!$B$1:$B$26)</f>
        <v>#NAME?</v>
      </c>
      <c r="AC10" s="87" t="e">
        <f t="shared" ca="1" si="3"/>
        <v>#NAME?</v>
      </c>
      <c r="AD10" t="e">
        <f t="shared" ca="1" si="4"/>
        <v>#NAME?</v>
      </c>
      <c r="AE10" t="e">
        <f t="shared" ca="1" si="5"/>
        <v>#NAME?</v>
      </c>
      <c r="AF10" t="e">
        <f t="shared" ca="1" si="6"/>
        <v>#NAME?</v>
      </c>
    </row>
    <row r="11" spans="1:32">
      <c r="A11" s="110">
        <v>0.94</v>
      </c>
      <c r="B11" s="85">
        <v>0.11093259699999999</v>
      </c>
      <c r="C11" s="39" t="e">
        <f ca="1">[3]!interpol(A11,[5]CA_CON15_D0!$A$1:$A$21,[5]CA_CON15_D0!$B$1:$B$21)</f>
        <v>#NAME?</v>
      </c>
      <c r="D11" s="39" t="e">
        <f ca="1">[3]!interpol(D$3,B$3:C$3,B11:C11)</f>
        <v>#NAME?</v>
      </c>
      <c r="E11" s="39"/>
      <c r="F11" s="39" t="e">
        <f ca="1">[3]!interpol(A11,[5]CA_CON10_D4!$A$1:$A$20,[5]CA_CON10_D4!$B$1:$B$20)</f>
        <v>#NAME?</v>
      </c>
      <c r="G11" s="39" t="e">
        <f ca="1">[3]!interpol(A11,[5]CA_CON15_D4!$A$1:$A$20,[5]CA_CON15_D4!$B$1:$B$20)</f>
        <v>#NAME?</v>
      </c>
      <c r="H11" s="87" t="e">
        <f ca="1">[3]!interpol(H$3,F$3:G$3,F11:G11)</f>
        <v>#NAME?</v>
      </c>
      <c r="I11" s="39" t="e">
        <f t="shared" ca="1" si="0"/>
        <v>#NAME?</v>
      </c>
      <c r="J11" s="110" t="e">
        <f ca="1">[3]!interpol(J$2,H$2:I$2,H11:I11)</f>
        <v>#NAME?</v>
      </c>
      <c r="L11" s="85" t="e">
        <f ca="1">[3]!interpol(A11,[5]CN_CON10_D0!$A$1:$A$21,[5]CN_CON10_D0!$B$1:$B$21)</f>
        <v>#NAME?</v>
      </c>
      <c r="M11" s="39" t="e">
        <f ca="1">[3]!interpol(A11,[5]CN_CON15_D0!$A$1:$A$21,[5]CN_CON15_D0!$B$1:$B$21)</f>
        <v>#NAME?</v>
      </c>
      <c r="N11" s="39" t="e">
        <f ca="1">[3]!interpol(N$3,L$3:M$3,L11:M11)</f>
        <v>#NAME?</v>
      </c>
      <c r="O11" s="39"/>
      <c r="P11" s="39" t="e">
        <f ca="1">[3]!interpol(A11,[5]CN_CON10_D4!$A$1:$A$20,[5]CN_CON10_D4!$B$1:$B$20)</f>
        <v>#NAME?</v>
      </c>
      <c r="Q11" s="39" t="e">
        <f ca="1">[3]!interpol(A11,[5]CN_CON15_D4!$A$1:$A$20,[5]CN_CON15_D4!$B$1:$B$20)</f>
        <v>#NAME?</v>
      </c>
      <c r="R11" s="87" t="e">
        <f ca="1">[3]!interpol(R$3,P$3:Q$3,P11:Q11)</f>
        <v>#NAME?</v>
      </c>
      <c r="S11" s="87" t="e">
        <f t="shared" ca="1" si="1"/>
        <v>#NAME?</v>
      </c>
      <c r="T11" s="39" t="e">
        <f ca="1">[3]!interpol(T$2,R$2:S$2,R11:S11)</f>
        <v>#NAME?</v>
      </c>
      <c r="U11" s="39" t="e">
        <f ca="1">[3]!interpol(U$2,R$2:S$2,R11:S11)</f>
        <v>#NAME?</v>
      </c>
      <c r="W11" s="85" t="e">
        <f ca="1">[3]!interpol($A11,[5]XCP_CON10_D0!$A$1:$A$26,[5]XCP_CON10_D0!$B$1:$B$26)</f>
        <v>#NAME?</v>
      </c>
      <c r="X11" s="39" t="e">
        <f ca="1">[3]!interpol($A11,[5]XCP_CON15_D0!$A$1:$A$26,[5]XCP_CON15_D0!$B$1:$B$26)</f>
        <v>#NAME?</v>
      </c>
      <c r="Y11" s="39" t="e">
        <f t="shared" ca="1" si="2"/>
        <v>#NAME?</v>
      </c>
      <c r="Z11" s="39"/>
      <c r="AA11" s="39" t="e">
        <f ca="1">[3]!interpol($A11,[5]XCP_CON10_D4!$A$1:$A$26,[5]XCP_CON10_D4!$B$1:$B$26)</f>
        <v>#NAME?</v>
      </c>
      <c r="AB11" s="39" t="e">
        <f ca="1">[3]!interpol($A11,[5]XCP_CON15_D4!$A$1:$A$26,[5]XCP_CON15_D4!$B$1:$B$26)</f>
        <v>#NAME?</v>
      </c>
      <c r="AC11" s="87" t="e">
        <f t="shared" ca="1" si="3"/>
        <v>#NAME?</v>
      </c>
      <c r="AD11" t="e">
        <f t="shared" ca="1" si="4"/>
        <v>#NAME?</v>
      </c>
      <c r="AE11" t="e">
        <f t="shared" ca="1" si="5"/>
        <v>#NAME?</v>
      </c>
      <c r="AF11" t="e">
        <f t="shared" ca="1" si="6"/>
        <v>#NAME?</v>
      </c>
    </row>
    <row r="12" spans="1:32">
      <c r="A12" s="110">
        <v>0.96</v>
      </c>
      <c r="B12" s="85">
        <v>0.11882332299999999</v>
      </c>
      <c r="C12" s="39" t="e">
        <f ca="1">[3]!interpol(A12,[5]CA_CON15_D0!$A$1:$A$21,[5]CA_CON15_D0!$B$1:$B$21)</f>
        <v>#NAME?</v>
      </c>
      <c r="D12" s="39" t="e">
        <f ca="1">[3]!interpol(D$3,B$3:C$3,B12:C12)</f>
        <v>#NAME?</v>
      </c>
      <c r="E12" s="39"/>
      <c r="F12" s="39" t="e">
        <f ca="1">[3]!interpol(A12,[5]CA_CON10_D4!$A$1:$A$20,[5]CA_CON10_D4!$B$1:$B$20)</f>
        <v>#NAME?</v>
      </c>
      <c r="G12" s="39" t="e">
        <f ca="1">[3]!interpol(A12,[5]CA_CON15_D4!$A$1:$A$20,[5]CA_CON15_D4!$B$1:$B$20)</f>
        <v>#NAME?</v>
      </c>
      <c r="H12" s="87" t="e">
        <f ca="1">[3]!interpol(H$3,F$3:G$3,F12:G12)</f>
        <v>#NAME?</v>
      </c>
      <c r="I12" s="39" t="e">
        <f t="shared" ca="1" si="0"/>
        <v>#NAME?</v>
      </c>
      <c r="J12" s="110" t="e">
        <f ca="1">[3]!interpol(J$2,H$2:I$2,H12:I12)</f>
        <v>#NAME?</v>
      </c>
      <c r="L12" s="85" t="e">
        <f ca="1">[3]!interpol(A12,[5]CN_CON10_D0!$A$1:$A$21,[5]CN_CON10_D0!$B$1:$B$21)</f>
        <v>#NAME?</v>
      </c>
      <c r="M12" s="39" t="e">
        <f ca="1">[3]!interpol(A12,[5]CN_CON15_D0!$A$1:$A$21,[5]CN_CON15_D0!$B$1:$B$21)</f>
        <v>#NAME?</v>
      </c>
      <c r="N12" s="39" t="e">
        <f ca="1">[3]!interpol(N$3,L$3:M$3,L12:M12)</f>
        <v>#NAME?</v>
      </c>
      <c r="O12" s="39"/>
      <c r="P12" s="39" t="e">
        <f ca="1">[3]!interpol(A12,[5]CN_CON10_D4!$A$1:$A$20,[5]CN_CON10_D4!$B$1:$B$20)</f>
        <v>#NAME?</v>
      </c>
      <c r="Q12" s="39" t="e">
        <f ca="1">[3]!interpol(A12,[5]CN_CON15_D4!$A$1:$A$20,[5]CN_CON15_D4!$B$1:$B$20)</f>
        <v>#NAME?</v>
      </c>
      <c r="R12" s="87" t="e">
        <f ca="1">[3]!interpol(R$3,P$3:Q$3,P12:Q12)</f>
        <v>#NAME?</v>
      </c>
      <c r="S12" s="87" t="e">
        <f t="shared" ca="1" si="1"/>
        <v>#NAME?</v>
      </c>
      <c r="T12" s="39" t="e">
        <f ca="1">[3]!interpol(T$2,R$2:S$2,R12:S12)</f>
        <v>#NAME?</v>
      </c>
      <c r="U12" s="39" t="e">
        <f ca="1">[3]!interpol(U$2,R$2:S$2,R12:S12)</f>
        <v>#NAME?</v>
      </c>
      <c r="W12" s="85" t="e">
        <f ca="1">[3]!interpol($A12,[5]XCP_CON10_D0!$A$1:$A$26,[5]XCP_CON10_D0!$B$1:$B$26)</f>
        <v>#NAME?</v>
      </c>
      <c r="X12" s="39" t="e">
        <f ca="1">[3]!interpol($A12,[5]XCP_CON15_D0!$A$1:$A$26,[5]XCP_CON15_D0!$B$1:$B$26)</f>
        <v>#NAME?</v>
      </c>
      <c r="Y12" s="39" t="e">
        <f t="shared" ca="1" si="2"/>
        <v>#NAME?</v>
      </c>
      <c r="Z12" s="39"/>
      <c r="AA12" s="39" t="e">
        <f ca="1">[3]!interpol($A12,[5]XCP_CON10_D4!$A$1:$A$26,[5]XCP_CON10_D4!$B$1:$B$26)</f>
        <v>#NAME?</v>
      </c>
      <c r="AB12" s="39" t="e">
        <f ca="1">[3]!interpol($A12,[5]XCP_CON15_D4!$A$1:$A$26,[5]XCP_CON15_D4!$B$1:$B$26)</f>
        <v>#NAME?</v>
      </c>
      <c r="AC12" s="87" t="e">
        <f t="shared" ca="1" si="3"/>
        <v>#NAME?</v>
      </c>
      <c r="AD12" t="e">
        <f t="shared" ca="1" si="4"/>
        <v>#NAME?</v>
      </c>
      <c r="AE12" t="e">
        <f t="shared" ca="1" si="5"/>
        <v>#NAME?</v>
      </c>
      <c r="AF12" t="e">
        <f t="shared" ca="1" si="6"/>
        <v>#NAME?</v>
      </c>
    </row>
    <row r="13" spans="1:32">
      <c r="A13" s="110">
        <v>0.98</v>
      </c>
      <c r="B13" s="85">
        <v>0.126929818</v>
      </c>
      <c r="C13" s="39" t="e">
        <f ca="1">[3]!interpol(A13,[5]CA_CON15_D0!$A$1:$A$21,[5]CA_CON15_D0!$B$1:$B$21)</f>
        <v>#NAME?</v>
      </c>
      <c r="D13" s="39" t="e">
        <f ca="1">[3]!interpol(D$3,B$3:C$3,B13:C13)</f>
        <v>#NAME?</v>
      </c>
      <c r="E13" s="39"/>
      <c r="F13" s="39" t="e">
        <f ca="1">[3]!interpol(A13,[5]CA_CON10_D4!$A$1:$A$20,[5]CA_CON10_D4!$B$1:$B$20)</f>
        <v>#NAME?</v>
      </c>
      <c r="G13" s="39" t="e">
        <f ca="1">[3]!interpol(A13,[5]CA_CON15_D4!$A$1:$A$20,[5]CA_CON15_D4!$B$1:$B$20)</f>
        <v>#NAME?</v>
      </c>
      <c r="H13" s="87" t="e">
        <f ca="1">[3]!interpol(H$3,F$3:G$3,F13:G13)</f>
        <v>#NAME?</v>
      </c>
      <c r="I13" s="39" t="e">
        <f t="shared" ca="1" si="0"/>
        <v>#NAME?</v>
      </c>
      <c r="J13" s="110" t="e">
        <f ca="1">[3]!interpol(J$2,H$2:I$2,H13:I13)</f>
        <v>#NAME?</v>
      </c>
      <c r="L13" s="85" t="e">
        <f ca="1">[3]!interpol(A13,[5]CN_CON10_D0!$A$1:$A$21,[5]CN_CON10_D0!$B$1:$B$21)</f>
        <v>#NAME?</v>
      </c>
      <c r="M13" s="39" t="e">
        <f ca="1">[3]!interpol(A13,[5]CN_CON15_D0!$A$1:$A$21,[5]CN_CON15_D0!$B$1:$B$21)</f>
        <v>#NAME?</v>
      </c>
      <c r="N13" s="39" t="e">
        <f ca="1">[3]!interpol(N$3,L$3:M$3,L13:M13)</f>
        <v>#NAME?</v>
      </c>
      <c r="O13" s="39"/>
      <c r="P13" s="39" t="e">
        <f ca="1">[3]!interpol(A13,[5]CN_CON10_D4!$A$1:$A$20,[5]CN_CON10_D4!$B$1:$B$20)</f>
        <v>#NAME?</v>
      </c>
      <c r="Q13" s="39" t="e">
        <f ca="1">[3]!interpol(A13,[5]CN_CON15_D4!$A$1:$A$20,[5]CN_CON15_D4!$B$1:$B$20)</f>
        <v>#NAME?</v>
      </c>
      <c r="R13" s="87" t="e">
        <f ca="1">[3]!interpol(R$3,P$3:Q$3,P13:Q13)</f>
        <v>#NAME?</v>
      </c>
      <c r="S13" s="87" t="e">
        <f t="shared" ca="1" si="1"/>
        <v>#NAME?</v>
      </c>
      <c r="T13" s="39" t="e">
        <f ca="1">[3]!interpol(T$2,R$2:S$2,R13:S13)</f>
        <v>#NAME?</v>
      </c>
      <c r="U13" s="39" t="e">
        <f ca="1">[3]!interpol(U$2,R$2:S$2,R13:S13)</f>
        <v>#NAME?</v>
      </c>
      <c r="W13" s="85" t="e">
        <f ca="1">[3]!interpol($A13,[5]XCP_CON10_D0!$A$1:$A$26,[5]XCP_CON10_D0!$B$1:$B$26)</f>
        <v>#NAME?</v>
      </c>
      <c r="X13" s="39" t="e">
        <f ca="1">[3]!interpol($A13,[5]XCP_CON15_D0!$A$1:$A$26,[5]XCP_CON15_D0!$B$1:$B$26)</f>
        <v>#NAME?</v>
      </c>
      <c r="Y13" s="39" t="e">
        <f t="shared" ca="1" si="2"/>
        <v>#NAME?</v>
      </c>
      <c r="Z13" s="39"/>
      <c r="AA13" s="39" t="e">
        <f ca="1">[3]!interpol($A13,[5]XCP_CON10_D4!$A$1:$A$26,[5]XCP_CON10_D4!$B$1:$B$26)</f>
        <v>#NAME?</v>
      </c>
      <c r="AB13" s="39" t="e">
        <f ca="1">[3]!interpol($A13,[5]XCP_CON15_D4!$A$1:$A$26,[5]XCP_CON15_D4!$B$1:$B$26)</f>
        <v>#NAME?</v>
      </c>
      <c r="AC13" s="87" t="e">
        <f t="shared" ca="1" si="3"/>
        <v>#NAME?</v>
      </c>
      <c r="AD13" t="e">
        <f t="shared" ca="1" si="4"/>
        <v>#NAME?</v>
      </c>
      <c r="AE13" t="e">
        <f t="shared" ca="1" si="5"/>
        <v>#NAME?</v>
      </c>
      <c r="AF13" t="e">
        <f t="shared" ca="1" si="6"/>
        <v>#NAME?</v>
      </c>
    </row>
    <row r="14" spans="1:32">
      <c r="A14" s="110">
        <v>1</v>
      </c>
      <c r="B14" s="85">
        <v>0.13511065899999999</v>
      </c>
      <c r="C14" s="39" t="e">
        <f ca="1">[3]!interpol(A14,[5]CA_CON15_D0!$A$1:$A$21,[5]CA_CON15_D0!$B$1:$B$21)</f>
        <v>#NAME?</v>
      </c>
      <c r="D14" s="39" t="e">
        <f ca="1">[3]!interpol(D$3,B$3:C$3,B14:C14)</f>
        <v>#NAME?</v>
      </c>
      <c r="E14" s="39"/>
      <c r="F14" s="39" t="e">
        <f ca="1">[3]!interpol(A14,[5]CA_CON10_D4!$A$1:$A$20,[5]CA_CON10_D4!$B$1:$B$20)</f>
        <v>#NAME?</v>
      </c>
      <c r="G14" s="39" t="e">
        <f ca="1">[3]!interpol(A14,[5]CA_CON15_D4!$A$1:$A$20,[5]CA_CON15_D4!$B$1:$B$20)</f>
        <v>#NAME?</v>
      </c>
      <c r="H14" s="87" t="e">
        <f ca="1">[3]!interpol(H$3,F$3:G$3,F14:G14)</f>
        <v>#NAME?</v>
      </c>
      <c r="I14" s="39" t="e">
        <f t="shared" ca="1" si="0"/>
        <v>#NAME?</v>
      </c>
      <c r="J14" s="110" t="e">
        <f ca="1">[3]!interpol(J$2,H$2:I$2,H14:I14)</f>
        <v>#NAME?</v>
      </c>
      <c r="L14" s="85" t="e">
        <f ca="1">[3]!interpol(A14,[5]CN_CON10_D0!$A$1:$A$21,[5]CN_CON10_D0!$B$1:$B$21)</f>
        <v>#NAME?</v>
      </c>
      <c r="M14" s="39" t="e">
        <f ca="1">[3]!interpol(A14,[5]CN_CON15_D0!$A$1:$A$21,[5]CN_CON15_D0!$B$1:$B$21)</f>
        <v>#NAME?</v>
      </c>
      <c r="N14" s="39" t="e">
        <f ca="1">[3]!interpol(N$3,L$3:M$3,L14:M14)</f>
        <v>#NAME?</v>
      </c>
      <c r="O14" s="39"/>
      <c r="P14" s="39" t="e">
        <f ca="1">[3]!interpol(A14,[5]CN_CON10_D4!$A$1:$A$20,[5]CN_CON10_D4!$B$1:$B$20)</f>
        <v>#NAME?</v>
      </c>
      <c r="Q14" s="39" t="e">
        <f ca="1">[3]!interpol(A14,[5]CN_CON15_D4!$A$1:$A$20,[5]CN_CON15_D4!$B$1:$B$20)</f>
        <v>#NAME?</v>
      </c>
      <c r="R14" s="87" t="e">
        <f ca="1">[3]!interpol(R$3,P$3:Q$3,P14:Q14)</f>
        <v>#NAME?</v>
      </c>
      <c r="S14" s="87" t="e">
        <f t="shared" ca="1" si="1"/>
        <v>#NAME?</v>
      </c>
      <c r="T14" s="39" t="e">
        <f ca="1">[3]!interpol(T$2,R$2:S$2,R14:S14)</f>
        <v>#NAME?</v>
      </c>
      <c r="U14" s="39" t="e">
        <f ca="1">[3]!interpol(U$2,R$2:S$2,R14:S14)</f>
        <v>#NAME?</v>
      </c>
      <c r="W14" s="85" t="e">
        <f ca="1">[3]!interpol($A14,[5]XCP_CON10_D0!$A$1:$A$26,[5]XCP_CON10_D0!$B$1:$B$26)</f>
        <v>#NAME?</v>
      </c>
      <c r="X14" s="39" t="e">
        <f ca="1">[3]!interpol($A14,[5]XCP_CON15_D0!$A$1:$A$26,[5]XCP_CON15_D0!$B$1:$B$26)</f>
        <v>#NAME?</v>
      </c>
      <c r="Y14" s="39" t="e">
        <f t="shared" ca="1" si="2"/>
        <v>#NAME?</v>
      </c>
      <c r="Z14" s="39"/>
      <c r="AA14" s="39" t="e">
        <f ca="1">[3]!interpol($A14,[5]XCP_CON10_D4!$A$1:$A$26,[5]XCP_CON10_D4!$B$1:$B$26)</f>
        <v>#NAME?</v>
      </c>
      <c r="AB14" s="39" t="e">
        <f ca="1">[3]!interpol($A14,[5]XCP_CON15_D4!$A$1:$A$26,[5]XCP_CON15_D4!$B$1:$B$26)</f>
        <v>#NAME?</v>
      </c>
      <c r="AC14" s="87" t="e">
        <f t="shared" ca="1" si="3"/>
        <v>#NAME?</v>
      </c>
      <c r="AD14" t="e">
        <f t="shared" ca="1" si="4"/>
        <v>#NAME?</v>
      </c>
      <c r="AE14" t="e">
        <f t="shared" ca="1" si="5"/>
        <v>#NAME?</v>
      </c>
      <c r="AF14" t="e">
        <f t="shared" ca="1" si="6"/>
        <v>#NAME?</v>
      </c>
    </row>
    <row r="15" spans="1:32">
      <c r="A15" s="110">
        <v>1.02</v>
      </c>
      <c r="B15" s="85">
        <v>0.14329149999999999</v>
      </c>
      <c r="C15" s="39" t="e">
        <f ca="1">[3]!interpol(A15,[5]CA_CON15_D0!$A$1:$A$21,[5]CA_CON15_D0!$B$1:$B$21)</f>
        <v>#NAME?</v>
      </c>
      <c r="D15" s="39" t="e">
        <f ca="1">[3]!interpol(D$3,B$3:C$3,B15:C15)</f>
        <v>#NAME?</v>
      </c>
      <c r="E15" s="39"/>
      <c r="F15" s="39" t="e">
        <f ca="1">[3]!interpol(A15,[5]CA_CON10_D4!$A$1:$A$20,[5]CA_CON10_D4!$B$1:$B$20)</f>
        <v>#NAME?</v>
      </c>
      <c r="G15" s="39" t="e">
        <f ca="1">[3]!interpol(A15,[5]CA_CON15_D4!$A$1:$A$20,[5]CA_CON15_D4!$B$1:$B$20)</f>
        <v>#NAME?</v>
      </c>
      <c r="H15" s="87" t="e">
        <f ca="1">[3]!interpol(H$3,F$3:G$3,F15:G15)</f>
        <v>#NAME?</v>
      </c>
      <c r="I15" s="39" t="e">
        <f t="shared" ca="1" si="0"/>
        <v>#NAME?</v>
      </c>
      <c r="J15" s="110" t="e">
        <f ca="1">[3]!interpol(J$2,H$2:I$2,H15:I15)</f>
        <v>#NAME?</v>
      </c>
      <c r="L15" s="85" t="e">
        <f ca="1">[3]!interpol(A15,[5]CN_CON10_D0!$A$1:$A$21,[5]CN_CON10_D0!$B$1:$B$21)</f>
        <v>#NAME?</v>
      </c>
      <c r="M15" s="39" t="e">
        <f ca="1">[3]!interpol(A15,[5]CN_CON15_D0!$A$1:$A$21,[5]CN_CON15_D0!$B$1:$B$21)</f>
        <v>#NAME?</v>
      </c>
      <c r="N15" s="39" t="e">
        <f ca="1">[3]!interpol(N$3,L$3:M$3,L15:M15)</f>
        <v>#NAME?</v>
      </c>
      <c r="O15" s="39"/>
      <c r="P15" s="39" t="e">
        <f ca="1">[3]!interpol(A15,[5]CN_CON10_D4!$A$1:$A$20,[5]CN_CON10_D4!$B$1:$B$20)</f>
        <v>#NAME?</v>
      </c>
      <c r="Q15" s="39" t="e">
        <f ca="1">[3]!interpol(A15,[5]CN_CON15_D4!$A$1:$A$20,[5]CN_CON15_D4!$B$1:$B$20)</f>
        <v>#NAME?</v>
      </c>
      <c r="R15" s="87" t="e">
        <f ca="1">[3]!interpol(R$3,P$3:Q$3,P15:Q15)</f>
        <v>#NAME?</v>
      </c>
      <c r="S15" s="87" t="e">
        <f t="shared" ca="1" si="1"/>
        <v>#NAME?</v>
      </c>
      <c r="T15" s="39" t="e">
        <f ca="1">[3]!interpol(T$2,R$2:S$2,R15:S15)</f>
        <v>#NAME?</v>
      </c>
      <c r="U15" s="39" t="e">
        <f ca="1">[3]!interpol(U$2,R$2:S$2,R15:S15)</f>
        <v>#NAME?</v>
      </c>
      <c r="W15" s="85" t="e">
        <f ca="1">[3]!interpol($A15,[5]XCP_CON10_D0!$A$1:$A$26,[5]XCP_CON10_D0!$B$1:$B$26)</f>
        <v>#NAME?</v>
      </c>
      <c r="X15" s="39" t="e">
        <f ca="1">[3]!interpol($A15,[5]XCP_CON15_D0!$A$1:$A$26,[5]XCP_CON15_D0!$B$1:$B$26)</f>
        <v>#NAME?</v>
      </c>
      <c r="Y15" s="39" t="e">
        <f t="shared" ca="1" si="2"/>
        <v>#NAME?</v>
      </c>
      <c r="Z15" s="39"/>
      <c r="AA15" s="39" t="e">
        <f ca="1">[3]!interpol($A15,[5]XCP_CON10_D4!$A$1:$A$26,[5]XCP_CON10_D4!$B$1:$B$26)</f>
        <v>#NAME?</v>
      </c>
      <c r="AB15" s="39" t="e">
        <f ca="1">[3]!interpol($A15,[5]XCP_CON15_D4!$A$1:$A$26,[5]XCP_CON15_D4!$B$1:$B$26)</f>
        <v>#NAME?</v>
      </c>
      <c r="AC15" s="87" t="e">
        <f t="shared" ca="1" si="3"/>
        <v>#NAME?</v>
      </c>
      <c r="AD15" t="e">
        <f t="shared" ca="1" si="4"/>
        <v>#NAME?</v>
      </c>
      <c r="AE15" t="e">
        <f t="shared" ca="1" si="5"/>
        <v>#NAME?</v>
      </c>
      <c r="AF15" t="e">
        <f t="shared" ca="1" si="6"/>
        <v>#NAME?</v>
      </c>
    </row>
    <row r="16" spans="1:32">
      <c r="A16" s="110">
        <v>1.04</v>
      </c>
      <c r="B16" s="85">
        <v>0.15147234000000001</v>
      </c>
      <c r="C16" s="39" t="e">
        <f ca="1">[3]!interpol(A16,[5]CA_CON15_D0!$A$1:$A$21,[5]CA_CON15_D0!$B$1:$B$21)</f>
        <v>#NAME?</v>
      </c>
      <c r="D16" s="39" t="e">
        <f ca="1">[3]!interpol(D$3,B$3:C$3,B16:C16)</f>
        <v>#NAME?</v>
      </c>
      <c r="E16" s="39"/>
      <c r="F16" s="39" t="e">
        <f ca="1">[3]!interpol(A16,[5]CA_CON10_D4!$A$1:$A$20,[5]CA_CON10_D4!$B$1:$B$20)</f>
        <v>#NAME?</v>
      </c>
      <c r="G16" s="39" t="e">
        <f ca="1">[3]!interpol(A16,[5]CA_CON15_D4!$A$1:$A$20,[5]CA_CON15_D4!$B$1:$B$20)</f>
        <v>#NAME?</v>
      </c>
      <c r="H16" s="87" t="e">
        <f ca="1">[3]!interpol(H$3,F$3:G$3,F16:G16)</f>
        <v>#NAME?</v>
      </c>
      <c r="I16" s="39" t="e">
        <f t="shared" ca="1" si="0"/>
        <v>#NAME?</v>
      </c>
      <c r="J16" s="110" t="e">
        <f ca="1">[3]!interpol(J$2,H$2:I$2,H16:I16)</f>
        <v>#NAME?</v>
      </c>
      <c r="L16" s="85" t="e">
        <f ca="1">[3]!interpol(A16,[5]CN_CON10_D0!$A$1:$A$21,[5]CN_CON10_D0!$B$1:$B$21)</f>
        <v>#NAME?</v>
      </c>
      <c r="M16" s="39" t="e">
        <f ca="1">[3]!interpol(A16,[5]CN_CON15_D0!$A$1:$A$21,[5]CN_CON15_D0!$B$1:$B$21)</f>
        <v>#NAME?</v>
      </c>
      <c r="N16" s="39" t="e">
        <f ca="1">[3]!interpol(N$3,L$3:M$3,L16:M16)</f>
        <v>#NAME?</v>
      </c>
      <c r="O16" s="39"/>
      <c r="P16" s="39" t="e">
        <f ca="1">[3]!interpol(A16,[5]CN_CON10_D4!$A$1:$A$20,[5]CN_CON10_D4!$B$1:$B$20)</f>
        <v>#NAME?</v>
      </c>
      <c r="Q16" s="39" t="e">
        <f ca="1">[3]!interpol(A16,[5]CN_CON15_D4!$A$1:$A$20,[5]CN_CON15_D4!$B$1:$B$20)</f>
        <v>#NAME?</v>
      </c>
      <c r="R16" s="87" t="e">
        <f ca="1">[3]!interpol(R$3,P$3:Q$3,P16:Q16)</f>
        <v>#NAME?</v>
      </c>
      <c r="S16" s="87" t="e">
        <f t="shared" ca="1" si="1"/>
        <v>#NAME?</v>
      </c>
      <c r="T16" s="39" t="e">
        <f ca="1">[3]!interpol(T$2,R$2:S$2,R16:S16)</f>
        <v>#NAME?</v>
      </c>
      <c r="U16" s="39" t="e">
        <f ca="1">[3]!interpol(U$2,R$2:S$2,R16:S16)</f>
        <v>#NAME?</v>
      </c>
      <c r="W16" s="85" t="e">
        <f ca="1">[3]!interpol($A16,[5]XCP_CON10_D0!$A$1:$A$26,[5]XCP_CON10_D0!$B$1:$B$26)</f>
        <v>#NAME?</v>
      </c>
      <c r="X16" s="39" t="e">
        <f ca="1">[3]!interpol($A16,[5]XCP_CON15_D0!$A$1:$A$26,[5]XCP_CON15_D0!$B$1:$B$26)</f>
        <v>#NAME?</v>
      </c>
      <c r="Y16" s="39" t="e">
        <f t="shared" ca="1" si="2"/>
        <v>#NAME?</v>
      </c>
      <c r="Z16" s="39"/>
      <c r="AA16" s="39" t="e">
        <f ca="1">[3]!interpol($A16,[5]XCP_CON10_D4!$A$1:$A$26,[5]XCP_CON10_D4!$B$1:$B$26)</f>
        <v>#NAME?</v>
      </c>
      <c r="AB16" s="39" t="e">
        <f ca="1">[3]!interpol($A16,[5]XCP_CON15_D4!$A$1:$A$26,[5]XCP_CON15_D4!$B$1:$B$26)</f>
        <v>#NAME?</v>
      </c>
      <c r="AC16" s="87" t="e">
        <f t="shared" ca="1" si="3"/>
        <v>#NAME?</v>
      </c>
      <c r="AD16" t="e">
        <f t="shared" ca="1" si="4"/>
        <v>#NAME?</v>
      </c>
      <c r="AE16" t="e">
        <f t="shared" ca="1" si="5"/>
        <v>#NAME?</v>
      </c>
      <c r="AF16" t="e">
        <f t="shared" ca="1" si="6"/>
        <v>#NAME?</v>
      </c>
    </row>
    <row r="17" spans="1:32">
      <c r="A17" s="110">
        <v>1.06</v>
      </c>
      <c r="B17" s="85">
        <v>0.15965318100000001</v>
      </c>
      <c r="C17" s="39" t="e">
        <f ca="1">[3]!interpol(A17,[5]CA_CON15_D0!$A$1:$A$21,[5]CA_CON15_D0!$B$1:$B$21)</f>
        <v>#NAME?</v>
      </c>
      <c r="D17" s="39" t="e">
        <f ca="1">[3]!interpol(D$3,B$3:C$3,B17:C17)</f>
        <v>#NAME?</v>
      </c>
      <c r="E17" s="39"/>
      <c r="F17" s="39" t="e">
        <f ca="1">[3]!interpol(A17,[5]CA_CON10_D4!$A$1:$A$20,[5]CA_CON10_D4!$B$1:$B$20)</f>
        <v>#NAME?</v>
      </c>
      <c r="G17" s="39" t="e">
        <f ca="1">[3]!interpol(A17,[5]CA_CON15_D4!$A$1:$A$20,[5]CA_CON15_D4!$B$1:$B$20)</f>
        <v>#NAME?</v>
      </c>
      <c r="H17" s="87" t="e">
        <f ca="1">[3]!interpol(H$3,F$3:G$3,F17:G17)</f>
        <v>#NAME?</v>
      </c>
      <c r="I17" s="39" t="e">
        <f t="shared" ca="1" si="0"/>
        <v>#NAME?</v>
      </c>
      <c r="J17" s="110" t="e">
        <f ca="1">[3]!interpol(J$2,H$2:I$2,H17:I17)</f>
        <v>#NAME?</v>
      </c>
      <c r="L17" s="85" t="e">
        <f ca="1">[3]!interpol(A17,[5]CN_CON10_D0!$A$1:$A$21,[5]CN_CON10_D0!$B$1:$B$21)</f>
        <v>#NAME?</v>
      </c>
      <c r="M17" s="39" t="e">
        <f ca="1">[3]!interpol(A17,[5]CN_CON15_D0!$A$1:$A$21,[5]CN_CON15_D0!$B$1:$B$21)</f>
        <v>#NAME?</v>
      </c>
      <c r="N17" s="39" t="e">
        <f ca="1">[3]!interpol(N$3,L$3:M$3,L17:M17)</f>
        <v>#NAME?</v>
      </c>
      <c r="O17" s="39"/>
      <c r="P17" s="39" t="e">
        <f ca="1">[3]!interpol(A17,[5]CN_CON10_D4!$A$1:$A$20,[5]CN_CON10_D4!$B$1:$B$20)</f>
        <v>#NAME?</v>
      </c>
      <c r="Q17" s="39" t="e">
        <f ca="1">[3]!interpol(A17,[5]CN_CON15_D4!$A$1:$A$20,[5]CN_CON15_D4!$B$1:$B$20)</f>
        <v>#NAME?</v>
      </c>
      <c r="R17" s="87" t="e">
        <f ca="1">[3]!interpol(R$3,P$3:Q$3,P17:Q17)</f>
        <v>#NAME?</v>
      </c>
      <c r="S17" s="87" t="e">
        <f t="shared" ca="1" si="1"/>
        <v>#NAME?</v>
      </c>
      <c r="T17" s="39" t="e">
        <f ca="1">[3]!interpol(T$2,R$2:S$2,R17:S17)</f>
        <v>#NAME?</v>
      </c>
      <c r="U17" s="39" t="e">
        <f ca="1">[3]!interpol(U$2,R$2:S$2,R17:S17)</f>
        <v>#NAME?</v>
      </c>
      <c r="W17" s="85" t="e">
        <f ca="1">[3]!interpol($A17,[5]XCP_CON10_D0!$A$1:$A$26,[5]XCP_CON10_D0!$B$1:$B$26)</f>
        <v>#NAME?</v>
      </c>
      <c r="X17" s="39" t="e">
        <f ca="1">[3]!interpol($A17,[5]XCP_CON15_D0!$A$1:$A$26,[5]XCP_CON15_D0!$B$1:$B$26)</f>
        <v>#NAME?</v>
      </c>
      <c r="Y17" s="39" t="e">
        <f t="shared" ca="1" si="2"/>
        <v>#NAME?</v>
      </c>
      <c r="Z17" s="39"/>
      <c r="AA17" s="39" t="e">
        <f ca="1">[3]!interpol($A17,[5]XCP_CON10_D4!$A$1:$A$26,[5]XCP_CON10_D4!$B$1:$B$26)</f>
        <v>#NAME?</v>
      </c>
      <c r="AB17" s="39" t="e">
        <f ca="1">[3]!interpol($A17,[5]XCP_CON15_D4!$A$1:$A$26,[5]XCP_CON15_D4!$B$1:$B$26)</f>
        <v>#NAME?</v>
      </c>
      <c r="AC17" s="87" t="e">
        <f t="shared" ca="1" si="3"/>
        <v>#NAME?</v>
      </c>
      <c r="AD17" t="e">
        <f t="shared" ca="1" si="4"/>
        <v>#NAME?</v>
      </c>
      <c r="AE17" t="e">
        <f t="shared" ca="1" si="5"/>
        <v>#NAME?</v>
      </c>
      <c r="AF17" t="e">
        <f t="shared" ca="1" si="6"/>
        <v>#NAME?</v>
      </c>
    </row>
    <row r="18" spans="1:32">
      <c r="A18" s="110">
        <v>1.08</v>
      </c>
      <c r="B18" s="85">
        <v>0.166518678</v>
      </c>
      <c r="C18" s="39" t="e">
        <f ca="1">[3]!interpol(A18,[5]CA_CON15_D0!$A$1:$A$21,[5]CA_CON15_D0!$B$1:$B$21)</f>
        <v>#NAME?</v>
      </c>
      <c r="D18" s="39" t="e">
        <f ca="1">[3]!interpol(D$3,B$3:C$3,B18:C18)</f>
        <v>#NAME?</v>
      </c>
      <c r="E18" s="39"/>
      <c r="F18" s="39" t="e">
        <f ca="1">[3]!interpol(A18,[5]CA_CON10_D4!$A$1:$A$20,[5]CA_CON10_D4!$B$1:$B$20)</f>
        <v>#NAME?</v>
      </c>
      <c r="G18" s="39" t="e">
        <f ca="1">[3]!interpol(A18,[5]CA_CON15_D4!$A$1:$A$20,[5]CA_CON15_D4!$B$1:$B$20)</f>
        <v>#NAME?</v>
      </c>
      <c r="H18" s="87" t="e">
        <f ca="1">[3]!interpol(H$3,F$3:G$3,F18:G18)</f>
        <v>#NAME?</v>
      </c>
      <c r="I18" s="39" t="e">
        <f t="shared" ca="1" si="0"/>
        <v>#NAME?</v>
      </c>
      <c r="J18" s="110" t="e">
        <f ca="1">[3]!interpol(J$2,H$2:I$2,H18:I18)</f>
        <v>#NAME?</v>
      </c>
      <c r="L18" s="85" t="e">
        <f ca="1">[3]!interpol(A18,[5]CN_CON10_D0!$A$1:$A$21,[5]CN_CON10_D0!$B$1:$B$21)</f>
        <v>#NAME?</v>
      </c>
      <c r="M18" s="39" t="e">
        <f ca="1">[3]!interpol(A18,[5]CN_CON15_D0!$A$1:$A$21,[5]CN_CON15_D0!$B$1:$B$21)</f>
        <v>#NAME?</v>
      </c>
      <c r="N18" s="39" t="e">
        <f ca="1">[3]!interpol(N$3,L$3:M$3,L18:M18)</f>
        <v>#NAME?</v>
      </c>
      <c r="O18" s="39"/>
      <c r="P18" s="39" t="e">
        <f ca="1">[3]!interpol(A18,[5]CN_CON10_D4!$A$1:$A$20,[5]CN_CON10_D4!$B$1:$B$20)</f>
        <v>#NAME?</v>
      </c>
      <c r="Q18" s="39" t="e">
        <f ca="1">[3]!interpol(A18,[5]CN_CON15_D4!$A$1:$A$20,[5]CN_CON15_D4!$B$1:$B$20)</f>
        <v>#NAME?</v>
      </c>
      <c r="R18" s="87" t="e">
        <f ca="1">[3]!interpol(R$3,P$3:Q$3,P18:Q18)</f>
        <v>#NAME?</v>
      </c>
      <c r="S18" s="87" t="e">
        <f t="shared" ca="1" si="1"/>
        <v>#NAME?</v>
      </c>
      <c r="T18" s="39" t="e">
        <f ca="1">[3]!interpol(T$2,R$2:S$2,R18:S18)</f>
        <v>#NAME?</v>
      </c>
      <c r="U18" s="39" t="e">
        <f ca="1">[3]!interpol(U$2,R$2:S$2,R18:S18)</f>
        <v>#NAME?</v>
      </c>
      <c r="W18" s="85" t="e">
        <f ca="1">[3]!interpol($A18,[5]XCP_CON10_D0!$A$1:$A$26,[5]XCP_CON10_D0!$B$1:$B$26)</f>
        <v>#NAME?</v>
      </c>
      <c r="X18" s="39" t="e">
        <f ca="1">[3]!interpol($A18,[5]XCP_CON15_D0!$A$1:$A$26,[5]XCP_CON15_D0!$B$1:$B$26)</f>
        <v>#NAME?</v>
      </c>
      <c r="Y18" s="39" t="e">
        <f t="shared" ca="1" si="2"/>
        <v>#NAME?</v>
      </c>
      <c r="Z18" s="39"/>
      <c r="AA18" s="39" t="e">
        <f ca="1">[3]!interpol($A18,[5]XCP_CON10_D4!$A$1:$A$26,[5]XCP_CON10_D4!$B$1:$B$26)</f>
        <v>#NAME?</v>
      </c>
      <c r="AB18" s="39" t="e">
        <f ca="1">[3]!interpol($A18,[5]XCP_CON15_D4!$A$1:$A$26,[5]XCP_CON15_D4!$B$1:$B$26)</f>
        <v>#NAME?</v>
      </c>
      <c r="AC18" s="87" t="e">
        <f t="shared" ca="1" si="3"/>
        <v>#NAME?</v>
      </c>
      <c r="AD18" t="e">
        <f t="shared" ca="1" si="4"/>
        <v>#NAME?</v>
      </c>
      <c r="AE18" t="e">
        <f t="shared" ca="1" si="5"/>
        <v>#NAME?</v>
      </c>
      <c r="AF18" t="e">
        <f t="shared" ca="1" si="6"/>
        <v>#NAME?</v>
      </c>
    </row>
    <row r="19" spans="1:32">
      <c r="A19" s="110">
        <v>1.1000000000000001</v>
      </c>
      <c r="B19" s="85">
        <v>0.17029207299999999</v>
      </c>
      <c r="C19" s="39" t="e">
        <f ca="1">[3]!interpol(A19,[5]CA_CON15_D0!$A$1:$A$21,[5]CA_CON15_D0!$B$1:$B$21)</f>
        <v>#NAME?</v>
      </c>
      <c r="D19" s="39" t="e">
        <f ca="1">[3]!interpol(D$3,B$3:C$3,B19:C19)</f>
        <v>#NAME?</v>
      </c>
      <c r="E19" s="39"/>
      <c r="F19" s="39" t="e">
        <f ca="1">[3]!interpol(A19,[5]CA_CON10_D4!$A$1:$A$20,[5]CA_CON10_D4!$B$1:$B$20)</f>
        <v>#NAME?</v>
      </c>
      <c r="G19" s="39" t="e">
        <f ca="1">[3]!interpol(A19,[5]CA_CON15_D4!$A$1:$A$20,[5]CA_CON15_D4!$B$1:$B$20)</f>
        <v>#NAME?</v>
      </c>
      <c r="H19" s="87" t="e">
        <f ca="1">[3]!interpol(H$3,F$3:G$3,F19:G19)</f>
        <v>#NAME?</v>
      </c>
      <c r="I19" s="39" t="e">
        <f t="shared" ca="1" si="0"/>
        <v>#NAME?</v>
      </c>
      <c r="J19" s="110" t="e">
        <f ca="1">[3]!interpol(J$2,H$2:I$2,H19:I19)</f>
        <v>#NAME?</v>
      </c>
      <c r="L19" s="85" t="e">
        <f ca="1">[3]!interpol(A19,[5]CN_CON10_D0!$A$1:$A$21,[5]CN_CON10_D0!$B$1:$B$21)</f>
        <v>#NAME?</v>
      </c>
      <c r="M19" s="39" t="e">
        <f ca="1">[3]!interpol(A19,[5]CN_CON15_D0!$A$1:$A$21,[5]CN_CON15_D0!$B$1:$B$21)</f>
        <v>#NAME?</v>
      </c>
      <c r="N19" s="39" t="e">
        <f ca="1">[3]!interpol(N$3,L$3:M$3,L19:M19)</f>
        <v>#NAME?</v>
      </c>
      <c r="O19" s="39"/>
      <c r="P19" s="39" t="e">
        <f ca="1">[3]!interpol(A19,[5]CN_CON10_D4!$A$1:$A$20,[5]CN_CON10_D4!$B$1:$B$20)</f>
        <v>#NAME?</v>
      </c>
      <c r="Q19" s="39" t="e">
        <f ca="1">[3]!interpol(A19,[5]CN_CON15_D4!$A$1:$A$20,[5]CN_CON15_D4!$B$1:$B$20)</f>
        <v>#NAME?</v>
      </c>
      <c r="R19" s="87" t="e">
        <f ca="1">[3]!interpol(R$3,P$3:Q$3,P19:Q19)</f>
        <v>#NAME?</v>
      </c>
      <c r="S19" s="87" t="e">
        <f t="shared" ca="1" si="1"/>
        <v>#NAME?</v>
      </c>
      <c r="T19" s="39" t="e">
        <f ca="1">[3]!interpol(T$2,R$2:S$2,R19:S19)</f>
        <v>#NAME?</v>
      </c>
      <c r="U19" s="39" t="e">
        <f ca="1">[3]!interpol(U$2,R$2:S$2,R19:S19)</f>
        <v>#NAME?</v>
      </c>
      <c r="W19" s="85" t="e">
        <f ca="1">[3]!interpol($A19,[5]XCP_CON10_D0!$A$1:$A$26,[5]XCP_CON10_D0!$B$1:$B$26)</f>
        <v>#NAME?</v>
      </c>
      <c r="X19" s="39" t="e">
        <f ca="1">[3]!interpol($A19,[5]XCP_CON15_D0!$A$1:$A$26,[5]XCP_CON15_D0!$B$1:$B$26)</f>
        <v>#NAME?</v>
      </c>
      <c r="Y19" s="39" t="e">
        <f t="shared" ca="1" si="2"/>
        <v>#NAME?</v>
      </c>
      <c r="Z19" s="39"/>
      <c r="AA19" s="39" t="e">
        <f ca="1">[3]!interpol($A19,[5]XCP_CON10_D4!$A$1:$A$26,[5]XCP_CON10_D4!$B$1:$B$26)</f>
        <v>#NAME?</v>
      </c>
      <c r="AB19" s="39" t="e">
        <f ca="1">[3]!interpol($A19,[5]XCP_CON15_D4!$A$1:$A$26,[5]XCP_CON15_D4!$B$1:$B$26)</f>
        <v>#NAME?</v>
      </c>
      <c r="AC19" s="87" t="e">
        <f t="shared" ca="1" si="3"/>
        <v>#NAME?</v>
      </c>
      <c r="AD19" t="e">
        <f t="shared" ca="1" si="4"/>
        <v>#NAME?</v>
      </c>
      <c r="AE19" t="e">
        <f t="shared" ca="1" si="5"/>
        <v>#NAME?</v>
      </c>
      <c r="AF19" t="e">
        <f t="shared" ca="1" si="6"/>
        <v>#NAME?</v>
      </c>
    </row>
    <row r="20" spans="1:32">
      <c r="A20" s="110">
        <v>1.3</v>
      </c>
      <c r="B20" s="85">
        <v>0.158302003</v>
      </c>
      <c r="C20" s="39" t="e">
        <f ca="1">[3]!interpol(A20,[5]CA_CON15_D0!$A$1:$A$21,[5]CA_CON15_D0!$B$1:$B$21)</f>
        <v>#NAME?</v>
      </c>
      <c r="D20" s="39" t="e">
        <f ca="1">[3]!interpol(D$3,B$3:C$3,B20:C20)</f>
        <v>#NAME?</v>
      </c>
      <c r="E20" s="39"/>
      <c r="F20" s="39" t="e">
        <f ca="1">[3]!interpol(A20,[5]CA_CON10_D4!$A$1:$A$20,[5]CA_CON10_D4!$B$1:$B$20)</f>
        <v>#NAME?</v>
      </c>
      <c r="G20" s="39" t="e">
        <f ca="1">[3]!interpol(A20,[5]CA_CON15_D4!$A$1:$A$20,[5]CA_CON15_D4!$B$1:$B$20)</f>
        <v>#NAME?</v>
      </c>
      <c r="H20" s="87" t="e">
        <f ca="1">[3]!interpol(H$3,F$3:G$3,F20:G20)</f>
        <v>#NAME?</v>
      </c>
      <c r="I20" s="39" t="e">
        <f t="shared" ca="1" si="0"/>
        <v>#NAME?</v>
      </c>
      <c r="J20" s="110" t="e">
        <f ca="1">[3]!interpol(J$2,H$2:I$2,H20:I20)</f>
        <v>#NAME?</v>
      </c>
      <c r="L20" s="85" t="e">
        <f ca="1">[3]!interpol(A20,[5]CN_CON10_D0!$A$1:$A$21,[5]CN_CON10_D0!$B$1:$B$21)</f>
        <v>#NAME?</v>
      </c>
      <c r="M20" s="39" t="e">
        <f ca="1">[3]!interpol(A20,[5]CN_CON15_D0!$A$1:$A$21,[5]CN_CON15_D0!$B$1:$B$21)</f>
        <v>#NAME?</v>
      </c>
      <c r="N20" s="39" t="e">
        <f ca="1">[3]!interpol(N$3,L$3:M$3,L20:M20)</f>
        <v>#NAME?</v>
      </c>
      <c r="O20" s="39"/>
      <c r="P20" s="39" t="e">
        <f ca="1">[3]!interpol(A20,[5]CN_CON10_D4!$A$1:$A$20,[5]CN_CON10_D4!$B$1:$B$20)</f>
        <v>#NAME?</v>
      </c>
      <c r="Q20" s="39" t="e">
        <f ca="1">[3]!interpol(A20,[5]CN_CON15_D4!$A$1:$A$20,[5]CN_CON15_D4!$B$1:$B$20)</f>
        <v>#NAME?</v>
      </c>
      <c r="R20" s="87" t="e">
        <f ca="1">[3]!interpol(R$3,P$3:Q$3,P20:Q20)</f>
        <v>#NAME?</v>
      </c>
      <c r="S20" s="87" t="e">
        <f t="shared" ca="1" si="1"/>
        <v>#NAME?</v>
      </c>
      <c r="T20" s="39" t="e">
        <f ca="1">[3]!interpol(T$2,R$2:S$2,R20:S20)</f>
        <v>#NAME?</v>
      </c>
      <c r="U20" s="39" t="e">
        <f ca="1">[3]!interpol(U$2,R$2:S$2,R20:S20)</f>
        <v>#NAME?</v>
      </c>
      <c r="W20" s="85" t="e">
        <f ca="1">[3]!interpol($A20,[5]XCP_CON10_D0!$A$1:$A$26,[5]XCP_CON10_D0!$B$1:$B$26)</f>
        <v>#NAME?</v>
      </c>
      <c r="X20" s="39" t="e">
        <f ca="1">[3]!interpol($A20,[5]XCP_CON15_D0!$A$1:$A$26,[5]XCP_CON15_D0!$B$1:$B$26)</f>
        <v>#NAME?</v>
      </c>
      <c r="Y20" s="39" t="e">
        <f t="shared" ca="1" si="2"/>
        <v>#NAME?</v>
      </c>
      <c r="Z20" s="39"/>
      <c r="AA20" s="39" t="e">
        <f ca="1">[3]!interpol($A20,[5]XCP_CON10_D4!$A$1:$A$26,[5]XCP_CON10_D4!$B$1:$B$26)</f>
        <v>#NAME?</v>
      </c>
      <c r="AB20" s="39" t="e">
        <f ca="1">[3]!interpol($A20,[5]XCP_CON15_D4!$A$1:$A$26,[5]XCP_CON15_D4!$B$1:$B$26)</f>
        <v>#NAME?</v>
      </c>
      <c r="AC20" s="87" t="e">
        <f t="shared" ca="1" si="3"/>
        <v>#NAME?</v>
      </c>
      <c r="AD20" t="e">
        <f t="shared" ca="1" si="4"/>
        <v>#NAME?</v>
      </c>
      <c r="AE20" t="e">
        <f t="shared" ca="1" si="5"/>
        <v>#NAME?</v>
      </c>
      <c r="AF20" t="e">
        <f t="shared" ca="1" si="6"/>
        <v>#NAME?</v>
      </c>
    </row>
    <row r="21" spans="1:32">
      <c r="A21" s="110">
        <v>1.5</v>
      </c>
      <c r="B21" s="85">
        <v>0.14717382400000001</v>
      </c>
      <c r="C21" s="39" t="e">
        <f ca="1">[3]!interpol(A21,[5]CA_CON15_D0!$A$1:$A$21,[5]CA_CON15_D0!$B$1:$B$21)</f>
        <v>#NAME?</v>
      </c>
      <c r="D21" s="39" t="e">
        <f ca="1">[3]!interpol(D$3,B$3:C$3,B21:C21)</f>
        <v>#NAME?</v>
      </c>
      <c r="E21" s="39"/>
      <c r="F21" s="39" t="e">
        <f ca="1">[3]!interpol(A21,[5]CA_CON10_D4!$A$1:$A$20,[5]CA_CON10_D4!$B$1:$B$20)</f>
        <v>#NAME?</v>
      </c>
      <c r="G21" s="39" t="e">
        <f ca="1">[3]!interpol(A21,[5]CA_CON15_D4!$A$1:$A$20,[5]CA_CON15_D4!$B$1:$B$20)</f>
        <v>#NAME?</v>
      </c>
      <c r="H21" s="87" t="e">
        <f ca="1">[3]!interpol(H$3,F$3:G$3,F21:G21)</f>
        <v>#NAME?</v>
      </c>
      <c r="I21" s="39" t="e">
        <f t="shared" ca="1" si="0"/>
        <v>#NAME?</v>
      </c>
      <c r="J21" s="110" t="e">
        <f ca="1">[3]!interpol(J$2,H$2:I$2,H21:I21)</f>
        <v>#NAME?</v>
      </c>
      <c r="L21" s="85" t="e">
        <f ca="1">[3]!interpol(A21,[5]CN_CON10_D0!$A$1:$A$21,[5]CN_CON10_D0!$B$1:$B$21)</f>
        <v>#NAME?</v>
      </c>
      <c r="M21" s="39" t="e">
        <f ca="1">[3]!interpol(A21,[5]CN_CON15_D0!$A$1:$A$21,[5]CN_CON15_D0!$B$1:$B$21)</f>
        <v>#NAME?</v>
      </c>
      <c r="N21" s="39" t="e">
        <f ca="1">[3]!interpol(N$3,L$3:M$3,L21:M21)</f>
        <v>#NAME?</v>
      </c>
      <c r="O21" s="39"/>
      <c r="P21" s="39" t="e">
        <f ca="1">[3]!interpol(A21,[5]CN_CON10_D4!$A$1:$A$20,[5]CN_CON10_D4!$B$1:$B$20)</f>
        <v>#NAME?</v>
      </c>
      <c r="Q21" s="39" t="e">
        <f ca="1">[3]!interpol(A21,[5]CN_CON15_D4!$A$1:$A$20,[5]CN_CON15_D4!$B$1:$B$20)</f>
        <v>#NAME?</v>
      </c>
      <c r="R21" s="87" t="e">
        <f ca="1">[3]!interpol(R$3,P$3:Q$3,P21:Q21)</f>
        <v>#NAME?</v>
      </c>
      <c r="S21" s="87" t="e">
        <f t="shared" ca="1" si="1"/>
        <v>#NAME?</v>
      </c>
      <c r="T21" s="39" t="e">
        <f ca="1">[3]!interpol(T$2,R$2:S$2,R21:S21)</f>
        <v>#NAME?</v>
      </c>
      <c r="U21" s="39" t="e">
        <f ca="1">[3]!interpol(U$2,R$2:S$2,R21:S21)</f>
        <v>#NAME?</v>
      </c>
      <c r="W21" s="85" t="e">
        <f ca="1">[3]!interpol($A21,[5]XCP_CON10_D0!$A$1:$A$26,[5]XCP_CON10_D0!$B$1:$B$26)</f>
        <v>#NAME?</v>
      </c>
      <c r="X21" s="39" t="e">
        <f ca="1">[3]!interpol($A21,[5]XCP_CON15_D0!$A$1:$A$26,[5]XCP_CON15_D0!$B$1:$B$26)</f>
        <v>#NAME?</v>
      </c>
      <c r="Y21" s="39" t="e">
        <f t="shared" ca="1" si="2"/>
        <v>#NAME?</v>
      </c>
      <c r="Z21" s="39"/>
      <c r="AA21" s="39" t="e">
        <f ca="1">[3]!interpol($A21,[5]XCP_CON10_D4!$A$1:$A$26,[5]XCP_CON10_D4!$B$1:$B$26)</f>
        <v>#NAME?</v>
      </c>
      <c r="AB21" s="39" t="e">
        <f ca="1">[3]!interpol($A21,[5]XCP_CON15_D4!$A$1:$A$26,[5]XCP_CON15_D4!$B$1:$B$26)</f>
        <v>#NAME?</v>
      </c>
      <c r="AC21" s="87" t="e">
        <f t="shared" ca="1" si="3"/>
        <v>#NAME?</v>
      </c>
      <c r="AD21" t="e">
        <f t="shared" ca="1" si="4"/>
        <v>#NAME?</v>
      </c>
      <c r="AE21" t="e">
        <f t="shared" ca="1" si="5"/>
        <v>#NAME?</v>
      </c>
      <c r="AF21" t="e">
        <f t="shared" ca="1" si="6"/>
        <v>#NAME?</v>
      </c>
    </row>
    <row r="22" spans="1:32">
      <c r="A22" s="110">
        <v>1.7</v>
      </c>
      <c r="B22" s="85">
        <v>0.13839849700000001</v>
      </c>
      <c r="C22" s="39" t="e">
        <f ca="1">[3]!interpol(A22,[5]CA_CON15_D0!$A$1:$A$21,[5]CA_CON15_D0!$B$1:$B$21)</f>
        <v>#NAME?</v>
      </c>
      <c r="D22" s="39" t="e">
        <f ca="1">[3]!interpol(D$3,B$3:C$3,B22:C22)</f>
        <v>#NAME?</v>
      </c>
      <c r="E22" s="39"/>
      <c r="F22" s="39" t="e">
        <f ca="1">[3]!interpol(A22,[5]CA_CON10_D4!$A$1:$A$20,[5]CA_CON10_D4!$B$1:$B$20)</f>
        <v>#NAME?</v>
      </c>
      <c r="G22" s="39" t="e">
        <f ca="1">[3]!interpol(A22,[5]CA_CON15_D4!$A$1:$A$20,[5]CA_CON15_D4!$B$1:$B$20)</f>
        <v>#NAME?</v>
      </c>
      <c r="H22" s="87" t="e">
        <f ca="1">[3]!interpol(H$3,F$3:G$3,F22:G22)</f>
        <v>#NAME?</v>
      </c>
      <c r="I22" s="39" t="e">
        <f t="shared" ca="1" si="0"/>
        <v>#NAME?</v>
      </c>
      <c r="J22" s="110" t="e">
        <f ca="1">[3]!interpol(J$2,H$2:I$2,H22:I22)</f>
        <v>#NAME?</v>
      </c>
      <c r="L22" s="85" t="e">
        <f ca="1">[3]!interpol(A22,[5]CN_CON10_D0!$A$1:$A$21,[5]CN_CON10_D0!$B$1:$B$21)</f>
        <v>#NAME?</v>
      </c>
      <c r="M22" s="39" t="e">
        <f ca="1">[3]!interpol(A22,[5]CN_CON15_D0!$A$1:$A$21,[5]CN_CON15_D0!$B$1:$B$21)</f>
        <v>#NAME?</v>
      </c>
      <c r="N22" s="39" t="e">
        <f ca="1">[3]!interpol(N$3,L$3:M$3,L22:M22)</f>
        <v>#NAME?</v>
      </c>
      <c r="O22" s="39"/>
      <c r="P22" s="39" t="e">
        <f ca="1">[3]!interpol(A22,[5]CN_CON10_D4!$A$1:$A$20,[5]CN_CON10_D4!$B$1:$B$20)</f>
        <v>#NAME?</v>
      </c>
      <c r="Q22" s="39" t="e">
        <f ca="1">[3]!interpol(A22,[5]CN_CON15_D4!$A$1:$A$20,[5]CN_CON15_D4!$B$1:$B$20)</f>
        <v>#NAME?</v>
      </c>
      <c r="R22" s="87" t="e">
        <f ca="1">[3]!interpol(R$3,P$3:Q$3,P22:Q22)</f>
        <v>#NAME?</v>
      </c>
      <c r="S22" s="87" t="e">
        <f t="shared" ca="1" si="1"/>
        <v>#NAME?</v>
      </c>
      <c r="T22" s="39" t="e">
        <f ca="1">[3]!interpol(T$2,R$2:S$2,R22:S22)</f>
        <v>#NAME?</v>
      </c>
      <c r="U22" s="39" t="e">
        <f ca="1">[3]!interpol(U$2,R$2:S$2,R22:S22)</f>
        <v>#NAME?</v>
      </c>
      <c r="W22" s="85" t="e">
        <f ca="1">[3]!interpol($A22,[5]XCP_CON10_D0!$A$1:$A$26,[5]XCP_CON10_D0!$B$1:$B$26)</f>
        <v>#NAME?</v>
      </c>
      <c r="X22" s="39" t="e">
        <f ca="1">[3]!interpol($A22,[5]XCP_CON15_D0!$A$1:$A$26,[5]XCP_CON15_D0!$B$1:$B$26)</f>
        <v>#NAME?</v>
      </c>
      <c r="Y22" s="39" t="e">
        <f t="shared" ca="1" si="2"/>
        <v>#NAME?</v>
      </c>
      <c r="Z22" s="39"/>
      <c r="AA22" s="39" t="e">
        <f ca="1">[3]!interpol($A22,[5]XCP_CON10_D4!$A$1:$A$26,[5]XCP_CON10_D4!$B$1:$B$26)</f>
        <v>#NAME?</v>
      </c>
      <c r="AB22" s="39" t="e">
        <f ca="1">[3]!interpol($A22,[5]XCP_CON15_D4!$A$1:$A$26,[5]XCP_CON15_D4!$B$1:$B$26)</f>
        <v>#NAME?</v>
      </c>
      <c r="AC22" s="87" t="e">
        <f t="shared" ca="1" si="3"/>
        <v>#NAME?</v>
      </c>
      <c r="AD22" t="e">
        <f t="shared" ca="1" si="4"/>
        <v>#NAME?</v>
      </c>
      <c r="AE22" t="e">
        <f t="shared" ca="1" si="5"/>
        <v>#NAME?</v>
      </c>
      <c r="AF22" t="e">
        <f t="shared" ca="1" si="6"/>
        <v>#NAME?</v>
      </c>
    </row>
    <row r="23" spans="1:32">
      <c r="A23" s="110">
        <v>1.9</v>
      </c>
      <c r="B23" s="85">
        <v>0.12962317000000001</v>
      </c>
      <c r="C23" s="39" t="e">
        <f ca="1">[3]!interpol(A23,[5]CA_CON15_D0!$A$1:$A$21,[5]CA_CON15_D0!$B$1:$B$21)</f>
        <v>#NAME?</v>
      </c>
      <c r="D23" s="39" t="e">
        <f ca="1">[3]!interpol(D$3,B$3:C$3,B23:C23)</f>
        <v>#NAME?</v>
      </c>
      <c r="E23" s="39"/>
      <c r="F23" s="39" t="e">
        <f ca="1">[3]!interpol(A23,[5]CA_CON10_D4!$A$1:$A$20,[5]CA_CON10_D4!$B$1:$B$20)</f>
        <v>#NAME?</v>
      </c>
      <c r="G23" s="39" t="e">
        <f ca="1">[3]!interpol(A23,[5]CA_CON15_D4!$A$1:$A$20,[5]CA_CON15_D4!$B$1:$B$20)</f>
        <v>#NAME?</v>
      </c>
      <c r="H23" s="87" t="e">
        <f ca="1">[3]!interpol(H$3,F$3:G$3,F23:G23)</f>
        <v>#NAME?</v>
      </c>
      <c r="I23" s="39" t="e">
        <f t="shared" ca="1" si="0"/>
        <v>#NAME?</v>
      </c>
      <c r="J23" s="110" t="e">
        <f ca="1">[3]!interpol(J$2,H$2:I$2,H23:I23)</f>
        <v>#NAME?</v>
      </c>
      <c r="L23" s="85" t="e">
        <f ca="1">[3]!interpol(A23,[5]CN_CON10_D0!$A$1:$A$21,[5]CN_CON10_D0!$B$1:$B$21)</f>
        <v>#NAME?</v>
      </c>
      <c r="M23" s="39" t="e">
        <f ca="1">[3]!interpol(A23,[5]CN_CON15_D0!$A$1:$A$21,[5]CN_CON15_D0!$B$1:$B$21)</f>
        <v>#NAME?</v>
      </c>
      <c r="N23" s="39" t="e">
        <f ca="1">[3]!interpol(N$3,L$3:M$3,L23:M23)</f>
        <v>#NAME?</v>
      </c>
      <c r="O23" s="39"/>
      <c r="P23" s="39" t="e">
        <f ca="1">[3]!interpol(A23,[5]CN_CON10_D4!$A$1:$A$20,[5]CN_CON10_D4!$B$1:$B$20)</f>
        <v>#NAME?</v>
      </c>
      <c r="Q23" s="39" t="e">
        <f ca="1">[3]!interpol(A23,[5]CN_CON15_D4!$A$1:$A$20,[5]CN_CON15_D4!$B$1:$B$20)</f>
        <v>#NAME?</v>
      </c>
      <c r="R23" s="87" t="e">
        <f ca="1">[3]!interpol(R$3,P$3:Q$3,P23:Q23)</f>
        <v>#NAME?</v>
      </c>
      <c r="S23" s="87" t="e">
        <f t="shared" ca="1" si="1"/>
        <v>#NAME?</v>
      </c>
      <c r="T23" s="39" t="e">
        <f ca="1">[3]!interpol(T$2,R$2:S$2,R23:S23)</f>
        <v>#NAME?</v>
      </c>
      <c r="U23" s="39" t="e">
        <f ca="1">[3]!interpol(U$2,R$2:S$2,R23:S23)</f>
        <v>#NAME?</v>
      </c>
      <c r="W23" s="85" t="e">
        <f ca="1">[3]!interpol($A23,[5]XCP_CON10_D0!$A$1:$A$26,[5]XCP_CON10_D0!$B$1:$B$26)</f>
        <v>#NAME?</v>
      </c>
      <c r="X23" s="39" t="e">
        <f ca="1">[3]!interpol($A23,[5]XCP_CON15_D0!$A$1:$A$26,[5]XCP_CON15_D0!$B$1:$B$26)</f>
        <v>#NAME?</v>
      </c>
      <c r="Y23" s="39" t="e">
        <f t="shared" ca="1" si="2"/>
        <v>#NAME?</v>
      </c>
      <c r="Z23" s="39"/>
      <c r="AA23" s="39" t="e">
        <f ca="1">[3]!interpol($A23,[5]XCP_CON10_D4!$A$1:$A$26,[5]XCP_CON10_D4!$B$1:$B$26)</f>
        <v>#NAME?</v>
      </c>
      <c r="AB23" s="39" t="e">
        <f ca="1">[3]!interpol($A23,[5]XCP_CON15_D4!$A$1:$A$26,[5]XCP_CON15_D4!$B$1:$B$26)</f>
        <v>#NAME?</v>
      </c>
      <c r="AC23" s="87" t="e">
        <f t="shared" ca="1" si="3"/>
        <v>#NAME?</v>
      </c>
      <c r="AD23" t="e">
        <f t="shared" ca="1" si="4"/>
        <v>#NAME?</v>
      </c>
      <c r="AE23" t="e">
        <f t="shared" ca="1" si="5"/>
        <v>#NAME?</v>
      </c>
      <c r="AF23" t="e">
        <f t="shared" ca="1" si="6"/>
        <v>#NAME?</v>
      </c>
    </row>
    <row r="24" spans="1:32">
      <c r="A24" s="110">
        <v>2.1</v>
      </c>
      <c r="B24" s="85">
        <v>0.12376724</v>
      </c>
      <c r="C24" s="39" t="e">
        <f ca="1">[3]!interpol(A24,[5]CA_CON15_D0!$A$1:$A$21,[5]CA_CON15_D0!$B$1:$B$21)</f>
        <v>#NAME?</v>
      </c>
      <c r="D24" s="39" t="e">
        <f ca="1">[3]!interpol(D$3,B$3:C$3,B24:C24)</f>
        <v>#NAME?</v>
      </c>
      <c r="E24" s="39"/>
      <c r="F24" s="39" t="e">
        <f ca="1">[3]!interpol(A24,[5]CA_CON10_D4!$A$1:$A$20,[5]CA_CON10_D4!$B$1:$B$20)</f>
        <v>#NAME?</v>
      </c>
      <c r="G24" s="39" t="e">
        <f ca="1">[3]!interpol(A24,[5]CA_CON15_D4!$A$1:$A$20,[5]CA_CON15_D4!$B$1:$B$20)</f>
        <v>#NAME?</v>
      </c>
      <c r="H24" s="87" t="e">
        <f ca="1">[3]!interpol(H$3,F$3:G$3,F24:G24)</f>
        <v>#NAME?</v>
      </c>
      <c r="I24" s="39" t="e">
        <f t="shared" ca="1" si="0"/>
        <v>#NAME?</v>
      </c>
      <c r="J24" s="110" t="e">
        <f ca="1">[3]!interpol(J$2,H$2:I$2,H24:I24)</f>
        <v>#NAME?</v>
      </c>
      <c r="L24" s="85" t="e">
        <f ca="1">[3]!interpol(A24,[5]CN_CON10_D0!$A$1:$A$21,[5]CN_CON10_D0!$B$1:$B$21)</f>
        <v>#NAME?</v>
      </c>
      <c r="M24" s="39" t="e">
        <f ca="1">[3]!interpol(A24,[5]CN_CON15_D0!$A$1:$A$21,[5]CN_CON15_D0!$B$1:$B$21)</f>
        <v>#NAME?</v>
      </c>
      <c r="N24" s="39" t="e">
        <f ca="1">[3]!interpol(N$3,L$3:M$3,L24:M24)</f>
        <v>#NAME?</v>
      </c>
      <c r="O24" s="39"/>
      <c r="P24" s="39" t="e">
        <f ca="1">[3]!interpol(A24,[5]CN_CON10_D4!$A$1:$A$20,[5]CN_CON10_D4!$B$1:$B$20)</f>
        <v>#NAME?</v>
      </c>
      <c r="Q24" s="39" t="e">
        <f ca="1">[3]!interpol(A24,[5]CN_CON15_D4!$A$1:$A$20,[5]CN_CON15_D4!$B$1:$B$20)</f>
        <v>#NAME?</v>
      </c>
      <c r="R24" s="87" t="e">
        <f ca="1">[3]!interpol(R$3,P$3:Q$3,P24:Q24)</f>
        <v>#NAME?</v>
      </c>
      <c r="S24" s="87" t="e">
        <f t="shared" ca="1" si="1"/>
        <v>#NAME?</v>
      </c>
      <c r="T24" s="39" t="e">
        <f ca="1">[3]!interpol(T$2,R$2:S$2,R24:S24)</f>
        <v>#NAME?</v>
      </c>
      <c r="U24" s="39" t="e">
        <f ca="1">[3]!interpol(U$2,R$2:S$2,R24:S24)</f>
        <v>#NAME?</v>
      </c>
      <c r="W24" s="85" t="e">
        <f ca="1">[3]!interpol($A24,[5]XCP_CON10_D0!$A$1:$A$26,[5]XCP_CON10_D0!$B$1:$B$26)</f>
        <v>#NAME?</v>
      </c>
      <c r="X24" s="39" t="e">
        <f ca="1">[3]!interpol($A24,[5]XCP_CON15_D0!$A$1:$A$26,[5]XCP_CON15_D0!$B$1:$B$26)</f>
        <v>#NAME?</v>
      </c>
      <c r="Y24" s="39" t="e">
        <f t="shared" ca="1" si="2"/>
        <v>#NAME?</v>
      </c>
      <c r="Z24" s="39"/>
      <c r="AA24" s="39" t="e">
        <f ca="1">[3]!interpol($A24,[5]XCP_CON10_D4!$A$1:$A$26,[5]XCP_CON10_D4!$B$1:$B$26)</f>
        <v>#NAME?</v>
      </c>
      <c r="AB24" s="39" t="e">
        <f ca="1">[3]!interpol($A24,[5]XCP_CON15_D4!$A$1:$A$26,[5]XCP_CON15_D4!$B$1:$B$26)</f>
        <v>#NAME?</v>
      </c>
      <c r="AC24" s="87" t="e">
        <f t="shared" ca="1" si="3"/>
        <v>#NAME?</v>
      </c>
      <c r="AD24" t="e">
        <f t="shared" ca="1" si="4"/>
        <v>#NAME?</v>
      </c>
      <c r="AE24" t="e">
        <f t="shared" ca="1" si="5"/>
        <v>#NAME?</v>
      </c>
      <c r="AF24" t="e">
        <f t="shared" ca="1" si="6"/>
        <v>#NAME?</v>
      </c>
    </row>
    <row r="25" spans="1:32">
      <c r="A25" s="110">
        <v>2.2999999999999998</v>
      </c>
      <c r="B25" s="85">
        <v>0.118820305</v>
      </c>
      <c r="C25" s="39" t="e">
        <f ca="1">[3]!interpol(A25,[5]CA_CON15_D0!$A$1:$A$21,[5]CA_CON15_D0!$B$1:$B$21)</f>
        <v>#NAME?</v>
      </c>
      <c r="D25" s="39" t="e">
        <f ca="1">[3]!interpol(D$3,B$3:C$3,B25:C25)</f>
        <v>#NAME?</v>
      </c>
      <c r="E25" s="39"/>
      <c r="F25" s="39" t="e">
        <f ca="1">[3]!interpol(A25,[5]CA_CON10_D4!$A$1:$A$20,[5]CA_CON10_D4!$B$1:$B$20)</f>
        <v>#NAME?</v>
      </c>
      <c r="G25" s="39" t="e">
        <f ca="1">[3]!interpol(A25,[5]CA_CON15_D4!$A$1:$A$20,[5]CA_CON15_D4!$B$1:$B$20)</f>
        <v>#NAME?</v>
      </c>
      <c r="H25" s="87" t="e">
        <f ca="1">[3]!interpol(H$3,F$3:G$3,F25:G25)</f>
        <v>#NAME?</v>
      </c>
      <c r="I25" s="39" t="e">
        <f t="shared" ca="1" si="0"/>
        <v>#NAME?</v>
      </c>
      <c r="J25" s="110" t="e">
        <f ca="1">[3]!interpol(J$2,H$2:I$2,H25:I25)</f>
        <v>#NAME?</v>
      </c>
      <c r="L25" s="85" t="e">
        <f ca="1">[3]!interpol(A25,[5]CN_CON10_D0!$A$1:$A$21,[5]CN_CON10_D0!$B$1:$B$21)</f>
        <v>#NAME?</v>
      </c>
      <c r="M25" s="39" t="e">
        <f ca="1">[3]!interpol(A25,[5]CN_CON15_D0!$A$1:$A$21,[5]CN_CON15_D0!$B$1:$B$21)</f>
        <v>#NAME?</v>
      </c>
      <c r="N25" s="39" t="e">
        <f ca="1">[3]!interpol(N$3,L$3:M$3,L25:M25)</f>
        <v>#NAME?</v>
      </c>
      <c r="O25" s="39"/>
      <c r="P25" s="39" t="e">
        <f ca="1">[3]!interpol(A25,[5]CN_CON10_D4!$A$1:$A$20,[5]CN_CON10_D4!$B$1:$B$20)</f>
        <v>#NAME?</v>
      </c>
      <c r="Q25" s="39" t="e">
        <f ca="1">[3]!interpol(A25,[5]CN_CON15_D4!$A$1:$A$20,[5]CN_CON15_D4!$B$1:$B$20)</f>
        <v>#NAME?</v>
      </c>
      <c r="R25" s="87" t="e">
        <f ca="1">[3]!interpol(R$3,P$3:Q$3,P25:Q25)</f>
        <v>#NAME?</v>
      </c>
      <c r="S25" s="87" t="e">
        <f t="shared" ca="1" si="1"/>
        <v>#NAME?</v>
      </c>
      <c r="T25" s="39" t="e">
        <f ca="1">[3]!interpol(T$2,R$2:S$2,R25:S25)</f>
        <v>#NAME?</v>
      </c>
      <c r="U25" s="39" t="e">
        <f ca="1">[3]!interpol(U$2,R$2:S$2,R25:S25)</f>
        <v>#NAME?</v>
      </c>
      <c r="W25" s="85" t="e">
        <f ca="1">[3]!interpol($A25,[5]XCP_CON10_D0!$A$1:$A$26,[5]XCP_CON10_D0!$B$1:$B$26)</f>
        <v>#NAME?</v>
      </c>
      <c r="X25" s="39" t="e">
        <f ca="1">[3]!interpol($A25,[5]XCP_CON15_D0!$A$1:$A$26,[5]XCP_CON15_D0!$B$1:$B$26)</f>
        <v>#NAME?</v>
      </c>
      <c r="Y25" s="39" t="e">
        <f t="shared" ca="1" si="2"/>
        <v>#NAME?</v>
      </c>
      <c r="Z25" s="39"/>
      <c r="AA25" s="39" t="e">
        <f ca="1">[3]!interpol($A25,[5]XCP_CON10_D4!$A$1:$A$26,[5]XCP_CON10_D4!$B$1:$B$26)</f>
        <v>#NAME?</v>
      </c>
      <c r="AB25" s="39" t="e">
        <f ca="1">[3]!interpol($A25,[5]XCP_CON15_D4!$A$1:$A$26,[5]XCP_CON15_D4!$B$1:$B$26)</f>
        <v>#NAME?</v>
      </c>
      <c r="AC25" s="87" t="e">
        <f t="shared" ca="1" si="3"/>
        <v>#NAME?</v>
      </c>
      <c r="AD25" t="e">
        <f t="shared" ca="1" si="4"/>
        <v>#NAME?</v>
      </c>
      <c r="AE25" t="e">
        <f t="shared" ca="1" si="5"/>
        <v>#NAME?</v>
      </c>
      <c r="AF25" t="e">
        <f t="shared" ca="1" si="6"/>
        <v>#NAME?</v>
      </c>
    </row>
    <row r="26" spans="1:32">
      <c r="A26" s="110">
        <v>2.5</v>
      </c>
      <c r="B26" s="85">
        <v>0.11387337</v>
      </c>
      <c r="C26" s="39" t="e">
        <f ca="1">[3]!interpol(A26,[5]CA_CON15_D0!$A$1:$A$21,[5]CA_CON15_D0!$B$1:$B$21)</f>
        <v>#NAME?</v>
      </c>
      <c r="D26" s="39" t="e">
        <f ca="1">[3]!interpol(D$3,B$3:C$3,B26:C26)</f>
        <v>#NAME?</v>
      </c>
      <c r="E26" s="39"/>
      <c r="F26" s="39" t="e">
        <f ca="1">[3]!interpol(A26,[5]CA_CON10_D4!$A$1:$A$20,[5]CA_CON10_D4!$B$1:$B$20)</f>
        <v>#NAME?</v>
      </c>
      <c r="G26" s="39" t="e">
        <f ca="1">[3]!interpol(A26,[5]CA_CON15_D4!$A$1:$A$20,[5]CA_CON15_D4!$B$1:$B$20)</f>
        <v>#NAME?</v>
      </c>
      <c r="H26" s="87" t="e">
        <f ca="1">[3]!interpol(H$3,F$3:G$3,F26:G26)</f>
        <v>#NAME?</v>
      </c>
      <c r="I26" s="39" t="e">
        <f t="shared" ca="1" si="0"/>
        <v>#NAME?</v>
      </c>
      <c r="J26" s="110" t="e">
        <f ca="1">[3]!interpol(J$2,H$2:I$2,H26:I26)</f>
        <v>#NAME?</v>
      </c>
      <c r="L26" s="85" t="e">
        <f ca="1">[3]!interpol(A26,[5]CN_CON10_D0!$A$1:$A$21,[5]CN_CON10_D0!$B$1:$B$21)</f>
        <v>#NAME?</v>
      </c>
      <c r="M26" s="39" t="e">
        <f ca="1">[3]!interpol(A26,[5]CN_CON15_D0!$A$1:$A$21,[5]CN_CON15_D0!$B$1:$B$21)</f>
        <v>#NAME?</v>
      </c>
      <c r="N26" s="39" t="e">
        <f ca="1">[3]!interpol(N$3,L$3:M$3,L26:M26)</f>
        <v>#NAME?</v>
      </c>
      <c r="O26" s="39"/>
      <c r="P26" s="39" t="e">
        <f ca="1">[3]!interpol(A26,[5]CN_CON10_D4!$A$1:$A$20,[5]CN_CON10_D4!$B$1:$B$20)</f>
        <v>#NAME?</v>
      </c>
      <c r="Q26" s="39" t="e">
        <f ca="1">[3]!interpol(A26,[5]CN_CON15_D4!$A$1:$A$20,[5]CN_CON15_D4!$B$1:$B$20)</f>
        <v>#NAME?</v>
      </c>
      <c r="R26" s="87" t="e">
        <f ca="1">[3]!interpol(R$3,P$3:Q$3,P26:Q26)</f>
        <v>#NAME?</v>
      </c>
      <c r="S26" s="87" t="e">
        <f t="shared" ca="1" si="1"/>
        <v>#NAME?</v>
      </c>
      <c r="T26" s="39" t="e">
        <f ca="1">[3]!interpol(T$2,R$2:S$2,R26:S26)</f>
        <v>#NAME?</v>
      </c>
      <c r="U26" s="39" t="e">
        <f ca="1">[3]!interpol(U$2,R$2:S$2,R26:S26)</f>
        <v>#NAME?</v>
      </c>
      <c r="W26" s="85" t="e">
        <f ca="1">[3]!interpol($A26,[5]XCP_CON10_D0!$A$1:$A$26,[5]XCP_CON10_D0!$B$1:$B$26)</f>
        <v>#NAME?</v>
      </c>
      <c r="X26" s="39" t="e">
        <f ca="1">[3]!interpol($A26,[5]XCP_CON15_D0!$A$1:$A$26,[5]XCP_CON15_D0!$B$1:$B$26)</f>
        <v>#NAME?</v>
      </c>
      <c r="Y26" s="39" t="e">
        <f t="shared" ca="1" si="2"/>
        <v>#NAME?</v>
      </c>
      <c r="Z26" s="39"/>
      <c r="AA26" s="39" t="e">
        <f ca="1">[3]!interpol($A26,[5]XCP_CON10_D4!$A$1:$A$26,[5]XCP_CON10_D4!$B$1:$B$26)</f>
        <v>#NAME?</v>
      </c>
      <c r="AB26" s="39" t="e">
        <f ca="1">[3]!interpol($A26,[5]XCP_CON15_D4!$A$1:$A$26,[5]XCP_CON15_D4!$B$1:$B$26)</f>
        <v>#NAME?</v>
      </c>
      <c r="AC26" s="87" t="e">
        <f t="shared" ca="1" si="3"/>
        <v>#NAME?</v>
      </c>
      <c r="AD26" t="e">
        <f t="shared" ca="1" si="4"/>
        <v>#NAME?</v>
      </c>
      <c r="AE26" t="e">
        <f t="shared" ca="1" si="5"/>
        <v>#NAME?</v>
      </c>
      <c r="AF26" t="e">
        <f t="shared" ca="1" si="6"/>
        <v>#NAME?</v>
      </c>
    </row>
    <row r="27" spans="1:32">
      <c r="A27" s="110">
        <v>2.7</v>
      </c>
      <c r="B27" s="85">
        <v>0.108926435</v>
      </c>
      <c r="C27" s="39" t="e">
        <f ca="1">[3]!interpol(A27,[5]CA_CON15_D0!$A$1:$A$21,[5]CA_CON15_D0!$B$1:$B$21)</f>
        <v>#NAME?</v>
      </c>
      <c r="D27" s="39" t="e">
        <f ca="1">[3]!interpol(D$3,B$3:C$3,B27:C27)</f>
        <v>#NAME?</v>
      </c>
      <c r="E27" s="39"/>
      <c r="F27" s="39" t="e">
        <f ca="1">[3]!interpol(A27,[5]CA_CON10_D4!$A$1:$A$20,[5]CA_CON10_D4!$B$1:$B$20)</f>
        <v>#NAME?</v>
      </c>
      <c r="G27" s="39" t="e">
        <f ca="1">[3]!interpol(A27,[5]CA_CON15_D4!$A$1:$A$20,[5]CA_CON15_D4!$B$1:$B$20)</f>
        <v>#NAME?</v>
      </c>
      <c r="H27" s="87" t="e">
        <f ca="1">[3]!interpol(H$3,F$3:G$3,F27:G27)</f>
        <v>#NAME?</v>
      </c>
      <c r="I27" s="39" t="e">
        <f t="shared" ca="1" si="0"/>
        <v>#NAME?</v>
      </c>
      <c r="J27" s="110" t="e">
        <f ca="1">[3]!interpol(J$2,H$2:I$2,H27:I27)</f>
        <v>#NAME?</v>
      </c>
      <c r="L27" s="85" t="e">
        <f ca="1">[3]!interpol(A27,[5]CN_CON10_D0!$A$1:$A$21,[5]CN_CON10_D0!$B$1:$B$21)</f>
        <v>#NAME?</v>
      </c>
      <c r="M27" s="39" t="e">
        <f ca="1">[3]!interpol(A27,[5]CN_CON15_D0!$A$1:$A$21,[5]CN_CON15_D0!$B$1:$B$21)</f>
        <v>#NAME?</v>
      </c>
      <c r="N27" s="39" t="e">
        <f ca="1">[3]!interpol(N$3,L$3:M$3,L27:M27)</f>
        <v>#NAME?</v>
      </c>
      <c r="O27" s="39"/>
      <c r="P27" s="39" t="e">
        <f ca="1">[3]!interpol(A27,[5]CN_CON10_D4!$A$1:$A$20,[5]CN_CON10_D4!$B$1:$B$20)</f>
        <v>#NAME?</v>
      </c>
      <c r="Q27" s="39" t="e">
        <f ca="1">[3]!interpol(A27,[5]CN_CON15_D4!$A$1:$A$20,[5]CN_CON15_D4!$B$1:$B$20)</f>
        <v>#NAME?</v>
      </c>
      <c r="R27" s="87" t="e">
        <f ca="1">[3]!interpol(R$3,P$3:Q$3,P27:Q27)</f>
        <v>#NAME?</v>
      </c>
      <c r="S27" s="87" t="e">
        <f t="shared" ca="1" si="1"/>
        <v>#NAME?</v>
      </c>
      <c r="T27" s="39" t="e">
        <f ca="1">[3]!interpol(T$2,R$2:S$2,R27:S27)</f>
        <v>#NAME?</v>
      </c>
      <c r="U27" s="39" t="e">
        <f ca="1">[3]!interpol(U$2,R$2:S$2,R27:S27)</f>
        <v>#NAME?</v>
      </c>
      <c r="W27" s="85" t="e">
        <f ca="1">[3]!interpol($A27,[5]XCP_CON10_D0!$A$1:$A$26,[5]XCP_CON10_D0!$B$1:$B$26)</f>
        <v>#NAME?</v>
      </c>
      <c r="X27" s="39" t="e">
        <f ca="1">[3]!interpol($A27,[5]XCP_CON15_D0!$A$1:$A$26,[5]XCP_CON15_D0!$B$1:$B$26)</f>
        <v>#NAME?</v>
      </c>
      <c r="Y27" s="39" t="e">
        <f t="shared" ca="1" si="2"/>
        <v>#NAME?</v>
      </c>
      <c r="Z27" s="39"/>
      <c r="AA27" s="39" t="e">
        <f ca="1">[3]!interpol($A27,[5]XCP_CON10_D4!$A$1:$A$26,[5]XCP_CON10_D4!$B$1:$B$26)</f>
        <v>#NAME?</v>
      </c>
      <c r="AB27" s="39" t="e">
        <f ca="1">[3]!interpol($A27,[5]XCP_CON15_D4!$A$1:$A$26,[5]XCP_CON15_D4!$B$1:$B$26)</f>
        <v>#NAME?</v>
      </c>
      <c r="AC27" s="87" t="e">
        <f t="shared" ca="1" si="3"/>
        <v>#NAME?</v>
      </c>
      <c r="AD27" t="e">
        <f t="shared" ca="1" si="4"/>
        <v>#NAME?</v>
      </c>
      <c r="AE27" t="e">
        <f t="shared" ca="1" si="5"/>
        <v>#NAME?</v>
      </c>
      <c r="AF27" t="e">
        <f t="shared" ca="1" si="6"/>
        <v>#NAME?</v>
      </c>
    </row>
    <row r="28" spans="1:32">
      <c r="A28" s="110">
        <v>2.9</v>
      </c>
      <c r="B28" s="85">
        <v>0.10709128900000001</v>
      </c>
      <c r="C28" s="39" t="e">
        <f ca="1">[3]!interpol(A28,[5]CA_CON15_D0!$A$1:$A$21,[5]CA_CON15_D0!$B$1:$B$21)</f>
        <v>#NAME?</v>
      </c>
      <c r="D28" s="39" t="e">
        <f ca="1">[3]!interpol(D$3,B$3:C$3,B28:C28)</f>
        <v>#NAME?</v>
      </c>
      <c r="E28" s="39"/>
      <c r="F28" s="39" t="e">
        <f ca="1">[3]!interpol(A28,[5]CA_CON10_D4!$A$1:$A$20,[5]CA_CON10_D4!$B$1:$B$20)</f>
        <v>#NAME?</v>
      </c>
      <c r="G28" s="39" t="e">
        <f ca="1">[3]!interpol(A28,[5]CA_CON15_D4!$A$1:$A$20,[5]CA_CON15_D4!$B$1:$B$20)</f>
        <v>#NAME?</v>
      </c>
      <c r="H28" s="87" t="e">
        <f ca="1">[3]!interpol(H$3,F$3:G$3,F28:G28)</f>
        <v>#NAME?</v>
      </c>
      <c r="I28" s="39" t="e">
        <f t="shared" ca="1" si="0"/>
        <v>#NAME?</v>
      </c>
      <c r="J28" s="110" t="e">
        <f ca="1">[3]!interpol(J$2,H$2:I$2,H28:I28)</f>
        <v>#NAME?</v>
      </c>
      <c r="L28" s="85" t="e">
        <f ca="1">[3]!interpol(A28,[5]CN_CON10_D0!$A$1:$A$21,[5]CN_CON10_D0!$B$1:$B$21)</f>
        <v>#NAME?</v>
      </c>
      <c r="M28" s="39" t="e">
        <f ca="1">[3]!interpol(A28,[5]CN_CON15_D0!$A$1:$A$21,[5]CN_CON15_D0!$B$1:$B$21)</f>
        <v>#NAME?</v>
      </c>
      <c r="N28" s="39" t="e">
        <f ca="1">[3]!interpol(N$3,L$3:M$3,L28:M28)</f>
        <v>#NAME?</v>
      </c>
      <c r="O28" s="39"/>
      <c r="P28" s="39" t="e">
        <f ca="1">[3]!interpol(A28,[5]CN_CON10_D4!$A$1:$A$20,[5]CN_CON10_D4!$B$1:$B$20)</f>
        <v>#NAME?</v>
      </c>
      <c r="Q28" s="39" t="e">
        <f ca="1">[3]!interpol(A28,[5]CN_CON15_D4!$A$1:$A$20,[5]CN_CON15_D4!$B$1:$B$20)</f>
        <v>#NAME?</v>
      </c>
      <c r="R28" s="87" t="e">
        <f ca="1">[3]!interpol(R$3,P$3:Q$3,P28:Q28)</f>
        <v>#NAME?</v>
      </c>
      <c r="S28" s="87" t="e">
        <f t="shared" ca="1" si="1"/>
        <v>#NAME?</v>
      </c>
      <c r="T28" s="39" t="e">
        <f ca="1">[3]!interpol(T$2,R$2:S$2,R28:S28)</f>
        <v>#NAME?</v>
      </c>
      <c r="U28" s="39" t="e">
        <f ca="1">[3]!interpol(U$2,R$2:S$2,R28:S28)</f>
        <v>#NAME?</v>
      </c>
      <c r="W28" s="85" t="e">
        <f ca="1">[3]!interpol($A28,[5]XCP_CON10_D0!$A$1:$A$26,[5]XCP_CON10_D0!$B$1:$B$26)</f>
        <v>#NAME?</v>
      </c>
      <c r="X28" s="39" t="e">
        <f ca="1">[3]!interpol($A28,[5]XCP_CON15_D0!$A$1:$A$26,[5]XCP_CON15_D0!$B$1:$B$26)</f>
        <v>#NAME?</v>
      </c>
      <c r="Y28" s="39" t="e">
        <f t="shared" ca="1" si="2"/>
        <v>#NAME?</v>
      </c>
      <c r="Z28" s="39"/>
      <c r="AA28" s="39" t="e">
        <f ca="1">[3]!interpol($A28,[5]XCP_CON10_D4!$A$1:$A$26,[5]XCP_CON10_D4!$B$1:$B$26)</f>
        <v>#NAME?</v>
      </c>
      <c r="AB28" s="39" t="e">
        <f ca="1">[3]!interpol($A28,[5]XCP_CON15_D4!$A$1:$A$26,[5]XCP_CON15_D4!$B$1:$B$26)</f>
        <v>#NAME?</v>
      </c>
      <c r="AC28" s="87" t="e">
        <f t="shared" ca="1" si="3"/>
        <v>#NAME?</v>
      </c>
      <c r="AD28" t="e">
        <f t="shared" ca="1" si="4"/>
        <v>#NAME?</v>
      </c>
      <c r="AE28" t="e">
        <f t="shared" ca="1" si="5"/>
        <v>#NAME?</v>
      </c>
      <c r="AF28" t="e">
        <f t="shared" ca="1" si="6"/>
        <v>#NAME?</v>
      </c>
    </row>
    <row r="29" spans="1:32">
      <c r="A29" s="110">
        <v>3.1</v>
      </c>
      <c r="B29" s="85">
        <v>0.10618907900000001</v>
      </c>
      <c r="C29" s="39" t="e">
        <f ca="1">[3]!interpol(A29,[5]CA_CON15_D0!$A$1:$A$21,[5]CA_CON15_D0!$B$1:$B$21)</f>
        <v>#NAME?</v>
      </c>
      <c r="D29" s="39" t="e">
        <f ca="1">[3]!interpol(D$3,B$3:C$3,B29:C29)</f>
        <v>#NAME?</v>
      </c>
      <c r="E29" s="39"/>
      <c r="F29" s="39" t="e">
        <f ca="1">[3]!interpol(A29,[5]CA_CON10_D4!$A$1:$A$20,[5]CA_CON10_D4!$B$1:$B$20)</f>
        <v>#NAME?</v>
      </c>
      <c r="G29" s="39" t="e">
        <f ca="1">[3]!interpol(A29,[5]CA_CON15_D4!$A$1:$A$20,[5]CA_CON15_D4!$B$1:$B$20)</f>
        <v>#NAME?</v>
      </c>
      <c r="H29" s="87" t="e">
        <f ca="1">[3]!interpol(H$3,F$3:G$3,F29:G29)</f>
        <v>#NAME?</v>
      </c>
      <c r="I29" s="39" t="e">
        <f t="shared" ca="1" si="0"/>
        <v>#NAME?</v>
      </c>
      <c r="J29" s="110" t="e">
        <f ca="1">[3]!interpol(J$2,H$2:I$2,H29:I29)</f>
        <v>#NAME?</v>
      </c>
      <c r="L29" s="85" t="e">
        <f ca="1">[3]!interpol(A29,[5]CN_CON10_D0!$A$1:$A$21,[5]CN_CON10_D0!$B$1:$B$21)</f>
        <v>#NAME?</v>
      </c>
      <c r="M29" s="39" t="e">
        <f ca="1">[3]!interpol(A29,[5]CN_CON15_D0!$A$1:$A$21,[5]CN_CON15_D0!$B$1:$B$21)</f>
        <v>#NAME?</v>
      </c>
      <c r="N29" s="39" t="e">
        <f ca="1">[3]!interpol(N$3,L$3:M$3,L29:M29)</f>
        <v>#NAME?</v>
      </c>
      <c r="O29" s="39"/>
      <c r="P29" s="39" t="e">
        <f ca="1">[3]!interpol(A29,[5]CN_CON10_D4!$A$1:$A$20,[5]CN_CON10_D4!$B$1:$B$20)</f>
        <v>#NAME?</v>
      </c>
      <c r="Q29" s="39" t="e">
        <f ca="1">[3]!interpol(A29,[5]CN_CON15_D4!$A$1:$A$20,[5]CN_CON15_D4!$B$1:$B$20)</f>
        <v>#NAME?</v>
      </c>
      <c r="R29" s="87" t="e">
        <f ca="1">[3]!interpol(R$3,P$3:Q$3,P29:Q29)</f>
        <v>#NAME?</v>
      </c>
      <c r="S29" s="87" t="e">
        <f t="shared" ca="1" si="1"/>
        <v>#NAME?</v>
      </c>
      <c r="T29" s="39" t="e">
        <f ca="1">[3]!interpol(T$2,R$2:S$2,R29:S29)</f>
        <v>#NAME?</v>
      </c>
      <c r="U29" s="39" t="e">
        <f ca="1">[3]!interpol(U$2,R$2:S$2,R29:S29)</f>
        <v>#NAME?</v>
      </c>
      <c r="W29" s="85" t="e">
        <f ca="1">[3]!interpol($A29,[5]XCP_CON10_D0!$A$1:$A$26,[5]XCP_CON10_D0!$B$1:$B$26)</f>
        <v>#NAME?</v>
      </c>
      <c r="X29" s="39" t="e">
        <f ca="1">[3]!interpol($A29,[5]XCP_CON15_D0!$A$1:$A$26,[5]XCP_CON15_D0!$B$1:$B$26)</f>
        <v>#NAME?</v>
      </c>
      <c r="Y29" s="39" t="e">
        <f t="shared" ca="1" si="2"/>
        <v>#NAME?</v>
      </c>
      <c r="Z29" s="39"/>
      <c r="AA29" s="39" t="e">
        <f ca="1">[3]!interpol($A29,[5]XCP_CON10_D4!$A$1:$A$26,[5]XCP_CON10_D4!$B$1:$B$26)</f>
        <v>#NAME?</v>
      </c>
      <c r="AB29" s="39" t="e">
        <f ca="1">[3]!interpol($A29,[5]XCP_CON15_D4!$A$1:$A$26,[5]XCP_CON15_D4!$B$1:$B$26)</f>
        <v>#NAME?</v>
      </c>
      <c r="AC29" s="87" t="e">
        <f t="shared" ca="1" si="3"/>
        <v>#NAME?</v>
      </c>
      <c r="AD29" t="e">
        <f t="shared" ca="1" si="4"/>
        <v>#NAME?</v>
      </c>
      <c r="AE29" t="e">
        <f t="shared" ca="1" si="5"/>
        <v>#NAME?</v>
      </c>
      <c r="AF29" t="e">
        <f t="shared" ca="1" si="6"/>
        <v>#NAME?</v>
      </c>
    </row>
    <row r="30" spans="1:32">
      <c r="A30" s="110">
        <v>3.3</v>
      </c>
      <c r="B30" s="85">
        <v>0.10528686900000001</v>
      </c>
      <c r="C30" s="39" t="e">
        <f ca="1">[3]!interpol(A30,[5]CA_CON15_D0!$A$1:$A$21,[5]CA_CON15_D0!$B$1:$B$21)</f>
        <v>#NAME?</v>
      </c>
      <c r="D30" s="39" t="e">
        <f ca="1">[3]!interpol(D$3,B$3:C$3,B30:C30)</f>
        <v>#NAME?</v>
      </c>
      <c r="E30" s="39"/>
      <c r="F30" s="39" t="e">
        <f ca="1">[3]!interpol(A30,[5]CA_CON10_D4!$A$1:$A$20,[5]CA_CON10_D4!$B$1:$B$20)</f>
        <v>#NAME?</v>
      </c>
      <c r="G30" s="39" t="e">
        <f ca="1">[3]!interpol(A30,[5]CA_CON15_D4!$A$1:$A$20,[5]CA_CON15_D4!$B$1:$B$20)</f>
        <v>#NAME?</v>
      </c>
      <c r="H30" s="87" t="e">
        <f ca="1">[3]!interpol(H$3,F$3:G$3,F30:G30)</f>
        <v>#NAME?</v>
      </c>
      <c r="I30" s="39" t="e">
        <f t="shared" ca="1" si="0"/>
        <v>#NAME?</v>
      </c>
      <c r="J30" s="110" t="e">
        <f ca="1">[3]!interpol(J$2,H$2:I$2,H30:I30)</f>
        <v>#NAME?</v>
      </c>
      <c r="L30" s="85" t="e">
        <f ca="1">[3]!interpol(A30,[5]CN_CON10_D0!$A$1:$A$21,[5]CN_CON10_D0!$B$1:$B$21)</f>
        <v>#NAME?</v>
      </c>
      <c r="M30" s="39" t="e">
        <f ca="1">[3]!interpol(A30,[5]CN_CON15_D0!$A$1:$A$21,[5]CN_CON15_D0!$B$1:$B$21)</f>
        <v>#NAME?</v>
      </c>
      <c r="N30" s="39" t="e">
        <f ca="1">[3]!interpol(N$3,L$3:M$3,L30:M30)</f>
        <v>#NAME?</v>
      </c>
      <c r="O30" s="39"/>
      <c r="P30" s="39" t="e">
        <f ca="1">[3]!interpol(A30,[5]CN_CON10_D4!$A$1:$A$20,[5]CN_CON10_D4!$B$1:$B$20)</f>
        <v>#NAME?</v>
      </c>
      <c r="Q30" s="39" t="e">
        <f ca="1">[3]!interpol(A30,[5]CN_CON15_D4!$A$1:$A$20,[5]CN_CON15_D4!$B$1:$B$20)</f>
        <v>#NAME?</v>
      </c>
      <c r="R30" s="87" t="e">
        <f ca="1">[3]!interpol(R$3,P$3:Q$3,P30:Q30)</f>
        <v>#NAME?</v>
      </c>
      <c r="S30" s="87" t="e">
        <f t="shared" ca="1" si="1"/>
        <v>#NAME?</v>
      </c>
      <c r="T30" s="39" t="e">
        <f ca="1">[3]!interpol(T$2,R$2:S$2,R30:S30)</f>
        <v>#NAME?</v>
      </c>
      <c r="U30" s="39" t="e">
        <f ca="1">[3]!interpol(U$2,R$2:S$2,R30:S30)</f>
        <v>#NAME?</v>
      </c>
      <c r="W30" s="85" t="e">
        <f ca="1">[3]!interpol($A30,[5]XCP_CON10_D0!$A$1:$A$26,[5]XCP_CON10_D0!$B$1:$B$26)</f>
        <v>#NAME?</v>
      </c>
      <c r="X30" s="39" t="e">
        <f ca="1">[3]!interpol($A30,[5]XCP_CON15_D0!$A$1:$A$26,[5]XCP_CON15_D0!$B$1:$B$26)</f>
        <v>#NAME?</v>
      </c>
      <c r="Y30" s="39" t="e">
        <f t="shared" ca="1" si="2"/>
        <v>#NAME?</v>
      </c>
      <c r="Z30" s="39"/>
      <c r="AA30" s="39" t="e">
        <f ca="1">[3]!interpol($A30,[5]XCP_CON10_D4!$A$1:$A$26,[5]XCP_CON10_D4!$B$1:$B$26)</f>
        <v>#NAME?</v>
      </c>
      <c r="AB30" s="39" t="e">
        <f ca="1">[3]!interpol($A30,[5]XCP_CON15_D4!$A$1:$A$26,[5]XCP_CON15_D4!$B$1:$B$26)</f>
        <v>#NAME?</v>
      </c>
      <c r="AC30" s="87" t="e">
        <f t="shared" ca="1" si="3"/>
        <v>#NAME?</v>
      </c>
      <c r="AD30" t="e">
        <f t="shared" ca="1" si="4"/>
        <v>#NAME?</v>
      </c>
      <c r="AE30" t="e">
        <f t="shared" ca="1" si="5"/>
        <v>#NAME?</v>
      </c>
      <c r="AF30" t="e">
        <f t="shared" ca="1" si="6"/>
        <v>#NAME?</v>
      </c>
    </row>
    <row r="31" spans="1:32">
      <c r="A31" s="110">
        <v>3.5</v>
      </c>
      <c r="B31" s="85">
        <v>0.10438466</v>
      </c>
      <c r="C31" s="39" t="e">
        <f ca="1">[3]!interpol(A31,[5]CA_CON15_D0!$A$1:$A$21,[5]CA_CON15_D0!$B$1:$B$21)</f>
        <v>#NAME?</v>
      </c>
      <c r="D31" s="39" t="e">
        <f ca="1">[3]!interpol(D$3,B$3:C$3,B31:C31)</f>
        <v>#NAME?</v>
      </c>
      <c r="E31" s="39"/>
      <c r="F31" s="39" t="e">
        <f ca="1">[3]!interpol(A31,[5]CA_CON10_D4!$A$1:$A$20,[5]CA_CON10_D4!$B$1:$B$20)</f>
        <v>#NAME?</v>
      </c>
      <c r="G31" s="39" t="e">
        <f ca="1">[3]!interpol(A31,[5]CA_CON15_D4!$A$1:$A$20,[5]CA_CON15_D4!$B$1:$B$20)</f>
        <v>#NAME?</v>
      </c>
      <c r="H31" s="87" t="e">
        <f ca="1">[3]!interpol(H$3,F$3:G$3,F31:G31)</f>
        <v>#NAME?</v>
      </c>
      <c r="I31" s="39" t="e">
        <f t="shared" ca="1" si="0"/>
        <v>#NAME?</v>
      </c>
      <c r="J31" s="110" t="e">
        <f ca="1">[3]!interpol(J$2,H$2:I$2,H31:I31)</f>
        <v>#NAME?</v>
      </c>
      <c r="L31" s="85" t="e">
        <f ca="1">[3]!interpol(A31,[5]CN_CON10_D0!$A$1:$A$21,[5]CN_CON10_D0!$B$1:$B$21)</f>
        <v>#NAME?</v>
      </c>
      <c r="M31" s="39" t="e">
        <f ca="1">[3]!interpol(A31,[5]CN_CON15_D0!$A$1:$A$21,[5]CN_CON15_D0!$B$1:$B$21)</f>
        <v>#NAME?</v>
      </c>
      <c r="N31" s="39" t="e">
        <f ca="1">[3]!interpol(N$3,L$3:M$3,L31:M31)</f>
        <v>#NAME?</v>
      </c>
      <c r="O31" s="39"/>
      <c r="P31" s="39" t="e">
        <f ca="1">[3]!interpol(A31,[5]CN_CON10_D4!$A$1:$A$20,[5]CN_CON10_D4!$B$1:$B$20)</f>
        <v>#NAME?</v>
      </c>
      <c r="Q31" s="39" t="e">
        <f ca="1">[3]!interpol(A31,[5]CN_CON15_D4!$A$1:$A$20,[5]CN_CON15_D4!$B$1:$B$20)</f>
        <v>#NAME?</v>
      </c>
      <c r="R31" s="87" t="e">
        <f ca="1">[3]!interpol(R$3,P$3:Q$3,P31:Q31)</f>
        <v>#NAME?</v>
      </c>
      <c r="S31" s="87" t="e">
        <f t="shared" ca="1" si="1"/>
        <v>#NAME?</v>
      </c>
      <c r="T31" s="39" t="e">
        <f ca="1">[3]!interpol(T$2,R$2:S$2,R31:S31)</f>
        <v>#NAME?</v>
      </c>
      <c r="U31" s="39" t="e">
        <f ca="1">[3]!interpol(U$2,R$2:S$2,R31:S31)</f>
        <v>#NAME?</v>
      </c>
      <c r="W31" s="85" t="e">
        <f ca="1">[3]!interpol($A31,[5]XCP_CON10_D0!$A$1:$A$26,[5]XCP_CON10_D0!$B$1:$B$26)</f>
        <v>#NAME?</v>
      </c>
      <c r="X31" s="39" t="e">
        <f ca="1">[3]!interpol($A31,[5]XCP_CON15_D0!$A$1:$A$26,[5]XCP_CON15_D0!$B$1:$B$26)</f>
        <v>#NAME?</v>
      </c>
      <c r="Y31" s="39" t="e">
        <f t="shared" ca="1" si="2"/>
        <v>#NAME?</v>
      </c>
      <c r="Z31" s="39"/>
      <c r="AA31" s="39" t="e">
        <f ca="1">[3]!interpol($A31,[5]XCP_CON10_D4!$A$1:$A$26,[5]XCP_CON10_D4!$B$1:$B$26)</f>
        <v>#NAME?</v>
      </c>
      <c r="AB31" s="39" t="e">
        <f ca="1">[3]!interpol($A31,[5]XCP_CON15_D4!$A$1:$A$26,[5]XCP_CON15_D4!$B$1:$B$26)</f>
        <v>#NAME?</v>
      </c>
      <c r="AC31" s="87" t="e">
        <f t="shared" ca="1" si="3"/>
        <v>#NAME?</v>
      </c>
      <c r="AD31" t="e">
        <f t="shared" ca="1" si="4"/>
        <v>#NAME?</v>
      </c>
      <c r="AE31" t="e">
        <f t="shared" ca="1" si="5"/>
        <v>#NAME?</v>
      </c>
      <c r="AF31" t="e">
        <f t="shared" ca="1" si="6"/>
        <v>#NAME?</v>
      </c>
    </row>
    <row r="32" spans="1:32">
      <c r="A32" s="110">
        <v>3.7</v>
      </c>
      <c r="B32" s="85">
        <v>0.10348245</v>
      </c>
      <c r="C32" s="39" t="e">
        <f ca="1">[3]!interpol(A32,[5]CA_CON15_D0!$A$1:$A$21,[5]CA_CON15_D0!$B$1:$B$21)</f>
        <v>#NAME?</v>
      </c>
      <c r="D32" s="39" t="e">
        <f ca="1">[3]!interpol(D$3,B$3:C$3,B32:C32)</f>
        <v>#NAME?</v>
      </c>
      <c r="E32" s="39"/>
      <c r="F32" s="39" t="e">
        <f ca="1">[3]!interpol(A32,[5]CA_CON10_D4!$A$1:$A$20,[5]CA_CON10_D4!$B$1:$B$20)</f>
        <v>#NAME?</v>
      </c>
      <c r="G32" s="39" t="e">
        <f ca="1">[3]!interpol(A32,[5]CA_CON15_D4!$A$1:$A$20,[5]CA_CON15_D4!$B$1:$B$20)</f>
        <v>#NAME?</v>
      </c>
      <c r="H32" s="87" t="e">
        <f ca="1">[3]!interpol(H$3,F$3:G$3,F32:G32)</f>
        <v>#NAME?</v>
      </c>
      <c r="I32" s="39" t="e">
        <f t="shared" ca="1" si="0"/>
        <v>#NAME?</v>
      </c>
      <c r="J32" s="110" t="e">
        <f ca="1">[3]!interpol(J$2,H$2:I$2,H32:I32)</f>
        <v>#NAME?</v>
      </c>
      <c r="L32" s="85" t="e">
        <f ca="1">[3]!interpol(A32,[5]CN_CON10_D0!$A$1:$A$21,[5]CN_CON10_D0!$B$1:$B$21)</f>
        <v>#NAME?</v>
      </c>
      <c r="M32" s="39" t="e">
        <f ca="1">[3]!interpol(A32,[5]CN_CON15_D0!$A$1:$A$21,[5]CN_CON15_D0!$B$1:$B$21)</f>
        <v>#NAME?</v>
      </c>
      <c r="N32" s="39" t="e">
        <f ca="1">[3]!interpol(N$3,L$3:M$3,L32:M32)</f>
        <v>#NAME?</v>
      </c>
      <c r="O32" s="39"/>
      <c r="P32" s="39" t="e">
        <f ca="1">[3]!interpol(A32,[5]CN_CON10_D4!$A$1:$A$20,[5]CN_CON10_D4!$B$1:$B$20)</f>
        <v>#NAME?</v>
      </c>
      <c r="Q32" s="39" t="e">
        <f ca="1">[3]!interpol(A32,[5]CN_CON15_D4!$A$1:$A$20,[5]CN_CON15_D4!$B$1:$B$20)</f>
        <v>#NAME?</v>
      </c>
      <c r="R32" s="87" t="e">
        <f ca="1">[3]!interpol(R$3,P$3:Q$3,P32:Q32)</f>
        <v>#NAME?</v>
      </c>
      <c r="S32" s="87" t="e">
        <f t="shared" ca="1" si="1"/>
        <v>#NAME?</v>
      </c>
      <c r="T32" s="39" t="e">
        <f ca="1">[3]!interpol(T$2,R$2:S$2,R32:S32)</f>
        <v>#NAME?</v>
      </c>
      <c r="U32" s="39" t="e">
        <f ca="1">[3]!interpol(U$2,R$2:S$2,R32:S32)</f>
        <v>#NAME?</v>
      </c>
      <c r="W32" s="85" t="e">
        <f ca="1">[3]!interpol($A32,[5]XCP_CON10_D0!$A$1:$A$26,[5]XCP_CON10_D0!$B$1:$B$26)</f>
        <v>#NAME?</v>
      </c>
      <c r="X32" s="39" t="e">
        <f ca="1">[3]!interpol($A32,[5]XCP_CON15_D0!$A$1:$A$26,[5]XCP_CON15_D0!$B$1:$B$26)</f>
        <v>#NAME?</v>
      </c>
      <c r="Y32" s="39" t="e">
        <f t="shared" ca="1" si="2"/>
        <v>#NAME?</v>
      </c>
      <c r="Z32" s="39"/>
      <c r="AA32" s="39" t="e">
        <f ca="1">[3]!interpol($A32,[5]XCP_CON10_D4!$A$1:$A$26,[5]XCP_CON10_D4!$B$1:$B$26)</f>
        <v>#NAME?</v>
      </c>
      <c r="AB32" s="39" t="e">
        <f ca="1">[3]!interpol($A32,[5]XCP_CON15_D4!$A$1:$A$26,[5]XCP_CON15_D4!$B$1:$B$26)</f>
        <v>#NAME?</v>
      </c>
      <c r="AC32" s="87" t="e">
        <f t="shared" ca="1" si="3"/>
        <v>#NAME?</v>
      </c>
      <c r="AD32" t="e">
        <f t="shared" ca="1" si="4"/>
        <v>#NAME?</v>
      </c>
      <c r="AE32" t="e">
        <f t="shared" ca="1" si="5"/>
        <v>#NAME?</v>
      </c>
      <c r="AF32" t="e">
        <f t="shared" ca="1" si="6"/>
        <v>#NAME?</v>
      </c>
    </row>
    <row r="33" spans="1:32">
      <c r="A33" s="110">
        <v>3.9</v>
      </c>
      <c r="B33" s="85">
        <v>0.10258024</v>
      </c>
      <c r="C33" s="39" t="e">
        <f ca="1">[3]!interpol(A33,[5]CA_CON15_D0!$A$1:$A$21,[5]CA_CON15_D0!$B$1:$B$21)</f>
        <v>#NAME?</v>
      </c>
      <c r="D33" s="39" t="e">
        <f ca="1">[3]!interpol(D$3,B$3:C$3,B33:C33)</f>
        <v>#NAME?</v>
      </c>
      <c r="E33" s="39"/>
      <c r="F33" s="39" t="e">
        <f ca="1">[3]!interpol(A33,[5]CA_CON10_D4!$A$1:$A$20,[5]CA_CON10_D4!$B$1:$B$20)</f>
        <v>#NAME?</v>
      </c>
      <c r="G33" s="39" t="e">
        <f ca="1">[3]!interpol(A33,[5]CA_CON15_D4!$A$1:$A$20,[5]CA_CON15_D4!$B$1:$B$20)</f>
        <v>#NAME?</v>
      </c>
      <c r="H33" s="87" t="e">
        <f ca="1">[3]!interpol(H$3,F$3:G$3,F33:G33)</f>
        <v>#NAME?</v>
      </c>
      <c r="I33" s="39" t="e">
        <f t="shared" ca="1" si="0"/>
        <v>#NAME?</v>
      </c>
      <c r="J33" s="110" t="e">
        <f ca="1">[3]!interpol(J$2,H$2:I$2,H33:I33)</f>
        <v>#NAME?</v>
      </c>
      <c r="L33" s="85" t="e">
        <f ca="1">[3]!interpol(A33,[5]CN_CON10_D0!$A$1:$A$21,[5]CN_CON10_D0!$B$1:$B$21)</f>
        <v>#NAME?</v>
      </c>
      <c r="M33" s="39" t="e">
        <f ca="1">[3]!interpol(A33,[5]CN_CON15_D0!$A$1:$A$21,[5]CN_CON15_D0!$B$1:$B$21)</f>
        <v>#NAME?</v>
      </c>
      <c r="N33" s="39" t="e">
        <f ca="1">[3]!interpol(N$3,L$3:M$3,L33:M33)</f>
        <v>#NAME?</v>
      </c>
      <c r="O33" s="39"/>
      <c r="P33" s="39" t="e">
        <f ca="1">[3]!interpol(A33,[5]CN_CON10_D4!$A$1:$A$20,[5]CN_CON10_D4!$B$1:$B$20)</f>
        <v>#NAME?</v>
      </c>
      <c r="Q33" s="39" t="e">
        <f ca="1">[3]!interpol(A33,[5]CN_CON15_D4!$A$1:$A$20,[5]CN_CON15_D4!$B$1:$B$20)</f>
        <v>#NAME?</v>
      </c>
      <c r="R33" s="87" t="e">
        <f ca="1">[3]!interpol(R$3,P$3:Q$3,P33:Q33)</f>
        <v>#NAME?</v>
      </c>
      <c r="S33" s="87" t="e">
        <f t="shared" ca="1" si="1"/>
        <v>#NAME?</v>
      </c>
      <c r="T33" s="39" t="e">
        <f ca="1">[3]!interpol(T$2,R$2:S$2,R33:S33)</f>
        <v>#NAME?</v>
      </c>
      <c r="U33" s="39" t="e">
        <f ca="1">[3]!interpol(U$2,R$2:S$2,R33:S33)</f>
        <v>#NAME?</v>
      </c>
      <c r="W33" s="85" t="e">
        <f ca="1">[3]!interpol($A33,[5]XCP_CON10_D0!$A$1:$A$26,[5]XCP_CON10_D0!$B$1:$B$26)</f>
        <v>#NAME?</v>
      </c>
      <c r="X33" s="39" t="e">
        <f ca="1">[3]!interpol($A33,[5]XCP_CON15_D0!$A$1:$A$26,[5]XCP_CON15_D0!$B$1:$B$26)</f>
        <v>#NAME?</v>
      </c>
      <c r="Y33" s="39" t="e">
        <f t="shared" ca="1" si="2"/>
        <v>#NAME?</v>
      </c>
      <c r="Z33" s="39"/>
      <c r="AA33" s="39" t="e">
        <f ca="1">[3]!interpol($A33,[5]XCP_CON10_D4!$A$1:$A$26,[5]XCP_CON10_D4!$B$1:$B$26)</f>
        <v>#NAME?</v>
      </c>
      <c r="AB33" s="39" t="e">
        <f ca="1">[3]!interpol($A33,[5]XCP_CON15_D4!$A$1:$A$26,[5]XCP_CON15_D4!$B$1:$B$26)</f>
        <v>#NAME?</v>
      </c>
      <c r="AC33" s="87" t="e">
        <f t="shared" ca="1" si="3"/>
        <v>#NAME?</v>
      </c>
      <c r="AD33" t="e">
        <f t="shared" ca="1" si="4"/>
        <v>#NAME?</v>
      </c>
      <c r="AE33" t="e">
        <f t="shared" ca="1" si="5"/>
        <v>#NAME?</v>
      </c>
      <c r="AF33" t="e">
        <f t="shared" ca="1" si="6"/>
        <v>#NAME?</v>
      </c>
    </row>
    <row r="34" spans="1:32">
      <c r="A34" s="110">
        <v>4.0999999999999996</v>
      </c>
      <c r="B34" s="85">
        <v>0.102228281</v>
      </c>
      <c r="C34" s="39" t="e">
        <f ca="1">[3]!interpol(A34,[5]CA_CON15_D0!$A$1:$A$21,[5]CA_CON15_D0!$B$1:$B$21)</f>
        <v>#NAME?</v>
      </c>
      <c r="D34" s="39" t="e">
        <f ca="1">[3]!interpol(D$3,B$3:C$3,B34:C34)</f>
        <v>#NAME?</v>
      </c>
      <c r="E34" s="39"/>
      <c r="F34" s="39" t="e">
        <f ca="1">[3]!interpol(A34,[5]CA_CON10_D4!$A$1:$A$20,[5]CA_CON10_D4!$B$1:$B$20)</f>
        <v>#NAME?</v>
      </c>
      <c r="G34" s="39" t="e">
        <f ca="1">[3]!interpol(A34,[5]CA_CON15_D4!$A$1:$A$20,[5]CA_CON15_D4!$B$1:$B$20)</f>
        <v>#NAME?</v>
      </c>
      <c r="H34" s="87" t="e">
        <f ca="1">[3]!interpol(H$3,F$3:G$3,F34:G34)</f>
        <v>#NAME?</v>
      </c>
      <c r="I34" s="39" t="e">
        <f t="shared" ca="1" si="0"/>
        <v>#NAME?</v>
      </c>
      <c r="J34" s="110" t="e">
        <f ca="1">[3]!interpol(J$2,H$2:I$2,H34:I34)</f>
        <v>#NAME?</v>
      </c>
      <c r="L34" s="85" t="e">
        <f ca="1">[3]!interpol(A34,[5]CN_CON10_D0!$A$1:$A$21,[5]CN_CON10_D0!$B$1:$B$21)</f>
        <v>#NAME?</v>
      </c>
      <c r="M34" s="39" t="e">
        <f ca="1">[3]!interpol(A34,[5]CN_CON15_D0!$A$1:$A$21,[5]CN_CON15_D0!$B$1:$B$21)</f>
        <v>#NAME?</v>
      </c>
      <c r="N34" s="39" t="e">
        <f ca="1">[3]!interpol(N$3,L$3:M$3,L34:M34)</f>
        <v>#NAME?</v>
      </c>
      <c r="O34" s="39"/>
      <c r="P34" s="39" t="e">
        <f ca="1">[3]!interpol(A34,[5]CN_CON10_D4!$A$1:$A$20,[5]CN_CON10_D4!$B$1:$B$20)</f>
        <v>#NAME?</v>
      </c>
      <c r="Q34" s="39" t="e">
        <f ca="1">[3]!interpol(A34,[5]CN_CON15_D4!$A$1:$A$20,[5]CN_CON15_D4!$B$1:$B$20)</f>
        <v>#NAME?</v>
      </c>
      <c r="R34" s="87" t="e">
        <f ca="1">[3]!interpol(R$3,P$3:Q$3,P34:Q34)</f>
        <v>#NAME?</v>
      </c>
      <c r="S34" s="87" t="e">
        <f t="shared" ca="1" si="1"/>
        <v>#NAME?</v>
      </c>
      <c r="T34" s="39" t="e">
        <f ca="1">[3]!interpol(T$2,R$2:S$2,R34:S34)</f>
        <v>#NAME?</v>
      </c>
      <c r="U34" s="39" t="e">
        <f ca="1">[3]!interpol(U$2,R$2:S$2,R34:S34)</f>
        <v>#NAME?</v>
      </c>
      <c r="W34" s="85" t="e">
        <f ca="1">[3]!interpol($A34,[5]XCP_CON10_D0!$A$1:$A$26,[5]XCP_CON10_D0!$B$1:$B$26)</f>
        <v>#NAME?</v>
      </c>
      <c r="X34" s="39" t="e">
        <f ca="1">[3]!interpol($A34,[5]XCP_CON15_D0!$A$1:$A$26,[5]XCP_CON15_D0!$B$1:$B$26)</f>
        <v>#NAME?</v>
      </c>
      <c r="Y34" s="39" t="e">
        <f t="shared" ca="1" si="2"/>
        <v>#NAME?</v>
      </c>
      <c r="Z34" s="39"/>
      <c r="AA34" s="39" t="e">
        <f ca="1">[3]!interpol($A34,[5]XCP_CON10_D4!$A$1:$A$26,[5]XCP_CON10_D4!$B$1:$B$26)</f>
        <v>#NAME?</v>
      </c>
      <c r="AB34" s="39" t="e">
        <f ca="1">[3]!interpol($A34,[5]XCP_CON15_D4!$A$1:$A$26,[5]XCP_CON15_D4!$B$1:$B$26)</f>
        <v>#NAME?</v>
      </c>
      <c r="AC34" s="87" t="e">
        <f t="shared" ca="1" si="3"/>
        <v>#NAME?</v>
      </c>
      <c r="AD34" t="e">
        <f t="shared" ca="1" si="4"/>
        <v>#NAME?</v>
      </c>
      <c r="AE34" t="e">
        <f t="shared" ca="1" si="5"/>
        <v>#NAME?</v>
      </c>
      <c r="AF34" t="e">
        <f t="shared" ca="1" si="6"/>
        <v>#NAME?</v>
      </c>
    </row>
    <row r="35" spans="1:32">
      <c r="A35" s="110">
        <v>4.3</v>
      </c>
      <c r="B35" s="85">
        <v>0.102382397</v>
      </c>
      <c r="C35" s="39" t="e">
        <f ca="1">[3]!interpol(A35,[5]CA_CON15_D0!$A$1:$A$21,[5]CA_CON15_D0!$B$1:$B$21)</f>
        <v>#NAME?</v>
      </c>
      <c r="D35" s="39" t="e">
        <f ca="1">[3]!interpol(D$3,B$3:C$3,B35:C35)</f>
        <v>#NAME?</v>
      </c>
      <c r="E35" s="39"/>
      <c r="F35" s="39" t="e">
        <f ca="1">[3]!interpol(A35,[5]CA_CON10_D4!$A$1:$A$20,[5]CA_CON10_D4!$B$1:$B$20)</f>
        <v>#NAME?</v>
      </c>
      <c r="G35" s="39" t="e">
        <f ca="1">[3]!interpol(A35,[5]CA_CON15_D4!$A$1:$A$20,[5]CA_CON15_D4!$B$1:$B$20)</f>
        <v>#NAME?</v>
      </c>
      <c r="H35" s="87" t="e">
        <f ca="1">[3]!interpol(H$3,F$3:G$3,F35:G35)</f>
        <v>#NAME?</v>
      </c>
      <c r="I35" s="39" t="e">
        <f t="shared" ca="1" si="0"/>
        <v>#NAME?</v>
      </c>
      <c r="J35" s="110" t="e">
        <f ca="1">[3]!interpol(J$2,H$2:I$2,H35:I35)</f>
        <v>#NAME?</v>
      </c>
      <c r="L35" s="85" t="e">
        <f ca="1">[3]!interpol(A35,[5]CN_CON10_D0!$A$1:$A$21,[5]CN_CON10_D0!$B$1:$B$21)</f>
        <v>#NAME?</v>
      </c>
      <c r="M35" s="39" t="e">
        <f ca="1">[3]!interpol(A35,[5]CN_CON15_D0!$A$1:$A$21,[5]CN_CON15_D0!$B$1:$B$21)</f>
        <v>#NAME?</v>
      </c>
      <c r="N35" s="39" t="e">
        <f ca="1">[3]!interpol(N$3,L$3:M$3,L35:M35)</f>
        <v>#NAME?</v>
      </c>
      <c r="O35" s="39"/>
      <c r="P35" s="39" t="e">
        <f ca="1">[3]!interpol(A35,[5]CN_CON10_D4!$A$1:$A$20,[5]CN_CON10_D4!$B$1:$B$20)</f>
        <v>#NAME?</v>
      </c>
      <c r="Q35" s="39" t="e">
        <f ca="1">[3]!interpol(A35,[5]CN_CON15_D4!$A$1:$A$20,[5]CN_CON15_D4!$B$1:$B$20)</f>
        <v>#NAME?</v>
      </c>
      <c r="R35" s="87" t="e">
        <f ca="1">[3]!interpol(R$3,P$3:Q$3,P35:Q35)</f>
        <v>#NAME?</v>
      </c>
      <c r="S35" s="87" t="e">
        <f t="shared" ca="1" si="1"/>
        <v>#NAME?</v>
      </c>
      <c r="T35" s="39" t="e">
        <f ca="1">[3]!interpol(T$2,R$2:S$2,R35:S35)</f>
        <v>#NAME?</v>
      </c>
      <c r="U35" s="39" t="e">
        <f ca="1">[3]!interpol(U$2,R$2:S$2,R35:S35)</f>
        <v>#NAME?</v>
      </c>
      <c r="W35" s="85" t="e">
        <f ca="1">[3]!interpol($A35,[5]XCP_CON10_D0!$A$1:$A$26,[5]XCP_CON10_D0!$B$1:$B$26)</f>
        <v>#NAME?</v>
      </c>
      <c r="X35" s="39" t="e">
        <f ca="1">[3]!interpol($A35,[5]XCP_CON15_D0!$A$1:$A$26,[5]XCP_CON15_D0!$B$1:$B$26)</f>
        <v>#NAME?</v>
      </c>
      <c r="Y35" s="39" t="e">
        <f t="shared" ca="1" si="2"/>
        <v>#NAME?</v>
      </c>
      <c r="Z35" s="39"/>
      <c r="AA35" s="39" t="e">
        <f ca="1">[3]!interpol($A35,[5]XCP_CON10_D4!$A$1:$A$26,[5]XCP_CON10_D4!$B$1:$B$26)</f>
        <v>#NAME?</v>
      </c>
      <c r="AB35" s="39" t="e">
        <f ca="1">[3]!interpol($A35,[5]XCP_CON15_D4!$A$1:$A$26,[5]XCP_CON15_D4!$B$1:$B$26)</f>
        <v>#NAME?</v>
      </c>
      <c r="AC35" s="87" t="e">
        <f t="shared" ca="1" si="3"/>
        <v>#NAME?</v>
      </c>
      <c r="AD35" t="e">
        <f t="shared" ca="1" si="4"/>
        <v>#NAME?</v>
      </c>
      <c r="AE35" t="e">
        <f t="shared" ca="1" si="5"/>
        <v>#NAME?</v>
      </c>
      <c r="AF35" t="e">
        <f t="shared" ca="1" si="6"/>
        <v>#NAME?</v>
      </c>
    </row>
    <row r="36" spans="1:32">
      <c r="A36" s="110">
        <v>4.5</v>
      </c>
      <c r="B36" s="85">
        <v>0.102536514</v>
      </c>
      <c r="C36" s="39" t="e">
        <f ca="1">[3]!interpol(A36,[5]CA_CON15_D0!$A$1:$A$21,[5]CA_CON15_D0!$B$1:$B$21)</f>
        <v>#NAME?</v>
      </c>
      <c r="D36" s="39" t="e">
        <f ca="1">[3]!interpol(D$3,B$3:C$3,B36:C36)</f>
        <v>#NAME?</v>
      </c>
      <c r="E36" s="39"/>
      <c r="F36" s="39" t="e">
        <f ca="1">[3]!interpol(A36,[5]CA_CON10_D4!$A$1:$A$20,[5]CA_CON10_D4!$B$1:$B$20)</f>
        <v>#NAME?</v>
      </c>
      <c r="G36" s="39" t="e">
        <f ca="1">[3]!interpol(A36,[5]CA_CON15_D4!$A$1:$A$20,[5]CA_CON15_D4!$B$1:$B$20)</f>
        <v>#NAME?</v>
      </c>
      <c r="H36" s="87" t="e">
        <f ca="1">[3]!interpol(H$3,F$3:G$3,F36:G36)</f>
        <v>#NAME?</v>
      </c>
      <c r="I36" s="39" t="e">
        <f t="shared" ca="1" si="0"/>
        <v>#NAME?</v>
      </c>
      <c r="J36" s="110" t="e">
        <f ca="1">[3]!interpol(J$2,H$2:I$2,H36:I36)</f>
        <v>#NAME?</v>
      </c>
      <c r="L36" s="85" t="e">
        <f ca="1">[3]!interpol(A36,[5]CN_CON10_D0!$A$1:$A$21,[5]CN_CON10_D0!$B$1:$B$21)</f>
        <v>#NAME?</v>
      </c>
      <c r="M36" s="39" t="e">
        <f ca="1">[3]!interpol(A36,[5]CN_CON15_D0!$A$1:$A$21,[5]CN_CON15_D0!$B$1:$B$21)</f>
        <v>#NAME?</v>
      </c>
      <c r="N36" s="39" t="e">
        <f ca="1">[3]!interpol(N$3,L$3:M$3,L36:M36)</f>
        <v>#NAME?</v>
      </c>
      <c r="O36" s="39"/>
      <c r="P36" s="39" t="e">
        <f ca="1">[3]!interpol(A36,[5]CN_CON10_D4!$A$1:$A$20,[5]CN_CON10_D4!$B$1:$B$20)</f>
        <v>#NAME?</v>
      </c>
      <c r="Q36" s="39" t="e">
        <f ca="1">[3]!interpol(A36,[5]CN_CON15_D4!$A$1:$A$20,[5]CN_CON15_D4!$B$1:$B$20)</f>
        <v>#NAME?</v>
      </c>
      <c r="R36" s="87" t="e">
        <f ca="1">[3]!interpol(R$3,P$3:Q$3,P36:Q36)</f>
        <v>#NAME?</v>
      </c>
      <c r="S36" s="87" t="e">
        <f t="shared" ca="1" si="1"/>
        <v>#NAME?</v>
      </c>
      <c r="T36" s="39" t="e">
        <f ca="1">[3]!interpol(T$2,R$2:S$2,R36:S36)</f>
        <v>#NAME?</v>
      </c>
      <c r="U36" s="39" t="e">
        <f ca="1">[3]!interpol(U$2,R$2:S$2,R36:S36)</f>
        <v>#NAME?</v>
      </c>
      <c r="W36" s="85" t="e">
        <f ca="1">[3]!interpol($A36,[5]XCP_CON10_D0!$A$1:$A$26,[5]XCP_CON10_D0!$B$1:$B$26)</f>
        <v>#NAME?</v>
      </c>
      <c r="X36" s="39" t="e">
        <f ca="1">[3]!interpol($A36,[5]XCP_CON15_D0!$A$1:$A$26,[5]XCP_CON15_D0!$B$1:$B$26)</f>
        <v>#NAME?</v>
      </c>
      <c r="Y36" s="39" t="e">
        <f t="shared" ca="1" si="2"/>
        <v>#NAME?</v>
      </c>
      <c r="Z36" s="39"/>
      <c r="AA36" s="39" t="e">
        <f ca="1">[3]!interpol($A36,[5]XCP_CON10_D4!$A$1:$A$26,[5]XCP_CON10_D4!$B$1:$B$26)</f>
        <v>#NAME?</v>
      </c>
      <c r="AB36" s="39" t="e">
        <f ca="1">[3]!interpol($A36,[5]XCP_CON15_D4!$A$1:$A$26,[5]XCP_CON15_D4!$B$1:$B$26)</f>
        <v>#NAME?</v>
      </c>
      <c r="AC36" s="87" t="e">
        <f t="shared" ca="1" si="3"/>
        <v>#NAME?</v>
      </c>
      <c r="AD36" t="e">
        <f t="shared" ca="1" si="4"/>
        <v>#NAME?</v>
      </c>
      <c r="AE36" t="e">
        <f t="shared" ca="1" si="5"/>
        <v>#NAME?</v>
      </c>
      <c r="AF36" t="e">
        <f t="shared" ca="1" si="6"/>
        <v>#NAME?</v>
      </c>
    </row>
    <row r="37" spans="1:32">
      <c r="A37" s="110">
        <v>4.7</v>
      </c>
      <c r="B37" s="85">
        <v>0.102690631</v>
      </c>
      <c r="C37" s="39" t="e">
        <f ca="1">[3]!interpol(A37,[5]CA_CON15_D0!$A$1:$A$21,[5]CA_CON15_D0!$B$1:$B$21)</f>
        <v>#NAME?</v>
      </c>
      <c r="D37" s="39" t="e">
        <f ca="1">[3]!interpol(D$3,B$3:C$3,B37:C37)</f>
        <v>#NAME?</v>
      </c>
      <c r="E37" s="39"/>
      <c r="F37" s="39" t="e">
        <f ca="1">[3]!interpol(A37,[5]CA_CON10_D4!$A$1:$A$20,[5]CA_CON10_D4!$B$1:$B$20)</f>
        <v>#NAME?</v>
      </c>
      <c r="G37" s="39" t="e">
        <f ca="1">[3]!interpol(A37,[5]CA_CON15_D4!$A$1:$A$20,[5]CA_CON15_D4!$B$1:$B$20)</f>
        <v>#NAME?</v>
      </c>
      <c r="H37" s="87" t="e">
        <f ca="1">[3]!interpol(H$3,F$3:G$3,F37:G37)</f>
        <v>#NAME?</v>
      </c>
      <c r="I37" s="39" t="e">
        <f t="shared" ca="1" si="0"/>
        <v>#NAME?</v>
      </c>
      <c r="J37" s="110" t="e">
        <f ca="1">[3]!interpol(J$2,H$2:I$2,H37:I37)</f>
        <v>#NAME?</v>
      </c>
      <c r="L37" s="85" t="e">
        <f ca="1">[3]!interpol(A37,[5]CN_CON10_D0!$A$1:$A$21,[5]CN_CON10_D0!$B$1:$B$21)</f>
        <v>#NAME?</v>
      </c>
      <c r="M37" s="39" t="e">
        <f ca="1">[3]!interpol(A37,[5]CN_CON15_D0!$A$1:$A$21,[5]CN_CON15_D0!$B$1:$B$21)</f>
        <v>#NAME?</v>
      </c>
      <c r="N37" s="39" t="e">
        <f ca="1">[3]!interpol(N$3,L$3:M$3,L37:M37)</f>
        <v>#NAME?</v>
      </c>
      <c r="O37" s="39"/>
      <c r="P37" s="39" t="e">
        <f ca="1">[3]!interpol(A37,[5]CN_CON10_D4!$A$1:$A$20,[5]CN_CON10_D4!$B$1:$B$20)</f>
        <v>#NAME?</v>
      </c>
      <c r="Q37" s="39" t="e">
        <f ca="1">[3]!interpol(A37,[5]CN_CON15_D4!$A$1:$A$20,[5]CN_CON15_D4!$B$1:$B$20)</f>
        <v>#NAME?</v>
      </c>
      <c r="R37" s="87" t="e">
        <f ca="1">[3]!interpol(R$3,P$3:Q$3,P37:Q37)</f>
        <v>#NAME?</v>
      </c>
      <c r="S37" s="87" t="e">
        <f t="shared" ca="1" si="1"/>
        <v>#NAME?</v>
      </c>
      <c r="T37" s="39" t="e">
        <f ca="1">[3]!interpol(T$2,R$2:S$2,R37:S37)</f>
        <v>#NAME?</v>
      </c>
      <c r="U37" s="39" t="e">
        <f ca="1">[3]!interpol(U$2,R$2:S$2,R37:S37)</f>
        <v>#NAME?</v>
      </c>
      <c r="W37" s="85" t="e">
        <f ca="1">[3]!interpol($A37,[5]XCP_CON10_D0!$A$1:$A$26,[5]XCP_CON10_D0!$B$1:$B$26)</f>
        <v>#NAME?</v>
      </c>
      <c r="X37" s="39" t="e">
        <f ca="1">[3]!interpol($A37,[5]XCP_CON15_D0!$A$1:$A$26,[5]XCP_CON15_D0!$B$1:$B$26)</f>
        <v>#NAME?</v>
      </c>
      <c r="Y37" s="39" t="e">
        <f t="shared" ca="1" si="2"/>
        <v>#NAME?</v>
      </c>
      <c r="Z37" s="39"/>
      <c r="AA37" s="39" t="e">
        <f ca="1">[3]!interpol($A37,[5]XCP_CON10_D4!$A$1:$A$26,[5]XCP_CON10_D4!$B$1:$B$26)</f>
        <v>#NAME?</v>
      </c>
      <c r="AB37" s="39" t="e">
        <f ca="1">[3]!interpol($A37,[5]XCP_CON15_D4!$A$1:$A$26,[5]XCP_CON15_D4!$B$1:$B$26)</f>
        <v>#NAME?</v>
      </c>
      <c r="AC37" s="87" t="e">
        <f t="shared" ca="1" si="3"/>
        <v>#NAME?</v>
      </c>
      <c r="AD37" t="e">
        <f t="shared" ca="1" si="4"/>
        <v>#NAME?</v>
      </c>
      <c r="AE37" t="e">
        <f t="shared" ca="1" si="5"/>
        <v>#NAME?</v>
      </c>
      <c r="AF37" t="e">
        <f t="shared" ca="1" si="6"/>
        <v>#NAME?</v>
      </c>
    </row>
    <row r="38" spans="1:32">
      <c r="A38" s="111">
        <v>4.9000000000000004</v>
      </c>
      <c r="B38" s="88">
        <v>0.102844747</v>
      </c>
      <c r="C38" s="39" t="e">
        <f ca="1">[3]!interpol(A38,[5]CA_CON15_D0!$A$1:$A$21,[5]CA_CON15_D0!$B$1:$B$21)</f>
        <v>#NAME?</v>
      </c>
      <c r="D38" s="39" t="e">
        <f ca="1">[3]!interpol(D$3,B$3:C$3,B38:C38)</f>
        <v>#NAME?</v>
      </c>
      <c r="E38" s="90"/>
      <c r="F38" s="39" t="e">
        <f ca="1">[3]!interpol(A38,[5]CA_CON10_D4!$A$1:$A$20,[5]CA_CON10_D4!$B$1:$B$20)</f>
        <v>#NAME?</v>
      </c>
      <c r="G38" s="39" t="e">
        <f ca="1">[3]!interpol(A38,[5]CA_CON15_D4!$A$1:$A$20,[5]CA_CON15_D4!$B$1:$B$20)</f>
        <v>#NAME?</v>
      </c>
      <c r="H38" s="87" t="e">
        <f ca="1">[3]!interpol(H$3,F$3:G$3,F38:G38)</f>
        <v>#NAME?</v>
      </c>
      <c r="I38" s="39" t="e">
        <f t="shared" ca="1" si="0"/>
        <v>#NAME?</v>
      </c>
      <c r="J38" s="110" t="e">
        <f ca="1">[3]!interpol(J$2,H$2:I$2,H38:I38)</f>
        <v>#NAME?</v>
      </c>
      <c r="L38" s="85" t="e">
        <f ca="1">[3]!interpol(A38,[5]CN_CON10_D0!$A$1:$A$21,[5]CN_CON10_D0!$B$1:$B$21)</f>
        <v>#NAME?</v>
      </c>
      <c r="M38" s="39" t="e">
        <f ca="1">[3]!interpol(A38,[5]CN_CON15_D0!$A$1:$A$21,[5]CN_CON15_D0!$B$1:$B$21)</f>
        <v>#NAME?</v>
      </c>
      <c r="N38" s="39" t="e">
        <f ca="1">[3]!interpol(N$3,L$3:M$3,L38:M38)</f>
        <v>#NAME?</v>
      </c>
      <c r="O38" s="90"/>
      <c r="P38" s="39" t="e">
        <f ca="1">[3]!interpol(A38,[5]CN_CON10_D4!$A$1:$A$20,[5]CN_CON10_D4!$B$1:$B$20)</f>
        <v>#NAME?</v>
      </c>
      <c r="Q38" s="39" t="e">
        <f ca="1">[3]!interpol(A38,[5]CN_CON15_D4!$A$1:$A$20,[5]CN_CON15_D4!$B$1:$B$20)</f>
        <v>#NAME?</v>
      </c>
      <c r="R38" s="87" t="e">
        <f ca="1">[3]!interpol(R$3,P$3:Q$3,P38:Q38)</f>
        <v>#NAME?</v>
      </c>
      <c r="S38" s="87" t="e">
        <f t="shared" ca="1" si="1"/>
        <v>#NAME?</v>
      </c>
      <c r="T38" s="39" t="e">
        <f ca="1">[3]!interpol(T$2,R$2:S$2,R38:S38)</f>
        <v>#NAME?</v>
      </c>
      <c r="U38" s="39" t="e">
        <f ca="1">[3]!interpol(U$2,R$2:S$2,R38:S38)</f>
        <v>#NAME?</v>
      </c>
      <c r="W38" s="85" t="e">
        <f ca="1">[3]!interpol($A38,[5]XCP_CON10_D0!$A$1:$A$26,[5]XCP_CON10_D0!$B$1:$B$26)</f>
        <v>#NAME?</v>
      </c>
      <c r="X38" s="39" t="e">
        <f ca="1">[3]!interpol($A38,[5]XCP_CON15_D0!$A$1:$A$26,[5]XCP_CON15_D0!$B$1:$B$26)</f>
        <v>#NAME?</v>
      </c>
      <c r="Y38" s="90" t="e">
        <f t="shared" ca="1" si="2"/>
        <v>#NAME?</v>
      </c>
      <c r="Z38" s="90"/>
      <c r="AA38" s="39" t="e">
        <f ca="1">[3]!interpol($A38,[5]XCP_CON10_D4!$A$1:$A$26,[5]XCP_CON10_D4!$B$1:$B$26)</f>
        <v>#NAME?</v>
      </c>
      <c r="AB38" s="39" t="e">
        <f ca="1">[3]!interpol($A38,[5]XCP_CON15_D4!$A$1:$A$26,[5]XCP_CON15_D4!$B$1:$B$26)</f>
        <v>#NAME?</v>
      </c>
      <c r="AC38" s="91" t="e">
        <f t="shared" ca="1" si="3"/>
        <v>#NAME?</v>
      </c>
      <c r="AD38" t="e">
        <f t="shared" ca="1" si="4"/>
        <v>#NAME?</v>
      </c>
      <c r="AE38" t="e">
        <f t="shared" ca="1" si="5"/>
        <v>#NAME?</v>
      </c>
      <c r="AF38" t="e">
        <f t="shared" ca="1" si="6"/>
        <v>#NAME?</v>
      </c>
    </row>
    <row r="40" spans="1:32">
      <c r="A40" s="76" t="s">
        <v>244</v>
      </c>
    </row>
    <row r="41" spans="1:32">
      <c r="A41" s="102" t="s">
        <v>205</v>
      </c>
      <c r="B41" s="81">
        <v>5</v>
      </c>
      <c r="C41" s="83">
        <v>8</v>
      </c>
      <c r="D41" s="83">
        <v>10</v>
      </c>
      <c r="E41" s="83">
        <v>13</v>
      </c>
      <c r="F41" s="83">
        <v>15</v>
      </c>
      <c r="G41" s="83">
        <v>18</v>
      </c>
      <c r="H41" s="84">
        <v>20</v>
      </c>
      <c r="I41" s="84"/>
      <c r="J41" s="84"/>
      <c r="K41" s="153">
        <f>Géométrie!I96</f>
        <v>0</v>
      </c>
      <c r="L41" t="s">
        <v>246</v>
      </c>
      <c r="M41" s="78">
        <f>Géométrie!B85/2</f>
        <v>0.45200488517173482</v>
      </c>
    </row>
    <row r="42" spans="1:32" ht="15">
      <c r="A42" s="154" t="s">
        <v>214</v>
      </c>
      <c r="B42" s="88" t="s">
        <v>245</v>
      </c>
      <c r="C42" s="90" t="s">
        <v>245</v>
      </c>
      <c r="D42" s="90" t="s">
        <v>245</v>
      </c>
      <c r="E42" s="90" t="s">
        <v>245</v>
      </c>
      <c r="F42" s="90" t="s">
        <v>245</v>
      </c>
      <c r="G42" s="90" t="s">
        <v>245</v>
      </c>
      <c r="H42" s="91" t="s">
        <v>245</v>
      </c>
      <c r="I42" s="91"/>
      <c r="J42" s="91"/>
      <c r="K42" s="112" t="s">
        <v>245</v>
      </c>
      <c r="L42" s="73" t="s">
        <v>247</v>
      </c>
      <c r="M42" s="155">
        <f>Géométrie!B114/2</f>
        <v>7.5</v>
      </c>
      <c r="N42" s="156" t="s">
        <v>207</v>
      </c>
      <c r="P42" s="157" t="s">
        <v>620</v>
      </c>
    </row>
    <row r="43" spans="1:32" ht="15">
      <c r="A43" s="158">
        <v>0.5</v>
      </c>
      <c r="B43" s="81">
        <v>4.8120123554382332E-2</v>
      </c>
      <c r="C43" s="83">
        <v>6.3946714130694846E-2</v>
      </c>
      <c r="D43" s="83">
        <v>5.7795449398834027E-2</v>
      </c>
      <c r="E43" s="83">
        <v>0.10501581689027148</v>
      </c>
      <c r="F43" s="83">
        <v>0.11981484834126789</v>
      </c>
      <c r="G43" s="83">
        <v>0.14125713751929028</v>
      </c>
      <c r="H43" s="84">
        <v>0.1625755492562603</v>
      </c>
      <c r="I43" s="87"/>
      <c r="J43" s="87"/>
      <c r="K43" s="110" t="e">
        <f ca="1">[3]!interpol(K$41,B$41:H$41,B43:H43)</f>
        <v>#NAME?</v>
      </c>
      <c r="L43" t="s">
        <v>248</v>
      </c>
      <c r="M43">
        <f>Aerodynamique!B1</f>
        <v>8.5012282604303202</v>
      </c>
      <c r="N43" s="110" t="e">
        <f ca="1">K43*PI()*(M$42^2-M$41^2)/M$43</f>
        <v>#NAME?</v>
      </c>
      <c r="P43" s="116">
        <f>PI()*Géométrie!B3^2/4/SIN(Géométrie!B4*PI()/180)+PI()*Géométrie!B3*(Géométrie!B2+Géométrie!B13+Géométrie!B16+Géométrie!B84-Géométrie!B72)</f>
        <v>291.30529763200013</v>
      </c>
    </row>
    <row r="44" spans="1:32">
      <c r="A44" s="110">
        <v>0.6</v>
      </c>
      <c r="B44" s="85">
        <v>5.2004385424457608E-2</v>
      </c>
      <c r="C44" s="39">
        <v>6.8533053142707037E-2</v>
      </c>
      <c r="D44" s="39">
        <v>8.0498968555217432E-2</v>
      </c>
      <c r="E44" s="39">
        <v>0.12166612083413023</v>
      </c>
      <c r="F44" s="39">
        <v>0.13350472752581211</v>
      </c>
      <c r="G44" s="39">
        <v>0.15587372462212723</v>
      </c>
      <c r="H44" s="87">
        <v>0.18183645743843155</v>
      </c>
      <c r="I44" s="87"/>
      <c r="J44" s="87"/>
      <c r="K44" s="110" t="e">
        <f ca="1">[3]!interpol(K$41,B$41:H$41,B44:H44)</f>
        <v>#NAME?</v>
      </c>
      <c r="N44" s="110" t="e">
        <f t="shared" ref="N44:N71" ca="1" si="7">K44*PI()*(M$42^2-M$41^2)/M$43</f>
        <v>#NAME?</v>
      </c>
    </row>
    <row r="45" spans="1:32" ht="15">
      <c r="A45" s="110">
        <v>0.7</v>
      </c>
      <c r="B45" s="85">
        <v>5.6633115813711006E-2</v>
      </c>
      <c r="C45" s="39">
        <v>7.5899319211984229E-2</v>
      </c>
      <c r="D45" s="39">
        <v>0.10320248771160083</v>
      </c>
      <c r="E45" s="39">
        <v>0.14455212148037203</v>
      </c>
      <c r="F45" s="39">
        <v>0.1548484857884205</v>
      </c>
      <c r="G45" s="39">
        <v>0.18043788493431853</v>
      </c>
      <c r="H45" s="87">
        <v>0.20736008858597935</v>
      </c>
      <c r="I45" s="87"/>
      <c r="J45" s="87"/>
      <c r="K45" s="110" t="e">
        <f ca="1">[3]!interpol(K$41,B$41:H$41,B45:H45)</f>
        <v>#NAME?</v>
      </c>
      <c r="N45" s="110" t="e">
        <f t="shared" ca="1" si="7"/>
        <v>#NAME?</v>
      </c>
      <c r="P45" s="159" t="s">
        <v>621</v>
      </c>
    </row>
    <row r="46" spans="1:32" ht="15">
      <c r="A46" s="110">
        <v>0.8</v>
      </c>
      <c r="B46" s="85">
        <v>6.5477215222205815E-2</v>
      </c>
      <c r="C46" s="39">
        <v>8.5213191159939028E-2</v>
      </c>
      <c r="D46" s="39">
        <v>0.12691558989307675</v>
      </c>
      <c r="E46" s="39">
        <v>0.17069767738670524</v>
      </c>
      <c r="F46" s="39">
        <v>0.18078361219365804</v>
      </c>
      <c r="G46" s="39">
        <v>0.21038884530825336</v>
      </c>
      <c r="H46" s="87">
        <v>0.23904979432109758</v>
      </c>
      <c r="I46" s="87"/>
      <c r="J46" s="87"/>
      <c r="K46" s="110" t="e">
        <f ca="1">[3]!interpol(K$41,B$41:H$41,B46:H46)</f>
        <v>#NAME?</v>
      </c>
      <c r="N46" s="110" t="e">
        <f t="shared" ca="1" si="7"/>
        <v>#NAME?</v>
      </c>
      <c r="P46" s="115" t="e">
        <f>PI()*Géométrie!B114^2/4/SIN(Géométrie!I96*PI()/180)+PI()*Géométrie!B114*(Géométrie!B140+Géométrie!B115-Géométrie!B110)</f>
        <v>#DIV/0!</v>
      </c>
    </row>
    <row r="47" spans="1:32">
      <c r="A47" s="110">
        <v>0.9</v>
      </c>
      <c r="B47" s="85">
        <v>8.3270011256288398E-2</v>
      </c>
      <c r="C47" s="39">
        <v>0.1099782720897705</v>
      </c>
      <c r="D47" s="39">
        <v>0.15987368005962221</v>
      </c>
      <c r="E47" s="39">
        <v>0.20335826757077446</v>
      </c>
      <c r="F47" s="39">
        <v>0.22469576754675286</v>
      </c>
      <c r="G47" s="39">
        <v>0.26013139157690363</v>
      </c>
      <c r="H47" s="87">
        <v>0.32305924863706714</v>
      </c>
      <c r="I47" s="87"/>
      <c r="J47" s="87"/>
      <c r="K47" s="110" t="e">
        <f ca="1">[3]!interpol(K$41,B$41:H$41,B47:H47)</f>
        <v>#NAME?</v>
      </c>
      <c r="N47" s="110" t="e">
        <f t="shared" ca="1" si="7"/>
        <v>#NAME?</v>
      </c>
    </row>
    <row r="48" spans="1:32">
      <c r="A48" s="110">
        <v>0.92</v>
      </c>
      <c r="B48" s="85">
        <v>8.8486843239211882E-2</v>
      </c>
      <c r="C48" s="39">
        <v>0.11562762969869153</v>
      </c>
      <c r="D48" s="39">
        <v>0.16646529809293131</v>
      </c>
      <c r="E48" s="39">
        <v>0.21145260226049298</v>
      </c>
      <c r="F48" s="39">
        <v>0.2359308885935863</v>
      </c>
      <c r="G48" s="39">
        <v>0.28413123354507724</v>
      </c>
      <c r="H48" s="87">
        <v>0.36969972510319932</v>
      </c>
      <c r="I48" s="87"/>
      <c r="J48" s="87"/>
      <c r="K48" s="110" t="e">
        <f ca="1">[3]!interpol(K$41,B$41:H$41,B48:H48)</f>
        <v>#NAME?</v>
      </c>
      <c r="N48" s="110" t="e">
        <f t="shared" ca="1" si="7"/>
        <v>#NAME?</v>
      </c>
    </row>
    <row r="49" spans="1:14">
      <c r="A49" s="110">
        <v>0.94</v>
      </c>
      <c r="B49" s="85">
        <v>9.4017609682369885E-2</v>
      </c>
      <c r="C49" s="39">
        <v>0.12374759616926223</v>
      </c>
      <c r="D49" s="39">
        <v>0.1771232657813194</v>
      </c>
      <c r="E49" s="39">
        <v>0.21954693695021146</v>
      </c>
      <c r="F49" s="39">
        <v>0.24716600964041968</v>
      </c>
      <c r="G49" s="39">
        <v>0.31122302299669485</v>
      </c>
      <c r="H49" s="87">
        <v>0.42071503481676764</v>
      </c>
      <c r="I49" s="87"/>
      <c r="J49" s="87"/>
      <c r="K49" s="110" t="e">
        <f ca="1">[3]!interpol(K$41,B$41:H$41,B49:H49)</f>
        <v>#NAME?</v>
      </c>
      <c r="N49" s="110" t="e">
        <f t="shared" ca="1" si="7"/>
        <v>#NAME?</v>
      </c>
    </row>
    <row r="50" spans="1:14">
      <c r="A50" s="110">
        <v>0.96</v>
      </c>
      <c r="B50" s="85">
        <v>9.9292639526506909E-2</v>
      </c>
      <c r="C50" s="39">
        <v>0.13252922324120076</v>
      </c>
      <c r="D50" s="39">
        <v>0.18857301104585239</v>
      </c>
      <c r="E50" s="39">
        <v>0.22764127163992998</v>
      </c>
      <c r="F50" s="39">
        <v>0.26488331429341805</v>
      </c>
      <c r="G50" s="39">
        <v>0.34620649752359456</v>
      </c>
      <c r="H50" s="87">
        <v>0.46646420046318204</v>
      </c>
      <c r="I50" s="87"/>
      <c r="J50" s="87"/>
      <c r="K50" s="110" t="e">
        <f ca="1">[3]!interpol(K$41,B$41:H$41,B50:H50)</f>
        <v>#NAME?</v>
      </c>
      <c r="N50" s="110" t="e">
        <f t="shared" ca="1" si="7"/>
        <v>#NAME?</v>
      </c>
    </row>
    <row r="51" spans="1:14">
      <c r="A51" s="110">
        <v>0.98</v>
      </c>
      <c r="B51" s="85">
        <v>0.10431459721411597</v>
      </c>
      <c r="C51" s="39">
        <v>0.14131085031313931</v>
      </c>
      <c r="D51" s="39">
        <v>0.20002275631038541</v>
      </c>
      <c r="E51" s="39">
        <v>0.25087856984284007</v>
      </c>
      <c r="F51" s="39">
        <v>0.29531960387451656</v>
      </c>
      <c r="G51" s="39">
        <v>0.37852771932781437</v>
      </c>
      <c r="H51" s="87">
        <v>0.50282399716551252</v>
      </c>
      <c r="I51" s="87"/>
      <c r="J51" s="87"/>
      <c r="K51" s="110" t="e">
        <f ca="1">[3]!interpol(K$41,B$41:H$41,B51:H51)</f>
        <v>#NAME?</v>
      </c>
      <c r="N51" s="110" t="e">
        <f t="shared" ca="1" si="7"/>
        <v>#NAME?</v>
      </c>
    </row>
    <row r="52" spans="1:14">
      <c r="A52" s="110">
        <v>1</v>
      </c>
      <c r="B52" s="85">
        <v>0.10985306717548897</v>
      </c>
      <c r="C52" s="39">
        <v>0.15009247738507783</v>
      </c>
      <c r="D52" s="39">
        <v>0.2115566807853837</v>
      </c>
      <c r="E52" s="39">
        <v>0.277866541414094</v>
      </c>
      <c r="F52" s="39">
        <v>0.33263689805309898</v>
      </c>
      <c r="G52" s="39">
        <v>0.40841206969712002</v>
      </c>
      <c r="H52" s="87">
        <v>0.52887181059965838</v>
      </c>
      <c r="I52" s="87"/>
      <c r="J52" s="87"/>
      <c r="K52" s="110" t="e">
        <f ca="1">[3]!interpol(K$41,B$41:H$41,B52:H52)</f>
        <v>#NAME?</v>
      </c>
      <c r="N52" s="110" t="e">
        <f t="shared" ca="1" si="7"/>
        <v>#NAME?</v>
      </c>
    </row>
    <row r="53" spans="1:14">
      <c r="A53" s="110">
        <v>1.02</v>
      </c>
      <c r="B53" s="85">
        <v>0.11669745809762203</v>
      </c>
      <c r="C53" s="39">
        <v>0.16594378598530293</v>
      </c>
      <c r="D53" s="39">
        <v>0.23184878009038876</v>
      </c>
      <c r="E53" s="39">
        <v>0.3129147778921994</v>
      </c>
      <c r="F53" s="39">
        <v>0.36341142609711574</v>
      </c>
      <c r="G53" s="39">
        <v>0.4309458534882416</v>
      </c>
      <c r="H53" s="87">
        <v>0.54618831561904768</v>
      </c>
      <c r="I53" s="87"/>
      <c r="J53" s="87"/>
      <c r="K53" s="110" t="e">
        <f ca="1">[3]!interpol(K$41,B$41:H$41,B53:H53)</f>
        <v>#NAME?</v>
      </c>
      <c r="N53" s="110" t="e">
        <f t="shared" ca="1" si="7"/>
        <v>#NAME?</v>
      </c>
    </row>
    <row r="54" spans="1:14">
      <c r="A54" s="110">
        <v>1.04</v>
      </c>
      <c r="B54" s="85">
        <v>0.12487006041637688</v>
      </c>
      <c r="C54" s="39">
        <v>0.18211583907468512</v>
      </c>
      <c r="D54" s="39">
        <v>0.25214087939539381</v>
      </c>
      <c r="E54" s="39">
        <v>0.34796301437030475</v>
      </c>
      <c r="F54" s="39">
        <v>0.38207911779291559</v>
      </c>
      <c r="G54" s="39">
        <v>0.44626885960599427</v>
      </c>
      <c r="H54" s="87">
        <v>0.55206348578674547</v>
      </c>
      <c r="I54" s="87"/>
      <c r="J54" s="87"/>
      <c r="K54" s="110" t="e">
        <f ca="1">[3]!interpol(K$41,B$41:H$41,B54:H54)</f>
        <v>#NAME?</v>
      </c>
      <c r="N54" s="110" t="e">
        <f t="shared" ca="1" si="7"/>
        <v>#NAME?</v>
      </c>
    </row>
    <row r="55" spans="1:14">
      <c r="A55" s="110">
        <v>1.06</v>
      </c>
      <c r="B55" s="85">
        <v>0.13329541785937832</v>
      </c>
      <c r="C55" s="39">
        <v>0.1975931260544142</v>
      </c>
      <c r="D55" s="39">
        <v>0.27423801823858746</v>
      </c>
      <c r="E55" s="39">
        <v>0.36808996108413183</v>
      </c>
      <c r="F55" s="39">
        <v>0.39770053101558223</v>
      </c>
      <c r="G55" s="39">
        <v>0.45830852371625375</v>
      </c>
      <c r="H55" s="87">
        <v>0.55667515737695783</v>
      </c>
      <c r="I55" s="87"/>
      <c r="J55" s="87"/>
      <c r="K55" s="110" t="e">
        <f ca="1">[3]!interpol(K$41,B$41:H$41,B55:H55)</f>
        <v>#NAME?</v>
      </c>
      <c r="N55" s="110" t="e">
        <f t="shared" ca="1" si="7"/>
        <v>#NAME?</v>
      </c>
    </row>
    <row r="56" spans="1:14">
      <c r="A56" s="110">
        <v>1.08</v>
      </c>
      <c r="B56" s="85">
        <v>0.14159304573559028</v>
      </c>
      <c r="C56" s="39">
        <v>0.2113644669473449</v>
      </c>
      <c r="D56" s="39">
        <v>0.29304861159229323</v>
      </c>
      <c r="E56" s="39">
        <v>0.38189036513849667</v>
      </c>
      <c r="F56" s="39">
        <v>0.40500651025110324</v>
      </c>
      <c r="G56" s="39">
        <v>0.46766078071642053</v>
      </c>
      <c r="H56" s="87">
        <v>0.56007772552075952</v>
      </c>
      <c r="I56" s="87"/>
      <c r="J56" s="87"/>
      <c r="K56" s="110" t="e">
        <f ca="1">[3]!interpol(K$41,B$41:H$41,B56:H56)</f>
        <v>#NAME?</v>
      </c>
      <c r="N56" s="110" t="e">
        <f t="shared" ca="1" si="7"/>
        <v>#NAME?</v>
      </c>
    </row>
    <row r="57" spans="1:14">
      <c r="A57" s="110">
        <v>1.1000000000000001</v>
      </c>
      <c r="B57" s="85">
        <v>0.15076750574675329</v>
      </c>
      <c r="C57" s="39">
        <v>0.22513580784027556</v>
      </c>
      <c r="D57" s="39">
        <v>0.30390669058371039</v>
      </c>
      <c r="E57" s="39">
        <v>0.38800368605419699</v>
      </c>
      <c r="F57" s="39">
        <v>0.40963916675866102</v>
      </c>
      <c r="G57" s="39">
        <v>0.47091972317429409</v>
      </c>
      <c r="H57" s="87">
        <v>0.56230633788645312</v>
      </c>
      <c r="I57" s="87"/>
      <c r="J57" s="87"/>
      <c r="K57" s="110" t="e">
        <f ca="1">[3]!interpol(K$41,B$41:H$41,B57:H57)</f>
        <v>#NAME?</v>
      </c>
      <c r="N57" s="110" t="e">
        <f t="shared" ca="1" si="7"/>
        <v>#NAME?</v>
      </c>
    </row>
    <row r="58" spans="1:14">
      <c r="A58" s="110">
        <v>1.3</v>
      </c>
      <c r="B58" s="85">
        <v>0.19503379648746638</v>
      </c>
      <c r="C58" s="39">
        <v>0.24002450072962742</v>
      </c>
      <c r="D58" s="39">
        <v>0.29911815658815727</v>
      </c>
      <c r="E58" s="39">
        <v>0.36769460157366873</v>
      </c>
      <c r="F58" s="39">
        <v>0.38135988059462256</v>
      </c>
      <c r="G58" s="39">
        <v>0.45059952065081815</v>
      </c>
      <c r="H58" s="87">
        <v>0.54114566398555131</v>
      </c>
      <c r="I58" s="87"/>
      <c r="J58" s="87"/>
      <c r="K58" s="110" t="e">
        <f ca="1">[3]!interpol(K$41,B$41:H$41,B58:H58)</f>
        <v>#NAME?</v>
      </c>
      <c r="N58" s="110" t="e">
        <f t="shared" ca="1" si="7"/>
        <v>#NAME?</v>
      </c>
    </row>
    <row r="59" spans="1:14">
      <c r="A59" s="110">
        <v>1.5</v>
      </c>
      <c r="B59" s="85">
        <v>0.16116089290710917</v>
      </c>
      <c r="C59" s="39">
        <v>0.19918873769384521</v>
      </c>
      <c r="D59" s="39">
        <v>0.25666287599175686</v>
      </c>
      <c r="E59" s="39">
        <v>0.31989813106481019</v>
      </c>
      <c r="F59" s="39">
        <v>0.33614422814955297</v>
      </c>
      <c r="G59" s="39">
        <v>0.41201473091280272</v>
      </c>
      <c r="H59" s="87">
        <v>0.49432552826929965</v>
      </c>
      <c r="I59" s="87"/>
      <c r="J59" s="87"/>
      <c r="K59" s="110" t="e">
        <f ca="1">[3]!interpol(K$41,B$41:H$41,B59:H59)</f>
        <v>#NAME?</v>
      </c>
      <c r="N59" s="110" t="e">
        <f t="shared" ca="1" si="7"/>
        <v>#NAME?</v>
      </c>
    </row>
    <row r="60" spans="1:14">
      <c r="A60" s="110">
        <v>1.7</v>
      </c>
      <c r="B60" s="85">
        <v>0.1333224683842795</v>
      </c>
      <c r="C60" s="39">
        <v>0.17013381800841648</v>
      </c>
      <c r="D60" s="39">
        <v>0.22292606163265308</v>
      </c>
      <c r="E60" s="39">
        <v>0.27673674419471594</v>
      </c>
      <c r="F60" s="39">
        <v>0.30238140139823366</v>
      </c>
      <c r="G60" s="39">
        <v>0.37302136242305861</v>
      </c>
      <c r="H60" s="87">
        <v>0.44631479303333538</v>
      </c>
      <c r="I60" s="87"/>
      <c r="J60" s="87"/>
      <c r="K60" s="110" t="e">
        <f ca="1">[3]!interpol(K$41,B$41:H$41,B60:H60)</f>
        <v>#NAME?</v>
      </c>
      <c r="N60" s="110" t="e">
        <f t="shared" ca="1" si="7"/>
        <v>#NAME?</v>
      </c>
    </row>
    <row r="61" spans="1:14">
      <c r="A61" s="110">
        <v>1.9</v>
      </c>
      <c r="B61" s="85">
        <v>0.11189129606215854</v>
      </c>
      <c r="C61" s="39">
        <v>0.14435857954817632</v>
      </c>
      <c r="D61" s="39">
        <v>0.1937379329582376</v>
      </c>
      <c r="E61" s="39">
        <v>0.24406880693185992</v>
      </c>
      <c r="F61" s="39">
        <v>0.2745878111005628</v>
      </c>
      <c r="G61" s="39">
        <v>0.34084583926413448</v>
      </c>
      <c r="H61" s="87">
        <v>0.4085131481309871</v>
      </c>
      <c r="I61" s="87"/>
      <c r="J61" s="87"/>
      <c r="K61" s="110" t="e">
        <f ca="1">[3]!interpol(K$41,B$41:H$41,B61:H61)</f>
        <v>#NAME?</v>
      </c>
      <c r="N61" s="110" t="e">
        <f t="shared" ca="1" si="7"/>
        <v>#NAME?</v>
      </c>
    </row>
    <row r="62" spans="1:14">
      <c r="A62" s="110">
        <v>2.1</v>
      </c>
      <c r="B62" s="85">
        <v>9.048422553846569E-2</v>
      </c>
      <c r="C62" s="39">
        <v>0.12349997493844297</v>
      </c>
      <c r="D62" s="39">
        <v>0.16873109159581498</v>
      </c>
      <c r="E62" s="39">
        <v>0.22006023535753971</v>
      </c>
      <c r="F62" s="39">
        <v>0.25196462931217017</v>
      </c>
      <c r="G62" s="39">
        <v>0.31403449567447994</v>
      </c>
      <c r="H62" s="87">
        <v>0.37786468143486773</v>
      </c>
      <c r="I62" s="87"/>
      <c r="J62" s="87"/>
      <c r="K62" s="110" t="e">
        <f ca="1">[3]!interpol(K$41,B$41:H$41,B62:H62)</f>
        <v>#NAME?</v>
      </c>
      <c r="N62" s="110" t="e">
        <f t="shared" ca="1" si="7"/>
        <v>#NAME?</v>
      </c>
    </row>
    <row r="63" spans="1:14">
      <c r="A63" s="110">
        <v>2.2999999999999998</v>
      </c>
      <c r="B63" s="85">
        <v>7.8397792954919887E-2</v>
      </c>
      <c r="C63" s="39">
        <v>0.10822247523287995</v>
      </c>
      <c r="D63" s="39">
        <v>0.14740647300081797</v>
      </c>
      <c r="E63" s="39">
        <v>0.19966163742182827</v>
      </c>
      <c r="F63" s="39">
        <v>0.23283599193069787</v>
      </c>
      <c r="G63" s="39">
        <v>0.29179614183891989</v>
      </c>
      <c r="H63" s="87">
        <v>0.35475671839897721</v>
      </c>
      <c r="I63" s="87"/>
      <c r="J63" s="87"/>
      <c r="K63" s="110" t="e">
        <f ca="1">[3]!interpol(K$41,B$41:H$41,B63:H63)</f>
        <v>#NAME?</v>
      </c>
      <c r="N63" s="110" t="e">
        <f t="shared" ca="1" si="7"/>
        <v>#NAME?</v>
      </c>
    </row>
    <row r="64" spans="1:14">
      <c r="A64" s="110">
        <v>2.5</v>
      </c>
      <c r="B64" s="85">
        <v>6.7630735324764171E-2</v>
      </c>
      <c r="C64" s="39">
        <v>9.7287816086089454E-2</v>
      </c>
      <c r="D64" s="39">
        <v>0.13431950966916692</v>
      </c>
      <c r="E64" s="39">
        <v>0.1817957759230685</v>
      </c>
      <c r="F64" s="39">
        <v>0.21629255765214042</v>
      </c>
      <c r="G64" s="39">
        <v>0.27254880635288126</v>
      </c>
      <c r="H64" s="87">
        <v>0.3366261841518251</v>
      </c>
      <c r="I64" s="87"/>
      <c r="J64" s="87"/>
      <c r="K64" s="110" t="e">
        <f ca="1">[3]!interpol(K$41,B$41:H$41,B64:H64)</f>
        <v>#NAME?</v>
      </c>
      <c r="N64" s="110" t="e">
        <f t="shared" ca="1" si="7"/>
        <v>#NAME?</v>
      </c>
    </row>
    <row r="65" spans="1:25">
      <c r="A65" s="110">
        <v>2.7</v>
      </c>
      <c r="B65" s="85">
        <v>6.1778441194858501E-2</v>
      </c>
      <c r="C65" s="39">
        <v>8.95436415511561E-2</v>
      </c>
      <c r="D65" s="39">
        <v>0.12315446680068165</v>
      </c>
      <c r="E65" s="39">
        <v>0.16686335517094314</v>
      </c>
      <c r="F65" s="39">
        <v>0.20328355797968076</v>
      </c>
      <c r="G65" s="39">
        <v>0.25613868223413733</v>
      </c>
      <c r="H65" s="87">
        <v>0.32137984319787427</v>
      </c>
      <c r="I65" s="87"/>
      <c r="J65" s="87"/>
      <c r="K65" s="110" t="e">
        <f ca="1">[3]!interpol(K$41,B$41:H$41,B65:H65)</f>
        <v>#NAME?</v>
      </c>
      <c r="N65" s="110" t="e">
        <f t="shared" ca="1" si="7"/>
        <v>#NAME?</v>
      </c>
    </row>
    <row r="66" spans="1:25">
      <c r="A66" s="110">
        <v>2.9</v>
      </c>
      <c r="B66" s="85">
        <v>5.5926147064952837E-2</v>
      </c>
      <c r="C66" s="39">
        <v>8.3237231152911095E-2</v>
      </c>
      <c r="D66" s="39">
        <v>0.11561769540378221</v>
      </c>
      <c r="E66" s="39">
        <v>0.15469553772626418</v>
      </c>
      <c r="F66" s="39">
        <v>0.19129548083472392</v>
      </c>
      <c r="G66" s="39">
        <v>0.24631385541010348</v>
      </c>
      <c r="H66" s="87">
        <v>0.30613350224392349</v>
      </c>
      <c r="I66" s="87"/>
      <c r="J66" s="87"/>
      <c r="K66" s="110" t="e">
        <f ca="1">[3]!interpol(K$41,B$41:H$41,B66:H66)</f>
        <v>#NAME?</v>
      </c>
      <c r="N66" s="110" t="e">
        <f t="shared" ca="1" si="7"/>
        <v>#NAME?</v>
      </c>
    </row>
    <row r="67" spans="1:25">
      <c r="A67" s="110">
        <v>3.1</v>
      </c>
      <c r="B67" s="85">
        <v>5.16E-2</v>
      </c>
      <c r="C67" s="39">
        <v>7.8479770122504455E-2</v>
      </c>
      <c r="D67" s="39">
        <v>0.10928610965934743</v>
      </c>
      <c r="E67" s="39">
        <v>0.14336734277075242</v>
      </c>
      <c r="F67" s="39">
        <v>0.18144766148187291</v>
      </c>
      <c r="G67" s="39">
        <v>0.23660973668312127</v>
      </c>
      <c r="H67" s="87">
        <v>0.29373374602771507</v>
      </c>
      <c r="I67" s="87"/>
      <c r="J67" s="87"/>
      <c r="K67" s="110" t="e">
        <f ca="1">[3]!interpol(K$41,B$41:H$41,B67:H67)</f>
        <v>#NAME?</v>
      </c>
      <c r="N67" s="110" t="e">
        <f t="shared" ca="1" si="7"/>
        <v>#NAME?</v>
      </c>
    </row>
    <row r="68" spans="1:25">
      <c r="A68" s="110">
        <v>3.3</v>
      </c>
      <c r="B68" s="85">
        <v>4.8800000000000003E-2</v>
      </c>
      <c r="C68" s="39">
        <v>7.5213824088103218E-2</v>
      </c>
      <c r="D68" s="39">
        <v>0.10400184171337093</v>
      </c>
      <c r="E68" s="39">
        <v>0.13296751967209719</v>
      </c>
      <c r="F68" s="39">
        <v>0.17260353742980517</v>
      </c>
      <c r="G68" s="39">
        <v>0.22690561795613909</v>
      </c>
      <c r="H68" s="87">
        <v>0.28370824514775511</v>
      </c>
      <c r="I68" s="87"/>
      <c r="J68" s="87"/>
      <c r="K68" s="110" t="e">
        <f ca="1">[3]!interpol(K$41,B$41:H$41,B68:H68)</f>
        <v>#NAME?</v>
      </c>
      <c r="N68" s="110" t="e">
        <f t="shared" ca="1" si="7"/>
        <v>#NAME?</v>
      </c>
    </row>
    <row r="69" spans="1:25">
      <c r="A69" s="110">
        <v>3.5</v>
      </c>
      <c r="B69" s="85">
        <v>4.5999999999999999E-2</v>
      </c>
      <c r="C69" s="39">
        <v>7.1924930935741885E-2</v>
      </c>
      <c r="D69" s="39">
        <v>9.8193540314124791E-2</v>
      </c>
      <c r="E69" s="39">
        <v>0.12612168598406501</v>
      </c>
      <c r="F69" s="39">
        <v>0.16429927892418153</v>
      </c>
      <c r="G69" s="39">
        <v>0.21963003302989095</v>
      </c>
      <c r="H69" s="87">
        <v>0.27438452032162242</v>
      </c>
      <c r="I69" s="87"/>
      <c r="J69" s="87"/>
      <c r="K69" s="110" t="e">
        <f ca="1">[3]!interpol(K$41,B$41:H$41,B69:H69)</f>
        <v>#NAME?</v>
      </c>
      <c r="N69" s="110" t="e">
        <f t="shared" ca="1" si="7"/>
        <v>#NAME?</v>
      </c>
    </row>
    <row r="70" spans="1:25">
      <c r="A70" s="110">
        <v>3.7</v>
      </c>
      <c r="B70" s="85">
        <v>4.3199999999999995E-2</v>
      </c>
      <c r="C70" s="39">
        <v>6.8584848343840987E-2</v>
      </c>
      <c r="D70" s="39">
        <v>9.3214081039762656E-2</v>
      </c>
      <c r="E70" s="39">
        <v>0.11927585229603282</v>
      </c>
      <c r="F70" s="39">
        <v>0.15599502041855787</v>
      </c>
      <c r="G70" s="39">
        <v>0.21284867177907518</v>
      </c>
      <c r="H70" s="87">
        <v>0.26828723692740164</v>
      </c>
      <c r="I70" s="87"/>
      <c r="J70" s="87"/>
      <c r="K70" s="110" t="e">
        <f ca="1">[3]!interpol(K$41,B$41:H$41,B70:H70)</f>
        <v>#NAME?</v>
      </c>
      <c r="N70" s="110" t="e">
        <f t="shared" ca="1" si="7"/>
        <v>#NAME?</v>
      </c>
    </row>
    <row r="71" spans="1:25">
      <c r="A71" s="111">
        <v>3.9</v>
      </c>
      <c r="B71" s="88">
        <v>4.0400000000000005E-2</v>
      </c>
      <c r="C71" s="90">
        <v>6.6146239809038068E-2</v>
      </c>
      <c r="D71" s="90">
        <v>8.9372727028022014E-2</v>
      </c>
      <c r="E71" s="90">
        <v>0.1155791084212212</v>
      </c>
      <c r="F71" s="90">
        <v>0.15172486454707337</v>
      </c>
      <c r="G71" s="90">
        <v>0.20702932347115308</v>
      </c>
      <c r="H71" s="91">
        <v>0.26218995353318081</v>
      </c>
      <c r="I71" s="91"/>
      <c r="J71" s="91"/>
      <c r="K71" s="110" t="e">
        <f ca="1">[3]!interpol(K$41,B$41:H$41,B71:H71)</f>
        <v>#NAME?</v>
      </c>
      <c r="N71" s="111" t="e">
        <f t="shared" ca="1" si="7"/>
        <v>#NAME?</v>
      </c>
    </row>
    <row r="72" spans="1:25">
      <c r="S72" s="76" t="s">
        <v>622</v>
      </c>
    </row>
    <row r="73" spans="1:25">
      <c r="A73" s="76" t="s">
        <v>256</v>
      </c>
      <c r="O73" s="76" t="s">
        <v>623</v>
      </c>
      <c r="P73" s="76" t="s">
        <v>624</v>
      </c>
      <c r="Q73" s="76" t="s">
        <v>625</v>
      </c>
      <c r="R73" s="76" t="s">
        <v>626</v>
      </c>
      <c r="S73" s="76" t="s">
        <v>627</v>
      </c>
      <c r="T73" s="76" t="s">
        <v>628</v>
      </c>
      <c r="U73" s="76"/>
      <c r="V73" s="76" t="s">
        <v>699</v>
      </c>
      <c r="W73" s="76" t="s">
        <v>629</v>
      </c>
      <c r="X73" s="76" t="s">
        <v>630</v>
      </c>
      <c r="Y73" s="76" t="s">
        <v>631</v>
      </c>
    </row>
    <row r="74" spans="1:25" ht="15">
      <c r="A74" t="s">
        <v>252</v>
      </c>
      <c r="B74" t="s">
        <v>251</v>
      </c>
      <c r="D74" s="113" t="s">
        <v>249</v>
      </c>
      <c r="E74" s="113" t="s">
        <v>250</v>
      </c>
      <c r="G74" s="160" t="s">
        <v>255</v>
      </c>
      <c r="H74" s="115"/>
      <c r="I74" s="115"/>
      <c r="J74" s="115"/>
      <c r="K74" s="161" t="s">
        <v>214</v>
      </c>
      <c r="L74" s="162" t="s">
        <v>254</v>
      </c>
      <c r="M74" s="163" t="s">
        <v>250</v>
      </c>
      <c r="N74" s="164" t="s">
        <v>253</v>
      </c>
      <c r="O74" s="165" t="s">
        <v>207</v>
      </c>
      <c r="P74" s="164" t="s">
        <v>207</v>
      </c>
      <c r="Q74" s="164" t="s">
        <v>207</v>
      </c>
      <c r="R74" s="164" t="s">
        <v>207</v>
      </c>
      <c r="S74" s="165" t="s">
        <v>207</v>
      </c>
      <c r="T74" s="165" t="s">
        <v>207</v>
      </c>
      <c r="U74" s="164"/>
      <c r="V74" s="164" t="s">
        <v>207</v>
      </c>
      <c r="W74" s="164" t="s">
        <v>207</v>
      </c>
      <c r="X74" s="164" t="s">
        <v>207</v>
      </c>
      <c r="Y74" s="164" t="s">
        <v>207</v>
      </c>
    </row>
    <row r="75" spans="1:25" ht="15">
      <c r="A75">
        <v>1536</v>
      </c>
      <c r="B75">
        <v>0.5</v>
      </c>
      <c r="D75" s="113">
        <v>5</v>
      </c>
      <c r="E75" s="114">
        <v>14490000</v>
      </c>
      <c r="G75" s="166">
        <f>Géométrie!B131</f>
        <v>43.107738153572335</v>
      </c>
      <c r="H75" s="115"/>
      <c r="I75" s="115"/>
      <c r="J75" s="115"/>
      <c r="K75" s="85">
        <v>0.5</v>
      </c>
      <c r="L75" s="39" t="e">
        <f ca="1">[3]!interpol(K75,$B$75:$B$87,$A$75:$A$87)</f>
        <v>#NAME?</v>
      </c>
      <c r="M75" s="87" t="e">
        <f ca="1">[3]!interpol(L75/1000,$D$75:$D$90,$E$75:$E$90)</f>
        <v>#NAME?</v>
      </c>
      <c r="N75" s="85" t="e">
        <f ca="1">M75*G$75*K75</f>
        <v>#NAME?</v>
      </c>
      <c r="O75" s="158" t="e">
        <f ca="1">0.445/POWER(LOG(N75),2.58)/POWER(1+0.15*K75^2,0.58)*Géométrie!$B$10/$G$79</f>
        <v>#NAME?</v>
      </c>
      <c r="P75" s="81" t="e">
        <f ca="1">0.445/POWER(LOG(N75),2.58)/POWER(1+0.15*K75^2,0.58)*$G$82/G$79</f>
        <v>#NAME?</v>
      </c>
      <c r="Q75" s="83" t="e">
        <f ca="1">0.445/POWER(LOG(N75),2.58)/POWER(1+0.15*K75^2,0.58)*$G$84/G$79</f>
        <v>#NAME?</v>
      </c>
      <c r="R75" s="83" t="e">
        <f ca="1">0.445/POWER(LOG(N75),2.58)/POWER(1+0.15*K75^2,0.58)*$G$86/G$79</f>
        <v>#NAME?</v>
      </c>
      <c r="S75" s="39" t="e">
        <f ca="1">0.445/POWER(LOG(N75),2.58)/POWER(1+0.15*K75^2,0.58)*$G$97/G$79</f>
        <v>#NAME?</v>
      </c>
      <c r="T75" s="39" t="e">
        <f ca="1">0.445/POWER(LOG(N75),2.58)/POWER(1+0.15*K75^2,0.58)*$G$100/$G$79</f>
        <v>#NAME?</v>
      </c>
      <c r="U75" s="83"/>
      <c r="V75" s="83" t="e">
        <f ca="1">0.445/POWER(LOG(N75),2.58)/POWER(1+0.15*K75^2,0.58)*$G$88/G$79</f>
        <v>#NAME?</v>
      </c>
      <c r="W75" s="83" t="e">
        <f ca="1">0.445/POWER(LOG(N75),2.58)/POWER(1+0.15*K75^2,0.58)*$G$90/G$79</f>
        <v>#NAME?</v>
      </c>
      <c r="X75" s="83" t="e">
        <f ca="1">0.445/POWER(LOG(N75),2.58)/POWER(1+0.15*K75^2,0.58)*$G$92/G$79</f>
        <v>#NAME?</v>
      </c>
      <c r="Y75" s="84" t="e">
        <f ca="1">0.445/POWER(LOG(N75),2.58)/POWER(1+0.15*K75^2,0.58)*$G$94/G$79</f>
        <v>#NAME?</v>
      </c>
    </row>
    <row r="76" spans="1:25" ht="15">
      <c r="A76">
        <v>2920</v>
      </c>
      <c r="B76">
        <v>0.7</v>
      </c>
      <c r="D76" s="113">
        <v>10</v>
      </c>
      <c r="E76" s="114">
        <v>8482000</v>
      </c>
      <c r="G76" s="76"/>
      <c r="H76" s="115"/>
      <c r="I76" s="115"/>
      <c r="J76" s="115"/>
      <c r="K76" s="85">
        <v>0.6</v>
      </c>
      <c r="L76" s="39" t="e">
        <f ca="1">[3]!interpol(K76,$B$75:$B$87,$A$75:$A$87)</f>
        <v>#NAME?</v>
      </c>
      <c r="M76" s="87" t="e">
        <f ca="1">[3]!interpol(L76/1000,$D$75:$D$90,$E$75:$E$90)</f>
        <v>#NAME?</v>
      </c>
      <c r="N76" s="85" t="e">
        <f ca="1">M76*G$75*K76</f>
        <v>#NAME?</v>
      </c>
      <c r="O76" s="110" t="e">
        <f ca="1">0.445/POWER(LOG(N76),2.58)/POWER(1+0.15*K76^2,0.58)*Géométrie!$B$10/$G$79</f>
        <v>#NAME?</v>
      </c>
      <c r="P76" s="85" t="e">
        <f t="shared" ref="P76:P108" ca="1" si="8">0.445/POWER(LOG(N76),2.58)/POWER(1+0.15*K76^2,0.58)*$G$82/G$79</f>
        <v>#NAME?</v>
      </c>
      <c r="Q76" s="39" t="e">
        <f t="shared" ref="Q76:Q108" ca="1" si="9">0.445/POWER(LOG(N76),2.58)/POWER(1+0.15*K76^2,0.58)*$G$84/G$79</f>
        <v>#NAME?</v>
      </c>
      <c r="R76" s="39" t="e">
        <f t="shared" ref="R76:R108" ca="1" si="10">0.445/POWER(LOG(N76),2.58)/POWER(1+0.15*K76^2,0.58)*$G$86/G$79</f>
        <v>#NAME?</v>
      </c>
      <c r="S76" s="39" t="e">
        <f t="shared" ref="S76:S108" ca="1" si="11">0.445/POWER(LOG(N76),2.58)/POWER(1+0.15*K76^2,0.58)*$G$97/G$79</f>
        <v>#NAME?</v>
      </c>
      <c r="T76" s="39" t="e">
        <f t="shared" ref="T76:T108" ca="1" si="12">0.445/POWER(LOG(N76),2.58)/POWER(1+0.15*K76^2,0.58)*$G$100/$G$79</f>
        <v>#NAME?</v>
      </c>
      <c r="U76" s="39"/>
      <c r="V76" s="39" t="e">
        <f t="shared" ref="V76:V108" ca="1" si="13">0.445/POWER(LOG(N76),2.58)/POWER(1+0.15*K76^2,0.58)*$G$88/G$79</f>
        <v>#NAME?</v>
      </c>
      <c r="W76" s="39" t="e">
        <f t="shared" ref="W76:W108" ca="1" si="14">0.445/POWER(LOG(N76),2.58)/POWER(1+0.15*K76^2,0.58)*$G$90/G$79</f>
        <v>#NAME?</v>
      </c>
      <c r="X76" s="39" t="e">
        <f t="shared" ref="X76:X108" ca="1" si="15">0.445/POWER(LOG(N76),2.58)/POWER(1+0.15*K76^2,0.58)*$G$92/G$79</f>
        <v>#NAME?</v>
      </c>
      <c r="Y76" s="87" t="e">
        <f t="shared" ref="Y76:Y108" ca="1" si="16">0.445/POWER(LOG(N76),2.58)/POWER(1+0.15*K76^2,0.58)*$G$94/G$79</f>
        <v>#NAME?</v>
      </c>
    </row>
    <row r="77" spans="1:25" ht="15">
      <c r="A77">
        <v>5114</v>
      </c>
      <c r="B77">
        <v>0.9</v>
      </c>
      <c r="D77" s="113">
        <v>15</v>
      </c>
      <c r="E77" s="114">
        <v>4020000</v>
      </c>
      <c r="H77" s="115"/>
      <c r="I77" s="115"/>
      <c r="J77" s="115"/>
      <c r="K77" s="85">
        <v>0.7</v>
      </c>
      <c r="L77" s="39" t="e">
        <f ca="1">[3]!interpol(K77,$B$75:$B$87,$A$75:$A$87)</f>
        <v>#NAME?</v>
      </c>
      <c r="M77" s="87" t="e">
        <f ca="1">[3]!interpol(L77/1000,$D$75:$D$90,$E$75:$E$90)</f>
        <v>#NAME?</v>
      </c>
      <c r="N77" s="85" t="e">
        <f t="shared" ref="N77:N108" ca="1" si="17">M77*G$75*K77</f>
        <v>#NAME?</v>
      </c>
      <c r="O77" s="110" t="e">
        <f ca="1">0.445/POWER(LOG(N77),2.58)/POWER(1+0.15*K77^2,0.58)*Géométrie!$B$10/$G$79</f>
        <v>#NAME?</v>
      </c>
      <c r="P77" s="85" t="e">
        <f t="shared" ca="1" si="8"/>
        <v>#NAME?</v>
      </c>
      <c r="Q77" s="39" t="e">
        <f t="shared" ca="1" si="9"/>
        <v>#NAME?</v>
      </c>
      <c r="R77" s="39" t="e">
        <f t="shared" ca="1" si="10"/>
        <v>#NAME?</v>
      </c>
      <c r="S77" s="39" t="e">
        <f t="shared" ca="1" si="11"/>
        <v>#NAME?</v>
      </c>
      <c r="T77" s="39" t="e">
        <f t="shared" ca="1" si="12"/>
        <v>#NAME?</v>
      </c>
      <c r="U77" s="39"/>
      <c r="V77" s="39" t="e">
        <f t="shared" ca="1" si="13"/>
        <v>#NAME?</v>
      </c>
      <c r="W77" s="39" t="e">
        <f t="shared" ca="1" si="14"/>
        <v>#NAME?</v>
      </c>
      <c r="X77" s="39" t="e">
        <f t="shared" ca="1" si="15"/>
        <v>#NAME?</v>
      </c>
      <c r="Y77" s="87" t="e">
        <f t="shared" ca="1" si="16"/>
        <v>#NAME?</v>
      </c>
    </row>
    <row r="78" spans="1:25" ht="15">
      <c r="A78">
        <v>5713</v>
      </c>
      <c r="B78">
        <v>0.95</v>
      </c>
      <c r="D78" s="113">
        <v>20</v>
      </c>
      <c r="E78" s="114">
        <v>1827000</v>
      </c>
      <c r="G78" s="157" t="s">
        <v>248</v>
      </c>
      <c r="H78" s="115"/>
      <c r="I78" s="115"/>
      <c r="J78" s="115"/>
      <c r="K78" s="85">
        <v>0.8</v>
      </c>
      <c r="L78" s="39" t="e">
        <f ca="1">[3]!interpol(K78,$B$75:$B$87,$A$75:$A$87)</f>
        <v>#NAME?</v>
      </c>
      <c r="M78" s="87" t="e">
        <f ca="1">[3]!interpol(L78/1000,$D$75:$D$90,$E$75:$E$90)</f>
        <v>#NAME?</v>
      </c>
      <c r="N78" s="85" t="e">
        <f t="shared" ca="1" si="17"/>
        <v>#NAME?</v>
      </c>
      <c r="O78" s="110" t="e">
        <f ca="1">0.445/POWER(LOG(N78),2.58)/POWER(1+0.15*K78^2,0.58)*Géométrie!$B$10/$G$79</f>
        <v>#NAME?</v>
      </c>
      <c r="P78" s="85" t="e">
        <f t="shared" ca="1" si="8"/>
        <v>#NAME?</v>
      </c>
      <c r="Q78" s="39" t="e">
        <f t="shared" ca="1" si="9"/>
        <v>#NAME?</v>
      </c>
      <c r="R78" s="39" t="e">
        <f t="shared" ca="1" si="10"/>
        <v>#NAME?</v>
      </c>
      <c r="S78" s="39" t="e">
        <f t="shared" ca="1" si="11"/>
        <v>#NAME?</v>
      </c>
      <c r="T78" s="39" t="e">
        <f t="shared" ca="1" si="12"/>
        <v>#NAME?</v>
      </c>
      <c r="U78" s="39"/>
      <c r="V78" s="39" t="e">
        <f t="shared" ca="1" si="13"/>
        <v>#NAME?</v>
      </c>
      <c r="W78" s="39" t="e">
        <f t="shared" ca="1" si="14"/>
        <v>#NAME?</v>
      </c>
      <c r="X78" s="39" t="e">
        <f t="shared" ca="1" si="15"/>
        <v>#NAME?</v>
      </c>
      <c r="Y78" s="87" t="e">
        <f t="shared" ca="1" si="16"/>
        <v>#NAME?</v>
      </c>
    </row>
    <row r="79" spans="1:25" ht="15">
      <c r="A79">
        <v>6308</v>
      </c>
      <c r="B79">
        <v>1</v>
      </c>
      <c r="D79" s="113">
        <v>25</v>
      </c>
      <c r="E79" s="114">
        <v>812900</v>
      </c>
      <c r="G79" s="117">
        <f>Aerodynamique!B1</f>
        <v>8.5012282604303202</v>
      </c>
      <c r="H79" s="115"/>
      <c r="I79" s="115"/>
      <c r="J79" s="115"/>
      <c r="K79" s="85">
        <v>0.9</v>
      </c>
      <c r="L79" s="39" t="e">
        <f ca="1">[3]!interpol(K79,$B$75:$B$87,$A$75:$A$87)</f>
        <v>#NAME?</v>
      </c>
      <c r="M79" s="87" t="e">
        <f ca="1">[3]!interpol(L79/1000,$D$75:$D$90,$E$75:$E$90)</f>
        <v>#NAME?</v>
      </c>
      <c r="N79" s="85" t="e">
        <f t="shared" ca="1" si="17"/>
        <v>#NAME?</v>
      </c>
      <c r="O79" s="110" t="e">
        <f ca="1">0.445/POWER(LOG(N79),2.58)/POWER(1+0.15*K79^2,0.58)*Géométrie!$B$10/$G$79</f>
        <v>#NAME?</v>
      </c>
      <c r="P79" s="85" t="e">
        <f t="shared" ca="1" si="8"/>
        <v>#NAME?</v>
      </c>
      <c r="Q79" s="39" t="e">
        <f t="shared" ca="1" si="9"/>
        <v>#NAME?</v>
      </c>
      <c r="R79" s="39" t="e">
        <f t="shared" ca="1" si="10"/>
        <v>#NAME?</v>
      </c>
      <c r="S79" s="39" t="e">
        <f t="shared" ca="1" si="11"/>
        <v>#NAME?</v>
      </c>
      <c r="T79" s="39" t="e">
        <f t="shared" ca="1" si="12"/>
        <v>#NAME?</v>
      </c>
      <c r="U79" s="39"/>
      <c r="V79" s="39" t="e">
        <f t="shared" ca="1" si="13"/>
        <v>#NAME?</v>
      </c>
      <c r="W79" s="39" t="e">
        <f t="shared" ca="1" si="14"/>
        <v>#NAME?</v>
      </c>
      <c r="X79" s="39" t="e">
        <f t="shared" ca="1" si="15"/>
        <v>#NAME?</v>
      </c>
      <c r="Y79" s="87" t="e">
        <f t="shared" ca="1" si="16"/>
        <v>#NAME?</v>
      </c>
    </row>
    <row r="80" spans="1:25" ht="15">
      <c r="A80">
        <v>6992</v>
      </c>
      <c r="B80">
        <v>1.05</v>
      </c>
      <c r="D80" s="113">
        <v>30</v>
      </c>
      <c r="E80" s="114">
        <v>368300</v>
      </c>
      <c r="H80" s="115"/>
      <c r="I80" s="115"/>
      <c r="J80" s="115"/>
      <c r="K80" s="85">
        <v>0.92</v>
      </c>
      <c r="L80" s="39" t="e">
        <f ca="1">[3]!interpol(K80,$B$75:$B$87,$A$75:$A$87)</f>
        <v>#NAME?</v>
      </c>
      <c r="M80" s="87" t="e">
        <f ca="1">[3]!interpol(L80/1000,$D$75:$D$90,$E$75:$E$90)</f>
        <v>#NAME?</v>
      </c>
      <c r="N80" s="85" t="e">
        <f t="shared" ca="1" si="17"/>
        <v>#NAME?</v>
      </c>
      <c r="O80" s="110" t="e">
        <f ca="1">0.445/POWER(LOG(N80),2.58)/POWER(1+0.15*K80^2,0.58)*Géométrie!$B$10/$G$79</f>
        <v>#NAME?</v>
      </c>
      <c r="P80" s="85" t="e">
        <f t="shared" ca="1" si="8"/>
        <v>#NAME?</v>
      </c>
      <c r="Q80" s="39" t="e">
        <f t="shared" ca="1" si="9"/>
        <v>#NAME?</v>
      </c>
      <c r="R80" s="39" t="e">
        <f t="shared" ca="1" si="10"/>
        <v>#NAME?</v>
      </c>
      <c r="S80" s="39" t="e">
        <f t="shared" ca="1" si="11"/>
        <v>#NAME?</v>
      </c>
      <c r="T80" s="39" t="e">
        <f t="shared" ca="1" si="12"/>
        <v>#NAME?</v>
      </c>
      <c r="U80" s="39"/>
      <c r="V80" s="39" t="e">
        <f t="shared" ca="1" si="13"/>
        <v>#NAME?</v>
      </c>
      <c r="W80" s="39" t="e">
        <f t="shared" ca="1" si="14"/>
        <v>#NAME?</v>
      </c>
      <c r="X80" s="39" t="e">
        <f t="shared" ca="1" si="15"/>
        <v>#NAME?</v>
      </c>
      <c r="Y80" s="87" t="e">
        <f t="shared" ca="1" si="16"/>
        <v>#NAME?</v>
      </c>
    </row>
    <row r="81" spans="1:25" ht="15">
      <c r="A81">
        <v>7459</v>
      </c>
      <c r="B81">
        <v>1.1000000000000001</v>
      </c>
      <c r="D81" s="113">
        <v>35</v>
      </c>
      <c r="E81" s="114">
        <v>165500</v>
      </c>
      <c r="G81" s="167" t="s">
        <v>632</v>
      </c>
      <c r="H81" s="115"/>
      <c r="I81" s="115"/>
      <c r="J81" s="115"/>
      <c r="K81" s="85">
        <v>0.94</v>
      </c>
      <c r="L81" s="39" t="e">
        <f ca="1">[3]!interpol(K81,$B$75:$B$87,$A$75:$A$87)</f>
        <v>#NAME?</v>
      </c>
      <c r="M81" s="87" t="e">
        <f ca="1">[3]!interpol(L81/1000,$D$75:$D$90,$E$75:$E$90)</f>
        <v>#NAME?</v>
      </c>
      <c r="N81" s="85" t="e">
        <f t="shared" ca="1" si="17"/>
        <v>#NAME?</v>
      </c>
      <c r="O81" s="110" t="e">
        <f ca="1">0.445/POWER(LOG(N81),2.58)/POWER(1+0.15*K81^2,0.58)*Géométrie!$B$10/$G$79</f>
        <v>#NAME?</v>
      </c>
      <c r="P81" s="85" t="e">
        <f t="shared" ca="1" si="8"/>
        <v>#NAME?</v>
      </c>
      <c r="Q81" s="39" t="e">
        <f t="shared" ca="1" si="9"/>
        <v>#NAME?</v>
      </c>
      <c r="R81" s="39" t="e">
        <f t="shared" ca="1" si="10"/>
        <v>#NAME?</v>
      </c>
      <c r="S81" s="39" t="e">
        <f t="shared" ca="1" si="11"/>
        <v>#NAME?</v>
      </c>
      <c r="T81" s="39" t="e">
        <f t="shared" ca="1" si="12"/>
        <v>#NAME?</v>
      </c>
      <c r="U81" s="39"/>
      <c r="V81" s="39" t="e">
        <f t="shared" ca="1" si="13"/>
        <v>#NAME?</v>
      </c>
      <c r="W81" s="39" t="e">
        <f t="shared" ca="1" si="14"/>
        <v>#NAME?</v>
      </c>
      <c r="X81" s="39" t="e">
        <f t="shared" ca="1" si="15"/>
        <v>#NAME?</v>
      </c>
      <c r="Y81" s="87" t="e">
        <f t="shared" ca="1" si="16"/>
        <v>#NAME?</v>
      </c>
    </row>
    <row r="82" spans="1:25" ht="15">
      <c r="A82">
        <v>8505</v>
      </c>
      <c r="B82">
        <v>1.2</v>
      </c>
      <c r="D82" s="113">
        <v>40</v>
      </c>
      <c r="E82" s="114">
        <v>76230</v>
      </c>
      <c r="G82" s="168">
        <f>PI()*Géométrie!B3*(Géométrie!B16+Géométrie!F14)</f>
        <v>67.175323295343091</v>
      </c>
      <c r="H82" s="115"/>
      <c r="I82" s="115"/>
      <c r="J82" s="115"/>
      <c r="K82" s="85">
        <v>0.96</v>
      </c>
      <c r="L82" s="39" t="e">
        <f ca="1">[3]!interpol(K82,$B$75:$B$87,$A$75:$A$87)</f>
        <v>#NAME?</v>
      </c>
      <c r="M82" s="87" t="e">
        <f ca="1">[3]!interpol(L82/1000,$D$75:$D$90,$E$75:$E$90)</f>
        <v>#NAME?</v>
      </c>
      <c r="N82" s="85" t="e">
        <f t="shared" ca="1" si="17"/>
        <v>#NAME?</v>
      </c>
      <c r="O82" s="110" t="e">
        <f ca="1">0.445/POWER(LOG(N82),2.58)/POWER(1+0.15*K82^2,0.58)*Géométrie!$B$10/$G$79</f>
        <v>#NAME?</v>
      </c>
      <c r="P82" s="85" t="e">
        <f t="shared" ca="1" si="8"/>
        <v>#NAME?</v>
      </c>
      <c r="Q82" s="39" t="e">
        <f t="shared" ca="1" si="9"/>
        <v>#NAME?</v>
      </c>
      <c r="R82" s="39" t="e">
        <f t="shared" ca="1" si="10"/>
        <v>#NAME?</v>
      </c>
      <c r="S82" s="39" t="e">
        <f t="shared" ca="1" si="11"/>
        <v>#NAME?</v>
      </c>
      <c r="T82" s="39" t="e">
        <f t="shared" ca="1" si="12"/>
        <v>#NAME?</v>
      </c>
      <c r="U82" s="39"/>
      <c r="V82" s="39" t="e">
        <f t="shared" ca="1" si="13"/>
        <v>#NAME?</v>
      </c>
      <c r="W82" s="39" t="e">
        <f t="shared" ca="1" si="14"/>
        <v>#NAME?</v>
      </c>
      <c r="X82" s="39" t="e">
        <f t="shared" ca="1" si="15"/>
        <v>#NAME?</v>
      </c>
      <c r="Y82" s="87" t="e">
        <f t="shared" ca="1" si="16"/>
        <v>#NAME?</v>
      </c>
    </row>
    <row r="83" spans="1:25" ht="15">
      <c r="A83">
        <v>11022</v>
      </c>
      <c r="B83">
        <v>1.5</v>
      </c>
      <c r="D83" s="113">
        <v>45</v>
      </c>
      <c r="E83" s="114">
        <v>36640</v>
      </c>
      <c r="G83" s="169" t="s">
        <v>633</v>
      </c>
      <c r="H83" s="115"/>
      <c r="I83" s="115"/>
      <c r="J83" s="115"/>
      <c r="K83" s="85">
        <v>0.98</v>
      </c>
      <c r="L83" s="39" t="e">
        <f ca="1">[3]!interpol(K83,$B$75:$B$87,$A$75:$A$87)</f>
        <v>#NAME?</v>
      </c>
      <c r="M83" s="87" t="e">
        <f ca="1">[3]!interpol(L83/1000,$D$75:$D$90,$E$75:$E$90)</f>
        <v>#NAME?</v>
      </c>
      <c r="N83" s="85" t="e">
        <f t="shared" ca="1" si="17"/>
        <v>#NAME?</v>
      </c>
      <c r="O83" s="110" t="e">
        <f ca="1">0.445/POWER(LOG(N83),2.58)/POWER(1+0.15*K83^2,0.58)*Géométrie!$B$10/$G$79</f>
        <v>#NAME?</v>
      </c>
      <c r="P83" s="85" t="e">
        <f t="shared" ca="1" si="8"/>
        <v>#NAME?</v>
      </c>
      <c r="Q83" s="39" t="e">
        <f t="shared" ca="1" si="9"/>
        <v>#NAME?</v>
      </c>
      <c r="R83" s="39" t="e">
        <f t="shared" ca="1" si="10"/>
        <v>#NAME?</v>
      </c>
      <c r="S83" s="39" t="e">
        <f t="shared" ca="1" si="11"/>
        <v>#NAME?</v>
      </c>
      <c r="T83" s="39" t="e">
        <f t="shared" ca="1" si="12"/>
        <v>#NAME?</v>
      </c>
      <c r="U83" s="39"/>
      <c r="V83" s="39" t="e">
        <f t="shared" ca="1" si="13"/>
        <v>#NAME?</v>
      </c>
      <c r="W83" s="39" t="e">
        <f t="shared" ca="1" si="14"/>
        <v>#NAME?</v>
      </c>
      <c r="X83" s="39" t="e">
        <f t="shared" ca="1" si="15"/>
        <v>#NAME?</v>
      </c>
      <c r="Y83" s="87" t="e">
        <f t="shared" ca="1" si="16"/>
        <v>#NAME?</v>
      </c>
    </row>
    <row r="84" spans="1:25" ht="15">
      <c r="A84">
        <v>14428</v>
      </c>
      <c r="B84">
        <v>2</v>
      </c>
      <c r="D84" s="113">
        <v>50</v>
      </c>
      <c r="E84" s="114">
        <v>18920</v>
      </c>
      <c r="G84" s="168">
        <f>0</f>
        <v>0</v>
      </c>
      <c r="H84" s="115"/>
      <c r="I84" s="115"/>
      <c r="J84" s="115"/>
      <c r="K84" s="85">
        <v>1</v>
      </c>
      <c r="L84" s="39" t="e">
        <f ca="1">[3]!interpol(K84,$B$75:$B$87,$A$75:$A$87)</f>
        <v>#NAME?</v>
      </c>
      <c r="M84" s="87" t="e">
        <f ca="1">[3]!interpol(L84/1000,$D$75:$D$90,$E$75:$E$90)</f>
        <v>#NAME?</v>
      </c>
      <c r="N84" s="85" t="e">
        <f t="shared" ca="1" si="17"/>
        <v>#NAME?</v>
      </c>
      <c r="O84" s="110" t="e">
        <f ca="1">0.445/POWER(LOG(N84),2.58)/POWER(1+0.15*K84^2,0.58)*Géométrie!$B$10/$G$79</f>
        <v>#NAME?</v>
      </c>
      <c r="P84" s="85" t="e">
        <f t="shared" ca="1" si="8"/>
        <v>#NAME?</v>
      </c>
      <c r="Q84" s="39" t="e">
        <f t="shared" ca="1" si="9"/>
        <v>#NAME?</v>
      </c>
      <c r="R84" s="39" t="e">
        <f t="shared" ca="1" si="10"/>
        <v>#NAME?</v>
      </c>
      <c r="S84" s="39" t="e">
        <f t="shared" ca="1" si="11"/>
        <v>#NAME?</v>
      </c>
      <c r="T84" s="39" t="e">
        <f t="shared" ca="1" si="12"/>
        <v>#NAME?</v>
      </c>
      <c r="U84" s="39"/>
      <c r="V84" s="39" t="e">
        <f t="shared" ca="1" si="13"/>
        <v>#NAME?</v>
      </c>
      <c r="W84" s="39" t="e">
        <f t="shared" ca="1" si="14"/>
        <v>#NAME?</v>
      </c>
      <c r="X84" s="39" t="e">
        <f t="shared" ca="1" si="15"/>
        <v>#NAME?</v>
      </c>
      <c r="Y84" s="87" t="e">
        <f t="shared" ca="1" si="16"/>
        <v>#NAME?</v>
      </c>
    </row>
    <row r="85" spans="1:25" ht="15">
      <c r="A85">
        <v>22287</v>
      </c>
      <c r="B85">
        <v>3</v>
      </c>
      <c r="D85" s="113">
        <v>55</v>
      </c>
      <c r="E85" s="114">
        <v>10520</v>
      </c>
      <c r="G85" s="167" t="s">
        <v>634</v>
      </c>
      <c r="H85" s="115"/>
      <c r="I85" s="115"/>
      <c r="J85" s="115"/>
      <c r="K85" s="85">
        <v>1.02</v>
      </c>
      <c r="L85" s="39" t="e">
        <f ca="1">[3]!interpol(K85,$B$75:$B$87,$A$75:$A$87)</f>
        <v>#NAME?</v>
      </c>
      <c r="M85" s="87" t="e">
        <f ca="1">[3]!interpol(L85/1000,$D$75:$D$90,$E$75:$E$90)</f>
        <v>#NAME?</v>
      </c>
      <c r="N85" s="85" t="e">
        <f t="shared" ca="1" si="17"/>
        <v>#NAME?</v>
      </c>
      <c r="O85" s="110" t="e">
        <f ca="1">0.445/POWER(LOG(N85),2.58)/POWER(1+0.15*K85^2,0.58)*Géométrie!$B$10/$G$79</f>
        <v>#NAME?</v>
      </c>
      <c r="P85" s="85" t="e">
        <f t="shared" ca="1" si="8"/>
        <v>#NAME?</v>
      </c>
      <c r="Q85" s="39" t="e">
        <f t="shared" ca="1" si="9"/>
        <v>#NAME?</v>
      </c>
      <c r="R85" s="39" t="e">
        <f t="shared" ca="1" si="10"/>
        <v>#NAME?</v>
      </c>
      <c r="S85" s="39" t="e">
        <f t="shared" ca="1" si="11"/>
        <v>#NAME?</v>
      </c>
      <c r="T85" s="39" t="e">
        <f t="shared" ca="1" si="12"/>
        <v>#NAME?</v>
      </c>
      <c r="U85" s="39"/>
      <c r="V85" s="39" t="e">
        <f t="shared" ca="1" si="13"/>
        <v>#NAME?</v>
      </c>
      <c r="W85" s="39" t="e">
        <f t="shared" ca="1" si="14"/>
        <v>#NAME?</v>
      </c>
      <c r="X85" s="39" t="e">
        <f t="shared" ca="1" si="15"/>
        <v>#NAME?</v>
      </c>
      <c r="Y85" s="87" t="e">
        <f t="shared" ca="1" si="16"/>
        <v>#NAME?</v>
      </c>
    </row>
    <row r="86" spans="1:25" ht="15">
      <c r="A86">
        <v>29924</v>
      </c>
      <c r="B86">
        <v>4</v>
      </c>
      <c r="D86" s="113">
        <v>60</v>
      </c>
      <c r="E86" s="114">
        <v>5747</v>
      </c>
      <c r="G86" s="170">
        <f>PI()*Géométrie!B73*Géométrie!B72</f>
        <v>81.324706868441979</v>
      </c>
      <c r="H86" s="115"/>
      <c r="I86" s="115"/>
      <c r="J86" s="115"/>
      <c r="K86" s="85">
        <v>1.04</v>
      </c>
      <c r="L86" s="39" t="e">
        <f ca="1">[3]!interpol(K86,$B$75:$B$87,$A$75:$A$87)</f>
        <v>#NAME?</v>
      </c>
      <c r="M86" s="87" t="e">
        <f ca="1">[3]!interpol(L86/1000,$D$75:$D$90,$E$75:$E$90)</f>
        <v>#NAME?</v>
      </c>
      <c r="N86" s="85" t="e">
        <f t="shared" ca="1" si="17"/>
        <v>#NAME?</v>
      </c>
      <c r="O86" s="110" t="e">
        <f ca="1">0.445/POWER(LOG(N86),2.58)/POWER(1+0.15*K86^2,0.58)*Géométrie!$B$10/$G$79</f>
        <v>#NAME?</v>
      </c>
      <c r="P86" s="85" t="e">
        <f t="shared" ca="1" si="8"/>
        <v>#NAME?</v>
      </c>
      <c r="Q86" s="39" t="e">
        <f t="shared" ca="1" si="9"/>
        <v>#NAME?</v>
      </c>
      <c r="R86" s="39" t="e">
        <f t="shared" ca="1" si="10"/>
        <v>#NAME?</v>
      </c>
      <c r="S86" s="39" t="e">
        <f t="shared" ca="1" si="11"/>
        <v>#NAME?</v>
      </c>
      <c r="T86" s="39" t="e">
        <f t="shared" ca="1" si="12"/>
        <v>#NAME?</v>
      </c>
      <c r="U86" s="39"/>
      <c r="V86" s="39" t="e">
        <f t="shared" ca="1" si="13"/>
        <v>#NAME?</v>
      </c>
      <c r="W86" s="39" t="e">
        <f t="shared" ca="1" si="14"/>
        <v>#NAME?</v>
      </c>
      <c r="X86" s="39" t="e">
        <f t="shared" ca="1" si="15"/>
        <v>#NAME?</v>
      </c>
      <c r="Y86" s="87" t="e">
        <f t="shared" ca="1" si="16"/>
        <v>#NAME?</v>
      </c>
    </row>
    <row r="87" spans="1:25" ht="15">
      <c r="A87">
        <v>37678</v>
      </c>
      <c r="B87">
        <v>5</v>
      </c>
      <c r="D87" s="113">
        <v>65</v>
      </c>
      <c r="E87" s="114">
        <v>3033</v>
      </c>
      <c r="G87" s="169" t="s">
        <v>698</v>
      </c>
      <c r="H87" s="115"/>
      <c r="I87" s="115"/>
      <c r="J87" s="115"/>
      <c r="K87" s="85">
        <v>1.06</v>
      </c>
      <c r="L87" s="39" t="e">
        <f ca="1">[3]!interpol(K87,$B$75:$B$87,$A$75:$A$87)</f>
        <v>#NAME?</v>
      </c>
      <c r="M87" s="87" t="e">
        <f ca="1">[3]!interpol(L87/1000,$D$75:$D$90,$E$75:$E$90)</f>
        <v>#NAME?</v>
      </c>
      <c r="N87" s="85" t="e">
        <f t="shared" ca="1" si="17"/>
        <v>#NAME?</v>
      </c>
      <c r="O87" s="110" t="e">
        <f ca="1">0.445/POWER(LOG(N87),2.58)/POWER(1+0.15*K87^2,0.58)*Géométrie!$B$10/$G$79</f>
        <v>#NAME?</v>
      </c>
      <c r="P87" s="85" t="e">
        <f t="shared" ca="1" si="8"/>
        <v>#NAME?</v>
      </c>
      <c r="Q87" s="39" t="e">
        <f t="shared" ca="1" si="9"/>
        <v>#NAME?</v>
      </c>
      <c r="R87" s="39" t="e">
        <f t="shared" ca="1" si="10"/>
        <v>#NAME?</v>
      </c>
      <c r="S87" s="39" t="e">
        <f t="shared" ca="1" si="11"/>
        <v>#NAME?</v>
      </c>
      <c r="T87" s="39" t="e">
        <f t="shared" ca="1" si="12"/>
        <v>#NAME?</v>
      </c>
      <c r="U87" s="39"/>
      <c r="V87" s="39" t="e">
        <f t="shared" ca="1" si="13"/>
        <v>#NAME?</v>
      </c>
      <c r="W87" s="39" t="e">
        <f t="shared" ca="1" si="14"/>
        <v>#NAME?</v>
      </c>
      <c r="X87" s="39" t="e">
        <f t="shared" ca="1" si="15"/>
        <v>#NAME?</v>
      </c>
      <c r="Y87" s="87" t="e">
        <f t="shared" ca="1" si="16"/>
        <v>#NAME?</v>
      </c>
    </row>
    <row r="88" spans="1:25" ht="15">
      <c r="D88" s="113">
        <v>70</v>
      </c>
      <c r="E88" s="114">
        <v>1539</v>
      </c>
      <c r="G88" s="168">
        <f>PI()*(Géométrie!B73+Géométrie!B101)*(Géométrie!B98-Géométrie!B97)</f>
        <v>65.107898354594511</v>
      </c>
      <c r="H88" s="115"/>
      <c r="I88" s="115"/>
      <c r="J88" s="115"/>
      <c r="K88" s="85">
        <v>1.08</v>
      </c>
      <c r="L88" s="39" t="e">
        <f ca="1">[3]!interpol(K88,$B$75:$B$87,$A$75:$A$87)</f>
        <v>#NAME?</v>
      </c>
      <c r="M88" s="87" t="e">
        <f ca="1">[3]!interpol(L88/1000,$D$75:$D$90,$E$75:$E$90)</f>
        <v>#NAME?</v>
      </c>
      <c r="N88" s="85" t="e">
        <f t="shared" ca="1" si="17"/>
        <v>#NAME?</v>
      </c>
      <c r="O88" s="110" t="e">
        <f ca="1">0.445/POWER(LOG(N88),2.58)/POWER(1+0.15*K88^2,0.58)*Géométrie!$B$10/$G$79</f>
        <v>#NAME?</v>
      </c>
      <c r="P88" s="85" t="e">
        <f t="shared" ca="1" si="8"/>
        <v>#NAME?</v>
      </c>
      <c r="Q88" s="39" t="e">
        <f t="shared" ca="1" si="9"/>
        <v>#NAME?</v>
      </c>
      <c r="R88" s="39" t="e">
        <f t="shared" ca="1" si="10"/>
        <v>#NAME?</v>
      </c>
      <c r="S88" s="39" t="e">
        <f t="shared" ca="1" si="11"/>
        <v>#NAME?</v>
      </c>
      <c r="T88" s="39" t="e">
        <f t="shared" ca="1" si="12"/>
        <v>#NAME?</v>
      </c>
      <c r="U88" s="39"/>
      <c r="V88" s="39" t="e">
        <f t="shared" ca="1" si="13"/>
        <v>#NAME?</v>
      </c>
      <c r="W88" s="39" t="e">
        <f t="shared" ca="1" si="14"/>
        <v>#NAME?</v>
      </c>
      <c r="X88" s="39" t="e">
        <f t="shared" ca="1" si="15"/>
        <v>#NAME?</v>
      </c>
      <c r="Y88" s="87" t="e">
        <f t="shared" ca="1" si="16"/>
        <v>#NAME?</v>
      </c>
    </row>
    <row r="89" spans="1:25" ht="15">
      <c r="D89" s="113">
        <v>75</v>
      </c>
      <c r="E89" s="114">
        <v>735.4</v>
      </c>
      <c r="G89" s="169" t="s">
        <v>635</v>
      </c>
      <c r="H89" s="115"/>
      <c r="I89" s="115"/>
      <c r="J89" s="115"/>
      <c r="K89" s="85">
        <v>1.1000000000000001</v>
      </c>
      <c r="L89" s="39" t="e">
        <f ca="1">[3]!interpol(K89,$B$75:$B$87,$A$75:$A$87)</f>
        <v>#NAME?</v>
      </c>
      <c r="M89" s="87" t="e">
        <f ca="1">[3]!interpol(L89/1000,$D$75:$D$90,$E$75:$E$90)</f>
        <v>#NAME?</v>
      </c>
      <c r="N89" s="85" t="e">
        <f t="shared" ca="1" si="17"/>
        <v>#NAME?</v>
      </c>
      <c r="O89" s="110" t="e">
        <f ca="1">0.445/POWER(LOG(N89),2.58)/POWER(1+0.15*K89^2,0.58)*Géométrie!$B$10/$G$79</f>
        <v>#NAME?</v>
      </c>
      <c r="P89" s="85" t="e">
        <f t="shared" ca="1" si="8"/>
        <v>#NAME?</v>
      </c>
      <c r="Q89" s="39" t="e">
        <f t="shared" ca="1" si="9"/>
        <v>#NAME?</v>
      </c>
      <c r="R89" s="39" t="e">
        <f t="shared" ca="1" si="10"/>
        <v>#NAME?</v>
      </c>
      <c r="S89" s="39" t="e">
        <f t="shared" ca="1" si="11"/>
        <v>#NAME?</v>
      </c>
      <c r="T89" s="39" t="e">
        <f t="shared" ca="1" si="12"/>
        <v>#NAME?</v>
      </c>
      <c r="U89" s="39"/>
      <c r="V89" s="39" t="e">
        <f t="shared" ca="1" si="13"/>
        <v>#NAME?</v>
      </c>
      <c r="W89" s="39" t="e">
        <f t="shared" ca="1" si="14"/>
        <v>#NAME?</v>
      </c>
      <c r="X89" s="39" t="e">
        <f t="shared" ca="1" si="15"/>
        <v>#NAME?</v>
      </c>
      <c r="Y89" s="87" t="e">
        <f t="shared" ca="1" si="16"/>
        <v>#NAME?</v>
      </c>
    </row>
    <row r="90" spans="1:25" ht="15">
      <c r="D90" s="113">
        <v>80</v>
      </c>
      <c r="E90" s="114">
        <v>337.1</v>
      </c>
      <c r="G90" s="168">
        <f>PI()*Géométrie!B101*(Géométrie!B102-Géométrie!B98+Géométrie!B97)</f>
        <v>49.507112373511148</v>
      </c>
      <c r="H90" s="115"/>
      <c r="I90" s="115"/>
      <c r="J90" s="115"/>
      <c r="K90" s="85">
        <v>1.3</v>
      </c>
      <c r="L90" s="39" t="e">
        <f ca="1">[3]!interpol(K90,$B$75:$B$87,$A$75:$A$87)</f>
        <v>#NAME?</v>
      </c>
      <c r="M90" s="87" t="e">
        <f ca="1">[3]!interpol(L90/1000,$D$75:$D$90,$E$75:$E$90)</f>
        <v>#NAME?</v>
      </c>
      <c r="N90" s="85" t="e">
        <f t="shared" ca="1" si="17"/>
        <v>#NAME?</v>
      </c>
      <c r="O90" s="110" t="e">
        <f ca="1">0.445/POWER(LOG(N90),2.58)/POWER(1+0.15*K90^2,0.58)*Géométrie!$B$10/$G$79</f>
        <v>#NAME?</v>
      </c>
      <c r="P90" s="85" t="e">
        <f t="shared" ca="1" si="8"/>
        <v>#NAME?</v>
      </c>
      <c r="Q90" s="39" t="e">
        <f t="shared" ca="1" si="9"/>
        <v>#NAME?</v>
      </c>
      <c r="R90" s="39" t="e">
        <f t="shared" ca="1" si="10"/>
        <v>#NAME?</v>
      </c>
      <c r="S90" s="39" t="e">
        <f t="shared" ca="1" si="11"/>
        <v>#NAME?</v>
      </c>
      <c r="T90" s="39" t="e">
        <f t="shared" ca="1" si="12"/>
        <v>#NAME?</v>
      </c>
      <c r="U90" s="39"/>
      <c r="V90" s="39" t="e">
        <f t="shared" ca="1" si="13"/>
        <v>#NAME?</v>
      </c>
      <c r="W90" s="39" t="e">
        <f t="shared" ca="1" si="14"/>
        <v>#NAME?</v>
      </c>
      <c r="X90" s="39" t="e">
        <f t="shared" ca="1" si="15"/>
        <v>#NAME?</v>
      </c>
      <c r="Y90" s="87" t="e">
        <f t="shared" ca="1" si="16"/>
        <v>#NAME?</v>
      </c>
    </row>
    <row r="91" spans="1:25" ht="15">
      <c r="G91" s="169" t="s">
        <v>636</v>
      </c>
      <c r="H91" s="115"/>
      <c r="I91" s="115"/>
      <c r="J91" s="115"/>
      <c r="K91" s="85">
        <v>1.5</v>
      </c>
      <c r="L91" s="39" t="e">
        <f ca="1">[3]!interpol(K91,$B$75:$B$87,$A$75:$A$87)</f>
        <v>#NAME?</v>
      </c>
      <c r="M91" s="87" t="e">
        <f ca="1">[3]!interpol(L91/1000,$D$75:$D$90,$E$75:$E$90)</f>
        <v>#NAME?</v>
      </c>
      <c r="N91" s="85" t="e">
        <f t="shared" ca="1" si="17"/>
        <v>#NAME?</v>
      </c>
      <c r="O91" s="110" t="e">
        <f ca="1">0.445/POWER(LOG(N91),2.58)/POWER(1+0.15*K91^2,0.58)*Géométrie!$B$10/$G$79</f>
        <v>#NAME?</v>
      </c>
      <c r="P91" s="85" t="e">
        <f t="shared" ca="1" si="8"/>
        <v>#NAME?</v>
      </c>
      <c r="Q91" s="39" t="e">
        <f t="shared" ca="1" si="9"/>
        <v>#NAME?</v>
      </c>
      <c r="R91" s="39" t="e">
        <f t="shared" ca="1" si="10"/>
        <v>#NAME?</v>
      </c>
      <c r="S91" s="39" t="e">
        <f t="shared" ca="1" si="11"/>
        <v>#NAME?</v>
      </c>
      <c r="T91" s="39" t="e">
        <f t="shared" ca="1" si="12"/>
        <v>#NAME?</v>
      </c>
      <c r="U91" s="39"/>
      <c r="V91" s="39" t="e">
        <f t="shared" ca="1" si="13"/>
        <v>#NAME?</v>
      </c>
      <c r="W91" s="39" t="e">
        <f t="shared" ca="1" si="14"/>
        <v>#NAME?</v>
      </c>
      <c r="X91" s="39" t="e">
        <f t="shared" ca="1" si="15"/>
        <v>#NAME?</v>
      </c>
      <c r="Y91" s="87" t="e">
        <f t="shared" ca="1" si="16"/>
        <v>#NAME?</v>
      </c>
    </row>
    <row r="92" spans="1:25" ht="15">
      <c r="G92" s="230">
        <f>0</f>
        <v>0</v>
      </c>
      <c r="H92" s="115"/>
      <c r="I92" s="115"/>
      <c r="J92" s="115"/>
      <c r="K92" s="85">
        <v>1.7</v>
      </c>
      <c r="L92" s="39" t="e">
        <f ca="1">[3]!interpol(K92,$B$75:$B$87,$A$75:$A$87)</f>
        <v>#NAME?</v>
      </c>
      <c r="M92" s="87" t="e">
        <f ca="1">[3]!interpol(L92/1000,$D$75:$D$90,$E$75:$E$90)</f>
        <v>#NAME?</v>
      </c>
      <c r="N92" s="85" t="e">
        <f t="shared" ca="1" si="17"/>
        <v>#NAME?</v>
      </c>
      <c r="O92" s="110" t="e">
        <f ca="1">0.445/POWER(LOG(N92),2.58)/POWER(1+0.15*K92^2,0.58)*Géométrie!$B$10/$G$79</f>
        <v>#NAME?</v>
      </c>
      <c r="P92" s="85" t="e">
        <f t="shared" ca="1" si="8"/>
        <v>#NAME?</v>
      </c>
      <c r="Q92" s="39" t="e">
        <f t="shared" ca="1" si="9"/>
        <v>#NAME?</v>
      </c>
      <c r="R92" s="39" t="e">
        <f t="shared" ca="1" si="10"/>
        <v>#NAME?</v>
      </c>
      <c r="S92" s="39" t="e">
        <f t="shared" ca="1" si="11"/>
        <v>#NAME?</v>
      </c>
      <c r="T92" s="39" t="e">
        <f t="shared" ca="1" si="12"/>
        <v>#NAME?</v>
      </c>
      <c r="U92" s="39"/>
      <c r="V92" s="39" t="e">
        <f t="shared" ca="1" si="13"/>
        <v>#NAME?</v>
      </c>
      <c r="W92" s="39" t="e">
        <f t="shared" ca="1" si="14"/>
        <v>#NAME?</v>
      </c>
      <c r="X92" s="39" t="e">
        <f t="shared" ca="1" si="15"/>
        <v>#NAME?</v>
      </c>
      <c r="Y92" s="87" t="e">
        <f t="shared" ca="1" si="16"/>
        <v>#NAME?</v>
      </c>
    </row>
    <row r="93" spans="1:25" ht="15">
      <c r="G93" s="169" t="s">
        <v>637</v>
      </c>
      <c r="H93" s="115"/>
      <c r="I93" s="115"/>
      <c r="J93" s="115"/>
      <c r="K93" s="85">
        <v>1.9</v>
      </c>
      <c r="L93" s="39" t="e">
        <f ca="1">[3]!interpol(K93,$B$75:$B$87,$A$75:$A$87)</f>
        <v>#NAME?</v>
      </c>
      <c r="M93" s="87" t="e">
        <f ca="1">[3]!interpol(L93/1000,$D$75:$D$90,$E$75:$E$90)</f>
        <v>#NAME?</v>
      </c>
      <c r="N93" s="85" t="e">
        <f t="shared" ca="1" si="17"/>
        <v>#NAME?</v>
      </c>
      <c r="O93" s="110" t="e">
        <f ca="1">0.445/POWER(LOG(N93),2.58)/POWER(1+0.15*K93^2,0.58)*Géométrie!$B$10/$G$79</f>
        <v>#NAME?</v>
      </c>
      <c r="P93" s="85" t="e">
        <f t="shared" ca="1" si="8"/>
        <v>#NAME?</v>
      </c>
      <c r="Q93" s="39" t="e">
        <f t="shared" ca="1" si="9"/>
        <v>#NAME?</v>
      </c>
      <c r="R93" s="39" t="e">
        <f t="shared" ca="1" si="10"/>
        <v>#NAME?</v>
      </c>
      <c r="S93" s="39" t="e">
        <f t="shared" ca="1" si="11"/>
        <v>#NAME?</v>
      </c>
      <c r="T93" s="39" t="e">
        <f t="shared" ca="1" si="12"/>
        <v>#NAME?</v>
      </c>
      <c r="U93" s="39"/>
      <c r="V93" s="39" t="e">
        <f t="shared" ca="1" si="13"/>
        <v>#NAME?</v>
      </c>
      <c r="W93" s="39" t="e">
        <f t="shared" ca="1" si="14"/>
        <v>#NAME?</v>
      </c>
      <c r="X93" s="39" t="e">
        <f t="shared" ca="1" si="15"/>
        <v>#NAME?</v>
      </c>
      <c r="Y93" s="87" t="e">
        <f t="shared" ca="1" si="16"/>
        <v>#NAME?</v>
      </c>
    </row>
    <row r="94" spans="1:25" ht="15">
      <c r="G94" s="168">
        <f>PI()*Géométrie!B127*(Géométrie!B128)</f>
        <v>212.18516083984915</v>
      </c>
      <c r="H94" s="115"/>
      <c r="I94" s="115"/>
      <c r="J94" s="115"/>
      <c r="K94" s="85">
        <v>2.1</v>
      </c>
      <c r="L94" s="39" t="e">
        <f ca="1">[3]!interpol(K94,$B$75:$B$87,$A$75:$A$87)</f>
        <v>#NAME?</v>
      </c>
      <c r="M94" s="87" t="e">
        <f ca="1">[3]!interpol(L94/1000,$D$75:$D$90,$E$75:$E$90)</f>
        <v>#NAME?</v>
      </c>
      <c r="N94" s="85" t="e">
        <f t="shared" ca="1" si="17"/>
        <v>#NAME?</v>
      </c>
      <c r="O94" s="110" t="e">
        <f ca="1">0.445/POWER(LOG(N94),2.58)/POWER(1+0.15*K94^2,0.58)*Géométrie!$B$10/$G$79</f>
        <v>#NAME?</v>
      </c>
      <c r="P94" s="85" t="e">
        <f t="shared" ca="1" si="8"/>
        <v>#NAME?</v>
      </c>
      <c r="Q94" s="39" t="e">
        <f t="shared" ca="1" si="9"/>
        <v>#NAME?</v>
      </c>
      <c r="R94" s="39" t="e">
        <f t="shared" ca="1" si="10"/>
        <v>#NAME?</v>
      </c>
      <c r="S94" s="39" t="e">
        <f t="shared" ca="1" si="11"/>
        <v>#NAME?</v>
      </c>
      <c r="T94" s="39" t="e">
        <f t="shared" ca="1" si="12"/>
        <v>#NAME?</v>
      </c>
      <c r="U94" s="39"/>
      <c r="V94" s="39" t="e">
        <f t="shared" ca="1" si="13"/>
        <v>#NAME?</v>
      </c>
      <c r="W94" s="39" t="e">
        <f t="shared" ca="1" si="14"/>
        <v>#NAME?</v>
      </c>
      <c r="X94" s="39" t="e">
        <f t="shared" ca="1" si="15"/>
        <v>#NAME?</v>
      </c>
      <c r="Y94" s="87" t="e">
        <f t="shared" ca="1" si="16"/>
        <v>#NAME?</v>
      </c>
    </row>
    <row r="95" spans="1:25" ht="15">
      <c r="G95" s="115"/>
      <c r="H95" s="115"/>
      <c r="I95" s="115"/>
      <c r="J95" s="115"/>
      <c r="K95" s="85">
        <v>2.2999999999999998</v>
      </c>
      <c r="L95" s="39" t="e">
        <f ca="1">[3]!interpol(K95,$B$75:$B$87,$A$75:$A$87)</f>
        <v>#NAME?</v>
      </c>
      <c r="M95" s="87" t="e">
        <f ca="1">[3]!interpol(L95/1000,$D$75:$D$90,$E$75:$E$90)</f>
        <v>#NAME?</v>
      </c>
      <c r="N95" s="85" t="e">
        <f t="shared" ca="1" si="17"/>
        <v>#NAME?</v>
      </c>
      <c r="O95" s="110" t="e">
        <f ca="1">0.445/POWER(LOG(N95),2.58)/POWER(1+0.15*K95^2,0.58)*Géométrie!$B$10/$G$79</f>
        <v>#NAME?</v>
      </c>
      <c r="P95" s="85" t="e">
        <f t="shared" ca="1" si="8"/>
        <v>#NAME?</v>
      </c>
      <c r="Q95" s="39" t="e">
        <f t="shared" ca="1" si="9"/>
        <v>#NAME?</v>
      </c>
      <c r="R95" s="39" t="e">
        <f t="shared" ca="1" si="10"/>
        <v>#NAME?</v>
      </c>
      <c r="S95" s="39" t="e">
        <f t="shared" ca="1" si="11"/>
        <v>#NAME?</v>
      </c>
      <c r="T95" s="39" t="e">
        <f t="shared" ca="1" si="12"/>
        <v>#NAME?</v>
      </c>
      <c r="U95" s="39"/>
      <c r="V95" s="39" t="e">
        <f t="shared" ca="1" si="13"/>
        <v>#NAME?</v>
      </c>
      <c r="W95" s="39" t="e">
        <f t="shared" ca="1" si="14"/>
        <v>#NAME?</v>
      </c>
      <c r="X95" s="39" t="e">
        <f t="shared" ca="1" si="15"/>
        <v>#NAME?</v>
      </c>
      <c r="Y95" s="87" t="e">
        <f t="shared" ca="1" si="16"/>
        <v>#NAME?</v>
      </c>
    </row>
    <row r="96" spans="1:25" ht="15">
      <c r="G96" s="159" t="s">
        <v>638</v>
      </c>
      <c r="H96" s="115"/>
      <c r="I96" s="115"/>
      <c r="J96" s="115"/>
      <c r="K96" s="85">
        <v>2.5</v>
      </c>
      <c r="L96" s="39" t="e">
        <f ca="1">[3]!interpol(K96,$B$75:$B$87,$A$75:$A$87)</f>
        <v>#NAME?</v>
      </c>
      <c r="M96" s="87" t="e">
        <f ca="1">[3]!interpol(L96/1000,$D$75:$D$90,$E$75:$E$90)</f>
        <v>#NAME?</v>
      </c>
      <c r="N96" s="85" t="e">
        <f t="shared" ca="1" si="17"/>
        <v>#NAME?</v>
      </c>
      <c r="O96" s="110" t="e">
        <f ca="1">0.445/POWER(LOG(N96),2.58)/POWER(1+0.15*K96^2,0.58)*Géométrie!$B$10/$G$79</f>
        <v>#NAME?</v>
      </c>
      <c r="P96" s="85" t="e">
        <f t="shared" ca="1" si="8"/>
        <v>#NAME?</v>
      </c>
      <c r="Q96" s="39" t="e">
        <f t="shared" ca="1" si="9"/>
        <v>#NAME?</v>
      </c>
      <c r="R96" s="39" t="e">
        <f t="shared" ca="1" si="10"/>
        <v>#NAME?</v>
      </c>
      <c r="S96" s="39" t="e">
        <f t="shared" ca="1" si="11"/>
        <v>#NAME?</v>
      </c>
      <c r="T96" s="39" t="e">
        <f t="shared" ca="1" si="12"/>
        <v>#NAME?</v>
      </c>
      <c r="U96" s="39"/>
      <c r="V96" s="39" t="e">
        <f t="shared" ca="1" si="13"/>
        <v>#NAME?</v>
      </c>
      <c r="W96" s="39" t="e">
        <f t="shared" ca="1" si="14"/>
        <v>#NAME?</v>
      </c>
      <c r="X96" s="39" t="e">
        <f t="shared" ca="1" si="15"/>
        <v>#NAME?</v>
      </c>
      <c r="Y96" s="87" t="e">
        <f t="shared" ca="1" si="16"/>
        <v>#NAME?</v>
      </c>
    </row>
    <row r="97" spans="1:25" ht="15">
      <c r="G97" s="115">
        <f>PI()*Géométrie!B3*(Géométrie!B131-Géométrie!B121)</f>
        <v>556.90741035073893</v>
      </c>
      <c r="H97" s="115"/>
      <c r="I97" s="115"/>
      <c r="J97" s="115"/>
      <c r="K97" s="85">
        <v>2.7</v>
      </c>
      <c r="L97" s="39" t="e">
        <f ca="1">[3]!interpol(K97,$B$75:$B$87,$A$75:$A$87)</f>
        <v>#NAME?</v>
      </c>
      <c r="M97" s="87" t="e">
        <f ca="1">[3]!interpol(L97/1000,$D$75:$D$90,$E$75:$E$90)</f>
        <v>#NAME?</v>
      </c>
      <c r="N97" s="85" t="e">
        <f t="shared" ca="1" si="17"/>
        <v>#NAME?</v>
      </c>
      <c r="O97" s="110" t="e">
        <f ca="1">0.445/POWER(LOG(N97),2.58)/POWER(1+0.15*K97^2,0.58)*Géométrie!$B$10/$G$79</f>
        <v>#NAME?</v>
      </c>
      <c r="P97" s="85" t="e">
        <f t="shared" ca="1" si="8"/>
        <v>#NAME?</v>
      </c>
      <c r="Q97" s="39" t="e">
        <f t="shared" ca="1" si="9"/>
        <v>#NAME?</v>
      </c>
      <c r="R97" s="39" t="e">
        <f t="shared" ca="1" si="10"/>
        <v>#NAME?</v>
      </c>
      <c r="S97" s="39" t="e">
        <f t="shared" ca="1" si="11"/>
        <v>#NAME?</v>
      </c>
      <c r="T97" s="39" t="e">
        <f t="shared" ca="1" si="12"/>
        <v>#NAME?</v>
      </c>
      <c r="U97" s="39"/>
      <c r="V97" s="39" t="e">
        <f t="shared" ca="1" si="13"/>
        <v>#NAME?</v>
      </c>
      <c r="W97" s="39" t="e">
        <f t="shared" ca="1" si="14"/>
        <v>#NAME?</v>
      </c>
      <c r="X97" s="39" t="e">
        <f t="shared" ca="1" si="15"/>
        <v>#NAME?</v>
      </c>
      <c r="Y97" s="87" t="e">
        <f t="shared" ca="1" si="16"/>
        <v>#NAME?</v>
      </c>
    </row>
    <row r="98" spans="1:25" ht="15">
      <c r="G98" s="115"/>
      <c r="H98" s="115"/>
      <c r="I98" s="115"/>
      <c r="J98" s="115"/>
      <c r="K98" s="85">
        <v>2.9</v>
      </c>
      <c r="L98" s="39" t="e">
        <f ca="1">[3]!interpol(K98,$B$75:$B$87,$A$75:$A$87)</f>
        <v>#NAME?</v>
      </c>
      <c r="M98" s="87" t="e">
        <f ca="1">[3]!interpol(L98/1000,$D$75:$D$90,$E$75:$E$90)</f>
        <v>#NAME?</v>
      </c>
      <c r="N98" s="85" t="e">
        <f t="shared" ca="1" si="17"/>
        <v>#NAME?</v>
      </c>
      <c r="O98" s="110" t="e">
        <f ca="1">0.445/POWER(LOG(N98),2.58)/POWER(1+0.15*K98^2,0.58)*Géométrie!$B$10/$G$79</f>
        <v>#NAME?</v>
      </c>
      <c r="P98" s="85" t="e">
        <f t="shared" ca="1" si="8"/>
        <v>#NAME?</v>
      </c>
      <c r="Q98" s="39" t="e">
        <f t="shared" ca="1" si="9"/>
        <v>#NAME?</v>
      </c>
      <c r="R98" s="39" t="e">
        <f t="shared" ca="1" si="10"/>
        <v>#NAME?</v>
      </c>
      <c r="S98" s="39" t="e">
        <f t="shared" ca="1" si="11"/>
        <v>#NAME?</v>
      </c>
      <c r="T98" s="39" t="e">
        <f t="shared" ca="1" si="12"/>
        <v>#NAME?</v>
      </c>
      <c r="U98" s="39"/>
      <c r="V98" s="39" t="e">
        <f t="shared" ca="1" si="13"/>
        <v>#NAME?</v>
      </c>
      <c r="W98" s="39" t="e">
        <f t="shared" ca="1" si="14"/>
        <v>#NAME?</v>
      </c>
      <c r="X98" s="39" t="e">
        <f t="shared" ca="1" si="15"/>
        <v>#NAME?</v>
      </c>
      <c r="Y98" s="87" t="e">
        <f t="shared" ca="1" si="16"/>
        <v>#NAME?</v>
      </c>
    </row>
    <row r="99" spans="1:25" ht="16">
      <c r="G99" s="171" t="s">
        <v>639</v>
      </c>
      <c r="H99" s="115"/>
      <c r="I99" s="115"/>
      <c r="J99" s="115"/>
      <c r="K99" s="85">
        <v>3.1</v>
      </c>
      <c r="L99" s="39" t="e">
        <f ca="1">[3]!interpol(K99,$B$75:$B$87,$A$75:$A$87)</f>
        <v>#NAME?</v>
      </c>
      <c r="M99" s="87" t="e">
        <f ca="1">[3]!interpol(L99/1000,$D$75:$D$90,$E$75:$E$90)</f>
        <v>#NAME?</v>
      </c>
      <c r="N99" s="85" t="e">
        <f t="shared" ca="1" si="17"/>
        <v>#NAME?</v>
      </c>
      <c r="O99" s="110" t="e">
        <f ca="1">0.445/POWER(LOG(N99),2.58)/POWER(1+0.15*K99^2,0.58)*Géométrie!$B$10/$G$79</f>
        <v>#NAME?</v>
      </c>
      <c r="P99" s="85" t="e">
        <f t="shared" ca="1" si="8"/>
        <v>#NAME?</v>
      </c>
      <c r="Q99" s="39" t="e">
        <f t="shared" ca="1" si="9"/>
        <v>#NAME?</v>
      </c>
      <c r="R99" s="39" t="e">
        <f t="shared" ca="1" si="10"/>
        <v>#NAME?</v>
      </c>
      <c r="S99" s="39" t="e">
        <f t="shared" ca="1" si="11"/>
        <v>#NAME?</v>
      </c>
      <c r="T99" s="39" t="e">
        <f t="shared" ca="1" si="12"/>
        <v>#NAME?</v>
      </c>
      <c r="U99" s="39"/>
      <c r="V99" s="39" t="e">
        <f t="shared" ca="1" si="13"/>
        <v>#NAME?</v>
      </c>
      <c r="W99" s="39" t="e">
        <f t="shared" ca="1" si="14"/>
        <v>#NAME?</v>
      </c>
      <c r="X99" s="39" t="e">
        <f t="shared" ca="1" si="15"/>
        <v>#NAME?</v>
      </c>
      <c r="Y99" s="87" t="e">
        <f t="shared" ca="1" si="16"/>
        <v>#NAME?</v>
      </c>
    </row>
    <row r="100" spans="1:25" ht="15">
      <c r="G100" s="115">
        <f>PI()*Géométrie!B3*(Aerodynamique!BB3)</f>
        <v>489.66041196095608</v>
      </c>
      <c r="H100" s="115"/>
      <c r="I100" s="115"/>
      <c r="J100" s="115"/>
      <c r="K100" s="85">
        <v>3.3</v>
      </c>
      <c r="L100" s="39" t="e">
        <f ca="1">[3]!interpol(K100,$B$75:$B$87,$A$75:$A$87)</f>
        <v>#NAME?</v>
      </c>
      <c r="M100" s="87" t="e">
        <f ca="1">[3]!interpol(L100/1000,$D$75:$D$90,$E$75:$E$90)</f>
        <v>#NAME?</v>
      </c>
      <c r="N100" s="85" t="e">
        <f t="shared" ca="1" si="17"/>
        <v>#NAME?</v>
      </c>
      <c r="O100" s="110" t="e">
        <f ca="1">0.445/POWER(LOG(N100),2.58)/POWER(1+0.15*K100^2,0.58)*Géométrie!$B$10/$G$79</f>
        <v>#NAME?</v>
      </c>
      <c r="P100" s="85" t="e">
        <f t="shared" ca="1" si="8"/>
        <v>#NAME?</v>
      </c>
      <c r="Q100" s="39" t="e">
        <f t="shared" ca="1" si="9"/>
        <v>#NAME?</v>
      </c>
      <c r="R100" s="39" t="e">
        <f t="shared" ca="1" si="10"/>
        <v>#NAME?</v>
      </c>
      <c r="S100" s="39" t="e">
        <f t="shared" ca="1" si="11"/>
        <v>#NAME?</v>
      </c>
      <c r="T100" s="39" t="e">
        <f t="shared" ca="1" si="12"/>
        <v>#NAME?</v>
      </c>
      <c r="U100" s="39"/>
      <c r="V100" s="39" t="e">
        <f t="shared" ca="1" si="13"/>
        <v>#NAME?</v>
      </c>
      <c r="W100" s="39" t="e">
        <f t="shared" ca="1" si="14"/>
        <v>#NAME?</v>
      </c>
      <c r="X100" s="39" t="e">
        <f t="shared" ca="1" si="15"/>
        <v>#NAME?</v>
      </c>
      <c r="Y100" s="87" t="e">
        <f t="shared" ca="1" si="16"/>
        <v>#NAME?</v>
      </c>
    </row>
    <row r="101" spans="1:25" ht="15">
      <c r="G101" s="115"/>
      <c r="H101" s="115"/>
      <c r="I101" s="115"/>
      <c r="J101" s="115"/>
      <c r="K101" s="85">
        <v>3.5</v>
      </c>
      <c r="L101" s="39" t="e">
        <f ca="1">[3]!interpol(K101,$B$75:$B$87,$A$75:$A$87)</f>
        <v>#NAME?</v>
      </c>
      <c r="M101" s="87" t="e">
        <f ca="1">[3]!interpol(L101/1000,$D$75:$D$90,$E$75:$E$90)</f>
        <v>#NAME?</v>
      </c>
      <c r="N101" s="85" t="e">
        <f t="shared" ca="1" si="17"/>
        <v>#NAME?</v>
      </c>
      <c r="O101" s="110" t="e">
        <f ca="1">0.445/POWER(LOG(N101),2.58)/POWER(1+0.15*K101^2,0.58)*Géométrie!$B$10/$G$79</f>
        <v>#NAME?</v>
      </c>
      <c r="P101" s="85" t="e">
        <f t="shared" ca="1" si="8"/>
        <v>#NAME?</v>
      </c>
      <c r="Q101" s="39" t="e">
        <f t="shared" ca="1" si="9"/>
        <v>#NAME?</v>
      </c>
      <c r="R101" s="39" t="e">
        <f t="shared" ca="1" si="10"/>
        <v>#NAME?</v>
      </c>
      <c r="S101" s="39" t="e">
        <f t="shared" ca="1" si="11"/>
        <v>#NAME?</v>
      </c>
      <c r="T101" s="39" t="e">
        <f t="shared" ca="1" si="12"/>
        <v>#NAME?</v>
      </c>
      <c r="U101" s="39"/>
      <c r="V101" s="39" t="e">
        <f t="shared" ca="1" si="13"/>
        <v>#NAME?</v>
      </c>
      <c r="W101" s="39" t="e">
        <f t="shared" ca="1" si="14"/>
        <v>#NAME?</v>
      </c>
      <c r="X101" s="39" t="e">
        <f t="shared" ca="1" si="15"/>
        <v>#NAME?</v>
      </c>
      <c r="Y101" s="87" t="e">
        <f t="shared" ca="1" si="16"/>
        <v>#NAME?</v>
      </c>
    </row>
    <row r="102" spans="1:25" ht="15">
      <c r="G102" s="115"/>
      <c r="H102" s="115"/>
      <c r="I102" s="115"/>
      <c r="J102" s="115"/>
      <c r="K102" s="85">
        <v>3.7</v>
      </c>
      <c r="L102" s="39" t="e">
        <f ca="1">[3]!interpol(K102,$B$75:$B$87,$A$75:$A$87)</f>
        <v>#NAME?</v>
      </c>
      <c r="M102" s="87" t="e">
        <f ca="1">[3]!interpol(L102/1000,$D$75:$D$90,$E$75:$E$90)</f>
        <v>#NAME?</v>
      </c>
      <c r="N102" s="85" t="e">
        <f t="shared" ca="1" si="17"/>
        <v>#NAME?</v>
      </c>
      <c r="O102" s="110" t="e">
        <f ca="1">0.445/POWER(LOG(N102),2.58)/POWER(1+0.15*K102^2,0.58)*Géométrie!$B$10/$G$79</f>
        <v>#NAME?</v>
      </c>
      <c r="P102" s="85" t="e">
        <f t="shared" ca="1" si="8"/>
        <v>#NAME?</v>
      </c>
      <c r="Q102" s="39" t="e">
        <f t="shared" ca="1" si="9"/>
        <v>#NAME?</v>
      </c>
      <c r="R102" s="39" t="e">
        <f t="shared" ca="1" si="10"/>
        <v>#NAME?</v>
      </c>
      <c r="S102" s="39" t="e">
        <f t="shared" ca="1" si="11"/>
        <v>#NAME?</v>
      </c>
      <c r="T102" s="39" t="e">
        <f t="shared" ca="1" si="12"/>
        <v>#NAME?</v>
      </c>
      <c r="U102" s="39"/>
      <c r="V102" s="39" t="e">
        <f t="shared" ca="1" si="13"/>
        <v>#NAME?</v>
      </c>
      <c r="W102" s="39" t="e">
        <f t="shared" ca="1" si="14"/>
        <v>#NAME?</v>
      </c>
      <c r="X102" s="39" t="e">
        <f t="shared" ca="1" si="15"/>
        <v>#NAME?</v>
      </c>
      <c r="Y102" s="87" t="e">
        <f t="shared" ca="1" si="16"/>
        <v>#NAME?</v>
      </c>
    </row>
    <row r="103" spans="1:25" ht="15">
      <c r="G103" s="115"/>
      <c r="H103" s="115"/>
      <c r="I103" s="115"/>
      <c r="J103" s="115"/>
      <c r="K103" s="85">
        <v>3.9</v>
      </c>
      <c r="L103" s="39" t="e">
        <f ca="1">[3]!interpol(K103,$B$75:$B$87,$A$75:$A$87)</f>
        <v>#NAME?</v>
      </c>
      <c r="M103" s="87" t="e">
        <f ca="1">[3]!interpol(L103/1000,$D$75:$D$90,$E$75:$E$90)</f>
        <v>#NAME?</v>
      </c>
      <c r="N103" s="85" t="e">
        <f t="shared" ca="1" si="17"/>
        <v>#NAME?</v>
      </c>
      <c r="O103" s="110" t="e">
        <f ca="1">0.445/POWER(LOG(N103),2.58)/POWER(1+0.15*K103^2,0.58)*Géométrie!$B$10/$G$79</f>
        <v>#NAME?</v>
      </c>
      <c r="P103" s="85" t="e">
        <f t="shared" ca="1" si="8"/>
        <v>#NAME?</v>
      </c>
      <c r="Q103" s="39" t="e">
        <f t="shared" ca="1" si="9"/>
        <v>#NAME?</v>
      </c>
      <c r="R103" s="39" t="e">
        <f t="shared" ca="1" si="10"/>
        <v>#NAME?</v>
      </c>
      <c r="S103" s="39" t="e">
        <f t="shared" ca="1" si="11"/>
        <v>#NAME?</v>
      </c>
      <c r="T103" s="39" t="e">
        <f t="shared" ca="1" si="12"/>
        <v>#NAME?</v>
      </c>
      <c r="U103" s="39"/>
      <c r="V103" s="39" t="e">
        <f t="shared" ca="1" si="13"/>
        <v>#NAME?</v>
      </c>
      <c r="W103" s="39" t="e">
        <f t="shared" ca="1" si="14"/>
        <v>#NAME?</v>
      </c>
      <c r="X103" s="39" t="e">
        <f t="shared" ca="1" si="15"/>
        <v>#NAME?</v>
      </c>
      <c r="Y103" s="87" t="e">
        <f t="shared" ca="1" si="16"/>
        <v>#NAME?</v>
      </c>
    </row>
    <row r="104" spans="1:25" ht="15">
      <c r="G104" s="115"/>
      <c r="H104" s="115"/>
      <c r="I104" s="115"/>
      <c r="J104" s="115"/>
      <c r="K104" s="85">
        <v>4.0999999999999996</v>
      </c>
      <c r="L104" s="39" t="e">
        <f ca="1">[3]!interpol(K104,$B$75:$B$87,$A$75:$A$87)</f>
        <v>#NAME?</v>
      </c>
      <c r="M104" s="87" t="e">
        <f ca="1">[3]!interpol(L104/1000,$D$75:$D$90,$E$75:$E$90)</f>
        <v>#NAME?</v>
      </c>
      <c r="N104" s="85" t="e">
        <f t="shared" ca="1" si="17"/>
        <v>#NAME?</v>
      </c>
      <c r="O104" s="110" t="e">
        <f ca="1">0.445/POWER(LOG(N104),2.58)/POWER(1+0.15*K104^2,0.58)*Géométrie!$B$10/$G$79</f>
        <v>#NAME?</v>
      </c>
      <c r="P104" s="85" t="e">
        <f t="shared" ca="1" si="8"/>
        <v>#NAME?</v>
      </c>
      <c r="Q104" s="39" t="e">
        <f t="shared" ca="1" si="9"/>
        <v>#NAME?</v>
      </c>
      <c r="R104" s="39" t="e">
        <f t="shared" ca="1" si="10"/>
        <v>#NAME?</v>
      </c>
      <c r="S104" s="39" t="e">
        <f t="shared" ca="1" si="11"/>
        <v>#NAME?</v>
      </c>
      <c r="T104" s="39" t="e">
        <f t="shared" ca="1" si="12"/>
        <v>#NAME?</v>
      </c>
      <c r="U104" s="39"/>
      <c r="V104" s="39" t="e">
        <f t="shared" ca="1" si="13"/>
        <v>#NAME?</v>
      </c>
      <c r="W104" s="39" t="e">
        <f t="shared" ca="1" si="14"/>
        <v>#NAME?</v>
      </c>
      <c r="X104" s="39" t="e">
        <f t="shared" ca="1" si="15"/>
        <v>#NAME?</v>
      </c>
      <c r="Y104" s="87" t="e">
        <f t="shared" ca="1" si="16"/>
        <v>#NAME?</v>
      </c>
    </row>
    <row r="105" spans="1:25" ht="15">
      <c r="G105" s="115"/>
      <c r="H105" s="115"/>
      <c r="I105" s="115"/>
      <c r="J105" s="115"/>
      <c r="K105" s="85">
        <v>4.3</v>
      </c>
      <c r="L105" s="39" t="e">
        <f ca="1">[3]!interpol(K105,$B$75:$B$87,$A$75:$A$87)</f>
        <v>#NAME?</v>
      </c>
      <c r="M105" s="87" t="e">
        <f ca="1">[3]!interpol(L105/1000,$D$75:$D$90,$E$75:$E$90)</f>
        <v>#NAME?</v>
      </c>
      <c r="N105" s="85" t="e">
        <f t="shared" ca="1" si="17"/>
        <v>#NAME?</v>
      </c>
      <c r="O105" s="110" t="e">
        <f ca="1">0.445/POWER(LOG(N105),2.58)/POWER(1+0.15*K105^2,0.58)*Géométrie!$B$10/$G$79</f>
        <v>#NAME?</v>
      </c>
      <c r="P105" s="85" t="e">
        <f t="shared" ca="1" si="8"/>
        <v>#NAME?</v>
      </c>
      <c r="Q105" s="39" t="e">
        <f t="shared" ca="1" si="9"/>
        <v>#NAME?</v>
      </c>
      <c r="R105" s="39" t="e">
        <f t="shared" ca="1" si="10"/>
        <v>#NAME?</v>
      </c>
      <c r="S105" s="39" t="e">
        <f t="shared" ca="1" si="11"/>
        <v>#NAME?</v>
      </c>
      <c r="T105" s="39" t="e">
        <f t="shared" ca="1" si="12"/>
        <v>#NAME?</v>
      </c>
      <c r="U105" s="39"/>
      <c r="V105" s="39" t="e">
        <f t="shared" ca="1" si="13"/>
        <v>#NAME?</v>
      </c>
      <c r="W105" s="39" t="e">
        <f t="shared" ca="1" si="14"/>
        <v>#NAME?</v>
      </c>
      <c r="X105" s="39" t="e">
        <f t="shared" ca="1" si="15"/>
        <v>#NAME?</v>
      </c>
      <c r="Y105" s="87" t="e">
        <f t="shared" ca="1" si="16"/>
        <v>#NAME?</v>
      </c>
    </row>
    <row r="106" spans="1:25" ht="15">
      <c r="G106" s="115"/>
      <c r="H106" s="115"/>
      <c r="I106" s="115"/>
      <c r="J106" s="115"/>
      <c r="K106" s="85">
        <v>4.5</v>
      </c>
      <c r="L106" s="39" t="e">
        <f ca="1">[3]!interpol(K106,$B$75:$B$87,$A$75:$A$87)</f>
        <v>#NAME?</v>
      </c>
      <c r="M106" s="87" t="e">
        <f ca="1">[3]!interpol(L106/1000,$D$75:$D$90,$E$75:$E$90)</f>
        <v>#NAME?</v>
      </c>
      <c r="N106" s="85" t="e">
        <f t="shared" ca="1" si="17"/>
        <v>#NAME?</v>
      </c>
      <c r="O106" s="110" t="e">
        <f ca="1">0.445/POWER(LOG(N106),2.58)/POWER(1+0.15*K106^2,0.58)*Géométrie!$B$10/$G$79</f>
        <v>#NAME?</v>
      </c>
      <c r="P106" s="85" t="e">
        <f t="shared" ca="1" si="8"/>
        <v>#NAME?</v>
      </c>
      <c r="Q106" s="39" t="e">
        <f t="shared" ca="1" si="9"/>
        <v>#NAME?</v>
      </c>
      <c r="R106" s="39" t="e">
        <f t="shared" ca="1" si="10"/>
        <v>#NAME?</v>
      </c>
      <c r="S106" s="39" t="e">
        <f t="shared" ca="1" si="11"/>
        <v>#NAME?</v>
      </c>
      <c r="T106" s="39" t="e">
        <f t="shared" ca="1" si="12"/>
        <v>#NAME?</v>
      </c>
      <c r="U106" s="39"/>
      <c r="V106" s="39" t="e">
        <f t="shared" ca="1" si="13"/>
        <v>#NAME?</v>
      </c>
      <c r="W106" s="39" t="e">
        <f t="shared" ca="1" si="14"/>
        <v>#NAME?</v>
      </c>
      <c r="X106" s="39" t="e">
        <f t="shared" ca="1" si="15"/>
        <v>#NAME?</v>
      </c>
      <c r="Y106" s="87" t="e">
        <f t="shared" ca="1" si="16"/>
        <v>#NAME?</v>
      </c>
    </row>
    <row r="107" spans="1:25" ht="15">
      <c r="G107" s="115"/>
      <c r="H107" s="115"/>
      <c r="I107" s="115"/>
      <c r="J107" s="115"/>
      <c r="K107" s="85">
        <v>4.7</v>
      </c>
      <c r="L107" s="39" t="e">
        <f ca="1">[3]!interpol(K107,$B$75:$B$87,$A$75:$A$87)</f>
        <v>#NAME?</v>
      </c>
      <c r="M107" s="87" t="e">
        <f ca="1">[3]!interpol(L107/1000,$D$75:$D$90,$E$75:$E$90)</f>
        <v>#NAME?</v>
      </c>
      <c r="N107" s="85" t="e">
        <f t="shared" ca="1" si="17"/>
        <v>#NAME?</v>
      </c>
      <c r="O107" s="110" t="e">
        <f ca="1">0.445/POWER(LOG(N107),2.58)/POWER(1+0.15*K107^2,0.58)*Géométrie!$B$10/$G$79</f>
        <v>#NAME?</v>
      </c>
      <c r="P107" s="85" t="e">
        <f t="shared" ca="1" si="8"/>
        <v>#NAME?</v>
      </c>
      <c r="Q107" s="39" t="e">
        <f t="shared" ca="1" si="9"/>
        <v>#NAME?</v>
      </c>
      <c r="R107" s="39" t="e">
        <f t="shared" ca="1" si="10"/>
        <v>#NAME?</v>
      </c>
      <c r="S107" s="39" t="e">
        <f t="shared" ca="1" si="11"/>
        <v>#NAME?</v>
      </c>
      <c r="T107" s="39" t="e">
        <f t="shared" ca="1" si="12"/>
        <v>#NAME?</v>
      </c>
      <c r="U107" s="39"/>
      <c r="V107" s="39" t="e">
        <f t="shared" ca="1" si="13"/>
        <v>#NAME?</v>
      </c>
      <c r="W107" s="39" t="e">
        <f t="shared" ca="1" si="14"/>
        <v>#NAME?</v>
      </c>
      <c r="X107" s="39" t="e">
        <f t="shared" ca="1" si="15"/>
        <v>#NAME?</v>
      </c>
      <c r="Y107" s="87" t="e">
        <f t="shared" ca="1" si="16"/>
        <v>#NAME?</v>
      </c>
    </row>
    <row r="108" spans="1:25" ht="15">
      <c r="G108" s="115"/>
      <c r="H108" s="115"/>
      <c r="I108" s="115"/>
      <c r="J108" s="115"/>
      <c r="K108" s="88">
        <v>4.9000000000000004</v>
      </c>
      <c r="L108" s="39" t="e">
        <f ca="1">[3]!interpol(K108,$B$75:$B$87,$A$75:$A$87)</f>
        <v>#NAME?</v>
      </c>
      <c r="M108" s="87" t="e">
        <f ca="1">[3]!interpol(L108/1000,$D$75:$D$90,$E$75:$E$90)</f>
        <v>#NAME?</v>
      </c>
      <c r="N108" s="88" t="e">
        <f t="shared" ca="1" si="17"/>
        <v>#NAME?</v>
      </c>
      <c r="O108" s="111" t="e">
        <f ca="1">0.445/POWER(LOG(N108),2.58)/POWER(1+0.15*K108^2,0.58)*Géométrie!$B$10/$G$79</f>
        <v>#NAME?</v>
      </c>
      <c r="P108" s="88" t="e">
        <f t="shared" ca="1" si="8"/>
        <v>#NAME?</v>
      </c>
      <c r="Q108" s="90" t="e">
        <f t="shared" ca="1" si="9"/>
        <v>#NAME?</v>
      </c>
      <c r="R108" s="90" t="e">
        <f t="shared" ca="1" si="10"/>
        <v>#NAME?</v>
      </c>
      <c r="S108" s="39" t="e">
        <f t="shared" ca="1" si="11"/>
        <v>#NAME?</v>
      </c>
      <c r="T108" s="39" t="e">
        <f t="shared" ca="1" si="12"/>
        <v>#NAME?</v>
      </c>
      <c r="U108" s="90"/>
      <c r="V108" s="90" t="e">
        <f t="shared" ca="1" si="13"/>
        <v>#NAME?</v>
      </c>
      <c r="W108" s="90" t="e">
        <f t="shared" ca="1" si="14"/>
        <v>#NAME?</v>
      </c>
      <c r="X108" s="90" t="e">
        <f t="shared" ca="1" si="15"/>
        <v>#NAME?</v>
      </c>
      <c r="Y108" s="91" t="e">
        <f t="shared" ca="1" si="16"/>
        <v>#NAME?</v>
      </c>
    </row>
    <row r="109" spans="1:25" ht="15">
      <c r="G109" s="115"/>
      <c r="H109" s="115"/>
      <c r="I109" s="115"/>
      <c r="J109" s="115"/>
      <c r="K109" s="115"/>
    </row>
    <row r="110" spans="1:25" ht="15">
      <c r="A110" s="39"/>
      <c r="B110" s="39"/>
      <c r="C110" s="39"/>
      <c r="D110" s="39"/>
      <c r="E110" s="39"/>
      <c r="F110" s="39"/>
      <c r="G110" s="39"/>
      <c r="H110" s="39"/>
      <c r="I110" s="172"/>
      <c r="J110" s="115"/>
      <c r="K110" s="115"/>
    </row>
    <row r="111" spans="1:25" ht="15">
      <c r="A111" s="39"/>
      <c r="B111" s="39"/>
      <c r="C111" s="39"/>
      <c r="D111" s="39"/>
      <c r="E111" s="39"/>
      <c r="F111" s="39"/>
      <c r="G111" s="39"/>
      <c r="H111" s="39"/>
      <c r="I111" s="172"/>
      <c r="J111" s="115"/>
      <c r="K111" s="115"/>
    </row>
    <row r="112" spans="1:25" ht="15">
      <c r="A112" s="161" t="s">
        <v>214</v>
      </c>
      <c r="B112" s="161" t="s">
        <v>640</v>
      </c>
      <c r="C112" s="39"/>
      <c r="D112" s="39" t="s">
        <v>641</v>
      </c>
      <c r="E112" s="39">
        <f>PI()*Géométrie!B127^2/4</f>
        <v>9.0792027688745005</v>
      </c>
      <c r="F112" s="39"/>
      <c r="G112" s="39"/>
      <c r="H112" s="39"/>
      <c r="I112" s="172"/>
      <c r="J112" s="115"/>
      <c r="K112" s="115"/>
    </row>
    <row r="113" spans="1:11" ht="15">
      <c r="A113" s="85">
        <v>0.5</v>
      </c>
      <c r="B113" s="85" t="e">
        <f ca="1">[3]!interpol(A113,$A$150:$A$167,$B$150:$B$167)</f>
        <v>#NAME?</v>
      </c>
      <c r="C113" s="39"/>
      <c r="D113" s="39" t="s">
        <v>642</v>
      </c>
      <c r="E113" s="86">
        <f>'Moteur Etage 1'!B29</f>
        <v>9.0712437634416894</v>
      </c>
      <c r="F113" s="39"/>
      <c r="G113" s="39"/>
      <c r="H113" s="39"/>
      <c r="I113" s="172"/>
      <c r="J113" s="115"/>
      <c r="K113" s="115"/>
    </row>
    <row r="114" spans="1:11" ht="15">
      <c r="A114" s="85">
        <v>0.6</v>
      </c>
      <c r="B114" s="85" t="e">
        <f ca="1">[3]!interpol(A114,$A$150:$A$167,$B$150:$B$167)</f>
        <v>#NAME?</v>
      </c>
      <c r="C114" s="39"/>
      <c r="D114" s="39"/>
      <c r="E114" s="39"/>
      <c r="F114" s="39"/>
      <c r="G114" s="39"/>
      <c r="H114" s="39"/>
      <c r="I114" s="172"/>
      <c r="J114" s="115"/>
      <c r="K114" s="115"/>
    </row>
    <row r="115" spans="1:11" ht="15">
      <c r="A115" s="85">
        <v>0.7</v>
      </c>
      <c r="B115" s="85" t="e">
        <f ca="1">[3]!interpol(A115,$A$150:$A$167,$B$150:$B$167)</f>
        <v>#NAME?</v>
      </c>
      <c r="C115" s="39"/>
      <c r="D115" s="39"/>
      <c r="E115" s="39"/>
      <c r="F115" s="39"/>
      <c r="G115" s="39"/>
      <c r="H115" s="39"/>
      <c r="I115" s="172"/>
      <c r="J115" s="115"/>
      <c r="K115" s="115"/>
    </row>
    <row r="116" spans="1:11" ht="15">
      <c r="A116" s="85">
        <v>0.8</v>
      </c>
      <c r="B116" s="85" t="e">
        <f ca="1">[3]!interpol(A116,$A$150:$A$167,$B$150:$B$167)</f>
        <v>#NAME?</v>
      </c>
      <c r="C116" s="39"/>
      <c r="D116" s="39"/>
      <c r="E116" s="39"/>
      <c r="F116" s="39"/>
      <c r="G116" s="39"/>
      <c r="H116" s="39"/>
      <c r="I116" s="172"/>
      <c r="J116" s="115"/>
      <c r="K116" s="115"/>
    </row>
    <row r="117" spans="1:11" ht="15">
      <c r="A117" s="85">
        <v>0.9</v>
      </c>
      <c r="B117" s="85" t="e">
        <f ca="1">[3]!interpol(A117,$A$150:$A$167,$B$150:$B$167)</f>
        <v>#NAME?</v>
      </c>
      <c r="C117" s="39"/>
      <c r="D117" s="39"/>
      <c r="E117" s="39"/>
      <c r="F117" s="39"/>
      <c r="G117" s="39"/>
      <c r="H117" s="39"/>
      <c r="I117" s="172"/>
      <c r="J117" s="115"/>
      <c r="K117" s="115"/>
    </row>
    <row r="118" spans="1:11" ht="15">
      <c r="A118" s="85">
        <v>0.92</v>
      </c>
      <c r="B118" s="85" t="e">
        <f ca="1">[3]!interpol(A118,$A$150:$A$167,$B$150:$B$167)</f>
        <v>#NAME?</v>
      </c>
      <c r="C118" s="39"/>
      <c r="D118" s="39"/>
      <c r="E118" s="39"/>
      <c r="F118" s="39"/>
      <c r="G118" s="39"/>
      <c r="H118" s="39"/>
      <c r="I118" s="172"/>
      <c r="J118" s="115"/>
      <c r="K118" s="115"/>
    </row>
    <row r="119" spans="1:11" ht="15">
      <c r="A119" s="85">
        <v>0.94</v>
      </c>
      <c r="B119" s="85" t="e">
        <f ca="1">[3]!interpol(A119,$A$150:$A$167,$B$150:$B$167)</f>
        <v>#NAME?</v>
      </c>
      <c r="C119" s="39"/>
      <c r="D119" s="39"/>
      <c r="E119" s="39"/>
      <c r="F119" s="39"/>
      <c r="G119" s="39"/>
      <c r="H119" s="39"/>
      <c r="I119" s="172"/>
      <c r="J119" s="115"/>
      <c r="K119" s="115"/>
    </row>
    <row r="120" spans="1:11" ht="15">
      <c r="A120" s="85">
        <v>0.96</v>
      </c>
      <c r="B120" s="85" t="e">
        <f ca="1">[3]!interpol(A120,$A$150:$A$167,$B$150:$B$167)</f>
        <v>#NAME?</v>
      </c>
      <c r="C120" s="39"/>
      <c r="D120" s="39"/>
      <c r="E120" s="39"/>
      <c r="F120" s="39"/>
      <c r="G120" s="39"/>
      <c r="H120" s="39"/>
      <c r="I120" s="172"/>
      <c r="J120" s="115"/>
      <c r="K120" s="115"/>
    </row>
    <row r="121" spans="1:11" ht="15">
      <c r="A121" s="85">
        <v>0.98</v>
      </c>
      <c r="B121" s="85" t="e">
        <f ca="1">[3]!interpol(A121,$A$150:$A$167,$B$150:$B$167)</f>
        <v>#NAME?</v>
      </c>
      <c r="C121" s="39"/>
      <c r="D121" s="39"/>
      <c r="E121" s="39"/>
      <c r="F121" s="39"/>
      <c r="G121" s="39"/>
      <c r="H121" s="39"/>
      <c r="I121" s="172"/>
      <c r="J121" s="115"/>
      <c r="K121" s="115"/>
    </row>
    <row r="122" spans="1:11" ht="15">
      <c r="A122" s="85">
        <v>1</v>
      </c>
      <c r="B122" s="85" t="e">
        <f ca="1">[3]!interpol(A122,$A$150:$A$167,$B$150:$B$167)</f>
        <v>#NAME?</v>
      </c>
      <c r="C122" s="39"/>
      <c r="D122" s="39"/>
      <c r="E122" s="39"/>
      <c r="F122" s="39"/>
      <c r="G122" s="39"/>
      <c r="H122" s="39"/>
      <c r="I122" s="172"/>
      <c r="J122" s="115"/>
      <c r="K122" s="115"/>
    </row>
    <row r="123" spans="1:11" ht="15">
      <c r="A123" s="85">
        <v>1.02</v>
      </c>
      <c r="B123" s="85" t="e">
        <f ca="1">[3]!interpol(A123,$A$150:$A$167,$B$150:$B$167)</f>
        <v>#NAME?</v>
      </c>
      <c r="C123" s="39"/>
      <c r="D123" s="39"/>
      <c r="E123" s="39"/>
      <c r="F123" s="39"/>
      <c r="G123" s="39"/>
      <c r="H123" s="39"/>
      <c r="I123" s="172"/>
      <c r="J123" s="115"/>
      <c r="K123" s="115"/>
    </row>
    <row r="124" spans="1:11" ht="15">
      <c r="A124" s="85">
        <v>1.04</v>
      </c>
      <c r="B124" s="85" t="e">
        <f ca="1">[3]!interpol(A124,$A$150:$A$167,$B$150:$B$167)</f>
        <v>#NAME?</v>
      </c>
      <c r="C124" s="39"/>
      <c r="D124" s="39"/>
      <c r="E124" s="39"/>
      <c r="F124" s="39"/>
      <c r="G124" s="39"/>
      <c r="H124" s="39"/>
      <c r="I124" s="172"/>
      <c r="J124" s="115"/>
      <c r="K124" s="115"/>
    </row>
    <row r="125" spans="1:11" ht="15">
      <c r="A125" s="85">
        <v>1.06</v>
      </c>
      <c r="B125" s="85" t="e">
        <f ca="1">[3]!interpol(A125,$A$150:$A$167,$B$150:$B$167)</f>
        <v>#NAME?</v>
      </c>
      <c r="C125" s="39"/>
      <c r="D125" s="39"/>
      <c r="E125" s="39"/>
      <c r="F125" s="39"/>
      <c r="G125" s="39"/>
      <c r="H125" s="39"/>
      <c r="I125" s="172"/>
      <c r="J125" s="115"/>
      <c r="K125" s="115"/>
    </row>
    <row r="126" spans="1:11" ht="15">
      <c r="A126" s="85">
        <v>1.08</v>
      </c>
      <c r="B126" s="85" t="e">
        <f ca="1">[3]!interpol(A126,$A$150:$A$167,$B$150:$B$167)</f>
        <v>#NAME?</v>
      </c>
      <c r="C126" s="39"/>
      <c r="D126" s="39"/>
      <c r="E126" s="39"/>
      <c r="F126" s="39"/>
      <c r="G126" s="39"/>
      <c r="H126" s="39"/>
      <c r="I126" s="172"/>
      <c r="J126" s="115"/>
      <c r="K126" s="115"/>
    </row>
    <row r="127" spans="1:11" ht="15">
      <c r="A127" s="85">
        <v>1.1000000000000001</v>
      </c>
      <c r="B127" s="85" t="e">
        <f ca="1">[3]!interpol(A127,$A$150:$A$167,$B$150:$B$167)</f>
        <v>#NAME?</v>
      </c>
      <c r="C127" s="39"/>
      <c r="D127" s="39"/>
      <c r="E127" s="39"/>
      <c r="F127" s="39"/>
      <c r="G127" s="39"/>
      <c r="H127" s="39"/>
      <c r="I127" s="172"/>
      <c r="J127" s="115"/>
      <c r="K127" s="115"/>
    </row>
    <row r="128" spans="1:11" ht="15">
      <c r="A128" s="85">
        <v>1.3</v>
      </c>
      <c r="B128" s="85" t="e">
        <f ca="1">[3]!interpol(A128,$A$150:$A$167,$B$150:$B$167)</f>
        <v>#NAME?</v>
      </c>
      <c r="C128" s="39"/>
      <c r="D128" s="39"/>
      <c r="E128" s="39"/>
      <c r="F128" s="39"/>
      <c r="G128" s="39"/>
      <c r="H128" s="39"/>
      <c r="I128" s="172"/>
      <c r="J128" s="115"/>
      <c r="K128" s="115"/>
    </row>
    <row r="129" spans="1:9">
      <c r="A129" s="85">
        <v>1.5</v>
      </c>
      <c r="B129" s="85" t="e">
        <f ca="1">[3]!interpol(A129,$A$150:$A$167,$B$150:$B$167)</f>
        <v>#NAME?</v>
      </c>
      <c r="C129" s="39"/>
      <c r="D129" s="39"/>
      <c r="E129" s="39"/>
      <c r="F129" s="39"/>
      <c r="G129" s="39"/>
      <c r="H129" s="39"/>
      <c r="I129" s="39"/>
    </row>
    <row r="130" spans="1:9">
      <c r="A130" s="85">
        <v>1.7</v>
      </c>
      <c r="B130" s="85" t="e">
        <f ca="1">[3]!interpol(A130,$A$150:$A$167,$B$150:$B$167)</f>
        <v>#NAME?</v>
      </c>
      <c r="C130" s="39"/>
      <c r="D130" s="39"/>
      <c r="E130" s="39"/>
      <c r="F130" s="39"/>
      <c r="G130" s="39"/>
      <c r="H130" s="39"/>
      <c r="I130" s="39"/>
    </row>
    <row r="131" spans="1:9">
      <c r="A131" s="85">
        <v>1.9</v>
      </c>
      <c r="B131" s="85" t="e">
        <f ca="1">[3]!interpol(A131,$A$150:$A$167,$B$150:$B$167)</f>
        <v>#NAME?</v>
      </c>
      <c r="C131" s="39"/>
      <c r="D131" s="39"/>
      <c r="E131" s="39"/>
      <c r="F131" s="39"/>
      <c r="G131" s="39"/>
      <c r="H131" s="39"/>
      <c r="I131" s="39"/>
    </row>
    <row r="132" spans="1:9">
      <c r="A132" s="85">
        <v>2.1</v>
      </c>
      <c r="B132" s="85" t="e">
        <f ca="1">[3]!interpol(A132,$A$150:$A$167,$B$150:$B$167)</f>
        <v>#NAME?</v>
      </c>
      <c r="C132" s="39"/>
      <c r="D132" s="39"/>
      <c r="E132" s="39"/>
      <c r="F132" s="39"/>
      <c r="G132" s="39"/>
      <c r="H132" s="39"/>
      <c r="I132" s="39"/>
    </row>
    <row r="133" spans="1:9">
      <c r="A133" s="85">
        <v>2.2999999999999998</v>
      </c>
      <c r="B133" s="85" t="e">
        <f ca="1">[3]!interpol(A133,$A$150:$A$167,$B$150:$B$167)</f>
        <v>#NAME?</v>
      </c>
      <c r="C133" s="39"/>
      <c r="D133" s="39"/>
      <c r="E133" s="39"/>
      <c r="F133" s="39"/>
      <c r="G133" s="39"/>
      <c r="H133" s="39"/>
      <c r="I133" s="39"/>
    </row>
    <row r="134" spans="1:9">
      <c r="A134" s="85">
        <v>2.5</v>
      </c>
      <c r="B134" s="85" t="e">
        <f ca="1">[3]!interpol(A134,$A$150:$A$167,$B$150:$B$167)</f>
        <v>#NAME?</v>
      </c>
      <c r="C134" s="39"/>
      <c r="D134" s="39"/>
      <c r="E134" s="39"/>
      <c r="F134" s="39"/>
      <c r="G134" s="39"/>
      <c r="H134" s="39"/>
      <c r="I134" s="39"/>
    </row>
    <row r="135" spans="1:9">
      <c r="A135" s="85">
        <v>2.7</v>
      </c>
      <c r="B135" s="85" t="e">
        <f ca="1">[3]!interpol(A135,$A$150:$A$167,$B$150:$B$167)</f>
        <v>#NAME?</v>
      </c>
      <c r="C135" s="39"/>
      <c r="D135" s="39"/>
      <c r="E135" s="39"/>
      <c r="F135" s="39"/>
      <c r="G135" s="39"/>
      <c r="H135" s="39"/>
      <c r="I135" s="39"/>
    </row>
    <row r="136" spans="1:9">
      <c r="A136" s="85">
        <v>2.9</v>
      </c>
      <c r="B136" s="85" t="e">
        <f ca="1">[3]!interpol(A136,$A$150:$A$167,$B$150:$B$167)</f>
        <v>#NAME?</v>
      </c>
      <c r="C136" s="39"/>
      <c r="D136" s="39"/>
      <c r="E136" s="39"/>
      <c r="F136" s="39"/>
      <c r="G136" s="39"/>
      <c r="H136" s="39"/>
      <c r="I136" s="39"/>
    </row>
    <row r="137" spans="1:9">
      <c r="A137" s="85">
        <v>3.1</v>
      </c>
      <c r="B137" s="85" t="e">
        <f ca="1">[3]!interpol(A137,$A$150:$A$167,$B$150:$B$167)</f>
        <v>#NAME?</v>
      </c>
      <c r="C137" s="39"/>
      <c r="D137" s="39"/>
      <c r="E137" s="39"/>
      <c r="F137" s="39"/>
      <c r="G137" s="39"/>
      <c r="H137" s="39"/>
      <c r="I137" s="39"/>
    </row>
    <row r="138" spans="1:9">
      <c r="A138" s="85">
        <v>3.3</v>
      </c>
      <c r="B138" s="85" t="e">
        <f ca="1">[3]!interpol(A138,$A$150:$A$167,$B$150:$B$167)</f>
        <v>#NAME?</v>
      </c>
      <c r="C138" s="39"/>
      <c r="D138" s="39"/>
      <c r="E138" s="39"/>
      <c r="F138" s="39"/>
      <c r="G138" s="39"/>
      <c r="H138" s="39"/>
      <c r="I138" s="39"/>
    </row>
    <row r="139" spans="1:9">
      <c r="A139" s="85">
        <v>3.5</v>
      </c>
      <c r="B139" s="85" t="e">
        <f ca="1">[3]!interpol(A139,$A$150:$A$167,$B$150:$B$167)</f>
        <v>#NAME?</v>
      </c>
      <c r="C139" s="39"/>
      <c r="D139" s="39"/>
      <c r="E139" s="39"/>
      <c r="F139" s="39"/>
      <c r="G139" s="39"/>
      <c r="H139" s="39"/>
      <c r="I139" s="39"/>
    </row>
    <row r="140" spans="1:9">
      <c r="A140" s="85">
        <v>3.7</v>
      </c>
      <c r="B140" s="85" t="e">
        <f ca="1">[3]!interpol(A140,$A$150:$A$167,$B$150:$B$167)</f>
        <v>#NAME?</v>
      </c>
      <c r="C140" s="39"/>
      <c r="D140" s="39"/>
      <c r="E140" s="39"/>
      <c r="F140" s="39"/>
      <c r="G140" s="39"/>
      <c r="H140" s="39"/>
      <c r="I140" s="39"/>
    </row>
    <row r="141" spans="1:9">
      <c r="A141" s="85">
        <v>3.9</v>
      </c>
      <c r="B141" s="85" t="e">
        <f ca="1">[3]!interpol(A141,$A$150:$A$167,$B$150:$B$167)</f>
        <v>#NAME?</v>
      </c>
      <c r="C141" s="39"/>
      <c r="D141" s="39"/>
      <c r="E141" s="39"/>
      <c r="F141" s="39"/>
      <c r="G141" s="39"/>
      <c r="H141" s="39"/>
      <c r="I141" s="39"/>
    </row>
    <row r="142" spans="1:9">
      <c r="A142" s="85">
        <v>4.0999999999999996</v>
      </c>
      <c r="B142" s="85" t="e">
        <f ca="1">[3]!interpol(A142,$A$150:$A$167,$B$150:$B$167)</f>
        <v>#NAME?</v>
      </c>
      <c r="C142" s="39"/>
      <c r="D142" s="39"/>
      <c r="E142" s="39"/>
      <c r="F142" s="39"/>
      <c r="G142" s="39"/>
      <c r="H142" s="39"/>
      <c r="I142" s="39"/>
    </row>
    <row r="143" spans="1:9">
      <c r="A143" s="85">
        <v>4.3</v>
      </c>
      <c r="B143" s="85" t="e">
        <f ca="1">[3]!interpol(A143,$A$150:$A$167,$B$150:$B$167)</f>
        <v>#NAME?</v>
      </c>
      <c r="C143" s="39"/>
      <c r="D143" s="39"/>
      <c r="E143" s="39"/>
      <c r="F143" s="39"/>
      <c r="G143" s="39"/>
      <c r="H143" s="39"/>
      <c r="I143" s="39"/>
    </row>
    <row r="144" spans="1:9">
      <c r="A144" s="85">
        <v>4.5</v>
      </c>
      <c r="B144" s="85" t="e">
        <f ca="1">[3]!interpol(A144,$A$150:$A$167,$B$150:$B$167)</f>
        <v>#NAME?</v>
      </c>
      <c r="C144" s="39"/>
      <c r="D144" s="39"/>
      <c r="E144" s="39"/>
      <c r="F144" s="39"/>
      <c r="G144" s="39"/>
      <c r="H144" s="39"/>
      <c r="I144" s="39"/>
    </row>
    <row r="145" spans="1:9">
      <c r="A145" s="85">
        <v>4.7</v>
      </c>
      <c r="B145" s="85" t="e">
        <f ca="1">[3]!interpol(A145,$A$150:$A$167,$B$150:$B$167)</f>
        <v>#NAME?</v>
      </c>
      <c r="C145" s="39"/>
      <c r="D145" s="39"/>
      <c r="E145" s="39"/>
      <c r="F145" s="39"/>
      <c r="G145" s="39"/>
      <c r="H145" s="39"/>
      <c r="I145" s="39"/>
    </row>
    <row r="146" spans="1:9">
      <c r="A146" s="88">
        <v>4.9000000000000004</v>
      </c>
      <c r="B146" s="85" t="e">
        <f ca="1">[3]!interpol(A146,$A$150:$A$167,$B$150:$B$167)</f>
        <v>#NAME?</v>
      </c>
      <c r="C146" s="39"/>
      <c r="D146" s="39"/>
      <c r="E146" s="39"/>
      <c r="F146" s="39"/>
      <c r="G146" s="39"/>
      <c r="H146" s="39"/>
      <c r="I146" s="39"/>
    </row>
    <row r="147" spans="1:9">
      <c r="A147" s="39"/>
      <c r="B147" s="39"/>
      <c r="C147" s="39"/>
      <c r="D147" s="39"/>
      <c r="E147" s="39"/>
      <c r="F147" s="39"/>
      <c r="G147" s="39"/>
      <c r="H147" s="39"/>
      <c r="I147" s="39"/>
    </row>
    <row r="148" spans="1:9">
      <c r="A148" s="39" t="s">
        <v>643</v>
      </c>
      <c r="B148" s="39"/>
      <c r="C148" s="39"/>
      <c r="D148" s="39"/>
      <c r="E148" s="39"/>
      <c r="F148" s="39"/>
      <c r="G148" s="39"/>
      <c r="H148" s="39"/>
      <c r="I148" s="39"/>
    </row>
    <row r="150" spans="1:9">
      <c r="A150">
        <v>0.3</v>
      </c>
      <c r="B150">
        <v>-0.14499999999999999</v>
      </c>
    </row>
    <row r="151" spans="1:9">
      <c r="A151">
        <v>0.5</v>
      </c>
      <c r="B151">
        <v>-0.15</v>
      </c>
    </row>
    <row r="152" spans="1:9">
      <c r="A152">
        <v>0.7</v>
      </c>
      <c r="B152">
        <v>-0.16400000000000001</v>
      </c>
    </row>
    <row r="153" spans="1:9">
      <c r="A153">
        <v>0.8</v>
      </c>
      <c r="B153">
        <v>-0.17299999999999999</v>
      </c>
    </row>
    <row r="154" spans="1:9">
      <c r="A154">
        <v>0.9</v>
      </c>
      <c r="B154">
        <v>-0.185</v>
      </c>
    </row>
    <row r="155" spans="1:9">
      <c r="A155">
        <v>0.95</v>
      </c>
      <c r="B155">
        <v>-0.19</v>
      </c>
    </row>
    <row r="156" spans="1:9">
      <c r="A156">
        <v>1</v>
      </c>
      <c r="B156">
        <v>-0.2</v>
      </c>
    </row>
    <row r="157" spans="1:9">
      <c r="A157">
        <v>1.05</v>
      </c>
      <c r="B157">
        <v>-0.215</v>
      </c>
    </row>
    <row r="158" spans="1:9">
      <c r="A158">
        <v>1.1000000000000001</v>
      </c>
      <c r="B158">
        <v>-0.23</v>
      </c>
    </row>
    <row r="159" spans="1:9">
      <c r="A159">
        <v>1.2</v>
      </c>
      <c r="B159">
        <v>-0.23899999999999999</v>
      </c>
    </row>
    <row r="160" spans="1:9">
      <c r="A160">
        <v>1.3</v>
      </c>
      <c r="B160">
        <v>-0.21099999999999999</v>
      </c>
    </row>
    <row r="161" spans="1:2">
      <c r="A161">
        <v>1.4</v>
      </c>
      <c r="B161">
        <v>-0.17799999999999999</v>
      </c>
    </row>
    <row r="162" spans="1:2">
      <c r="A162">
        <v>1.5</v>
      </c>
      <c r="B162">
        <v>-0.15</v>
      </c>
    </row>
    <row r="163" spans="1:2">
      <c r="A163">
        <v>1.7</v>
      </c>
      <c r="B163">
        <v>-0.111</v>
      </c>
    </row>
    <row r="164" spans="1:2">
      <c r="A164">
        <v>2</v>
      </c>
      <c r="B164">
        <v>-6.9000000000000006E-2</v>
      </c>
    </row>
    <row r="165" spans="1:2">
      <c r="A165">
        <v>2.5</v>
      </c>
      <c r="B165">
        <v>-1.9E-2</v>
      </c>
    </row>
    <row r="166" spans="1:2">
      <c r="A166">
        <v>3</v>
      </c>
      <c r="B166">
        <v>0</v>
      </c>
    </row>
    <row r="167" spans="1:2">
      <c r="A167">
        <v>10</v>
      </c>
      <c r="B167">
        <v>0</v>
      </c>
    </row>
  </sheetData>
  <pageMargins left="0.78740157499999996" right="0.78740157499999996" top="0.984251969" bottom="0.984251969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 enableFormatConditionsCalculation="0"/>
  <dimension ref="A1:E21"/>
  <sheetViews>
    <sheetView workbookViewId="0">
      <selection activeCell="M33" sqref="M33"/>
    </sheetView>
  </sheetViews>
  <sheetFormatPr baseColWidth="10" defaultRowHeight="13" x14ac:dyDescent="0"/>
  <sheetData>
    <row r="1" spans="1:5">
      <c r="A1" s="76" t="s">
        <v>93</v>
      </c>
    </row>
    <row r="2" spans="1:5">
      <c r="A2" t="s">
        <v>94</v>
      </c>
      <c r="C2" t="s">
        <v>92</v>
      </c>
    </row>
    <row r="3" spans="1:5">
      <c r="A3" t="s">
        <v>90</v>
      </c>
      <c r="B3" t="s">
        <v>91</v>
      </c>
      <c r="C3" t="s">
        <v>116</v>
      </c>
      <c r="D3">
        <f>'Moteur Etage 1'!B30/2</f>
        <v>0.53735152087684135</v>
      </c>
      <c r="E3" t="s">
        <v>119</v>
      </c>
    </row>
    <row r="4" spans="1:5">
      <c r="A4">
        <v>0</v>
      </c>
      <c r="B4" s="78">
        <f>'Moteur Etage 1'!$B$16</f>
        <v>2378.4234107574657</v>
      </c>
      <c r="C4" t="s">
        <v>117</v>
      </c>
      <c r="D4">
        <f>'Moteur Etage 1'!B31/2</f>
        <v>1.6992547101263382</v>
      </c>
      <c r="E4" t="s">
        <v>120</v>
      </c>
    </row>
    <row r="5" spans="1:5">
      <c r="A5">
        <f>'Moteur Etage 1'!$B$18*('Moteur Etage 1'!B14-1/100)</f>
        <v>35.155753341563198</v>
      </c>
      <c r="B5" s="78">
        <f>'Moteur Etage 1'!$B$16</f>
        <v>2378.4234107574657</v>
      </c>
      <c r="C5" t="s">
        <v>118</v>
      </c>
      <c r="D5" s="78">
        <f>'Moteur Etage 1'!B33</f>
        <v>3.3744118810246193</v>
      </c>
      <c r="E5" t="s">
        <v>114</v>
      </c>
    </row>
    <row r="6" spans="1:5">
      <c r="A6">
        <f>'Moteur Etage 1'!$B$18*'Moteur Etage 1'!B14</f>
        <v>36.243044682023921</v>
      </c>
      <c r="B6" s="78">
        <f>'Moteur Etage 1'!$B$19</f>
        <v>1903.3999793239871</v>
      </c>
      <c r="C6" t="s">
        <v>115</v>
      </c>
      <c r="D6" t="s">
        <v>95</v>
      </c>
      <c r="E6" t="s">
        <v>96</v>
      </c>
    </row>
    <row r="7" spans="1:5">
      <c r="A7" s="78">
        <f>'Moteur Etage 1'!$B$18</f>
        <v>108.72913404607176</v>
      </c>
      <c r="B7" s="78">
        <f>'Moteur Etage 1'!$B$19</f>
        <v>1903.3999793239871</v>
      </c>
      <c r="C7" s="81">
        <f>$D$5*(D7^2-$D$3^2)/($D$4^2-$D$3^2)</f>
        <v>0</v>
      </c>
      <c r="D7" s="84">
        <f>D3</f>
        <v>0.53735152087684135</v>
      </c>
      <c r="E7">
        <f>-D7</f>
        <v>-0.53735152087684135</v>
      </c>
    </row>
    <row r="8" spans="1:5">
      <c r="C8" s="85">
        <f t="shared" ref="C8:C21" si="0">$D$5*(D8^2-$D$3^2)/($D$4^2-$D$3^2)</f>
        <v>0.12475992518108008</v>
      </c>
      <c r="D8" s="87">
        <f>D7+($D$21-$D$7)/14</f>
        <v>0.62034460582323403</v>
      </c>
      <c r="E8">
        <f>-D8</f>
        <v>-0.62034460582323403</v>
      </c>
    </row>
    <row r="9" spans="1:5">
      <c r="C9" s="85">
        <f t="shared" si="0"/>
        <v>0.26740746496094586</v>
      </c>
      <c r="D9" s="87">
        <f t="shared" ref="D9:D20" si="1">D8+($D$21-$D$7)/14</f>
        <v>0.70333769076962671</v>
      </c>
      <c r="E9">
        <f t="shared" ref="E9:E21" si="2">-D9</f>
        <v>-0.70333769076962671</v>
      </c>
    </row>
    <row r="10" spans="1:5">
      <c r="C10" s="85">
        <f t="shared" si="0"/>
        <v>0.42794261933959743</v>
      </c>
      <c r="D10" s="87">
        <f t="shared" si="1"/>
        <v>0.78633077571601939</v>
      </c>
      <c r="E10">
        <f t="shared" si="2"/>
        <v>-0.78633077571601939</v>
      </c>
    </row>
    <row r="11" spans="1:5">
      <c r="C11" s="85">
        <f t="shared" si="0"/>
        <v>0.60636538831703468</v>
      </c>
      <c r="D11" s="87">
        <f t="shared" si="1"/>
        <v>0.86932386066241207</v>
      </c>
      <c r="E11">
        <f t="shared" si="2"/>
        <v>-0.86932386066241207</v>
      </c>
    </row>
    <row r="12" spans="1:5">
      <c r="C12" s="85">
        <f t="shared" si="0"/>
        <v>0.80267577189325767</v>
      </c>
      <c r="D12" s="87">
        <f t="shared" si="1"/>
        <v>0.95231694560880475</v>
      </c>
      <c r="E12">
        <f t="shared" si="2"/>
        <v>-0.95231694560880475</v>
      </c>
    </row>
    <row r="13" spans="1:5">
      <c r="C13" s="85">
        <f t="shared" si="0"/>
        <v>1.0168737700682664</v>
      </c>
      <c r="D13" s="87">
        <f t="shared" si="1"/>
        <v>1.0353100305551974</v>
      </c>
      <c r="E13">
        <f t="shared" si="2"/>
        <v>-1.0353100305551974</v>
      </c>
    </row>
    <row r="14" spans="1:5">
      <c r="C14" s="85">
        <f t="shared" si="0"/>
        <v>1.2489593828420609</v>
      </c>
      <c r="D14" s="87">
        <f t="shared" si="1"/>
        <v>1.1183031155015901</v>
      </c>
      <c r="E14">
        <f t="shared" si="2"/>
        <v>-1.1183031155015901</v>
      </c>
    </row>
    <row r="15" spans="1:5">
      <c r="C15" s="85">
        <f t="shared" si="0"/>
        <v>1.4989326102146407</v>
      </c>
      <c r="D15" s="87">
        <f t="shared" si="1"/>
        <v>1.2012962004479828</v>
      </c>
      <c r="E15">
        <f t="shared" si="2"/>
        <v>-1.2012962004479828</v>
      </c>
    </row>
    <row r="16" spans="1:5">
      <c r="C16" s="85">
        <f t="shared" si="0"/>
        <v>1.7667934521860065</v>
      </c>
      <c r="D16" s="87">
        <f t="shared" si="1"/>
        <v>1.2842892853943755</v>
      </c>
      <c r="E16">
        <f t="shared" si="2"/>
        <v>-1.2842892853943755</v>
      </c>
    </row>
    <row r="17" spans="3:5">
      <c r="C17" s="85">
        <f t="shared" si="0"/>
        <v>2.0525419087561585</v>
      </c>
      <c r="D17" s="87">
        <f t="shared" si="1"/>
        <v>1.3672823703407682</v>
      </c>
      <c r="E17">
        <f t="shared" si="2"/>
        <v>-1.3672823703407682</v>
      </c>
    </row>
    <row r="18" spans="3:5">
      <c r="C18" s="85">
        <f t="shared" si="0"/>
        <v>2.3561779799250959</v>
      </c>
      <c r="D18" s="87">
        <f t="shared" si="1"/>
        <v>1.4502754552871608</v>
      </c>
      <c r="E18">
        <f t="shared" si="2"/>
        <v>-1.4502754552871608</v>
      </c>
    </row>
    <row r="19" spans="3:5">
      <c r="C19" s="85">
        <f t="shared" si="0"/>
        <v>2.6777016656928185</v>
      </c>
      <c r="D19" s="87">
        <f t="shared" si="1"/>
        <v>1.5332685402335535</v>
      </c>
      <c r="E19">
        <f t="shared" si="2"/>
        <v>-1.5332685402335535</v>
      </c>
    </row>
    <row r="20" spans="3:5">
      <c r="C20" s="85">
        <f t="shared" si="0"/>
        <v>3.0171129660593277</v>
      </c>
      <c r="D20" s="87">
        <f t="shared" si="1"/>
        <v>1.6162616251799462</v>
      </c>
      <c r="E20">
        <f t="shared" si="2"/>
        <v>-1.6162616251799462</v>
      </c>
    </row>
    <row r="21" spans="3:5">
      <c r="C21" s="88">
        <f t="shared" si="0"/>
        <v>3.3744118810246193</v>
      </c>
      <c r="D21" s="91">
        <f>D4</f>
        <v>1.6992547101263382</v>
      </c>
      <c r="E21">
        <f t="shared" si="2"/>
        <v>-1.6992547101263382</v>
      </c>
    </row>
  </sheetData>
  <pageMargins left="0.78740157499999996" right="0.78740157499999996" top="0.984251969" bottom="0.984251969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 enableFormatConditionsCalculation="0"/>
  <dimension ref="A1:O159"/>
  <sheetViews>
    <sheetView zoomScale="85" zoomScaleNormal="85" zoomScalePageLayoutView="85" workbookViewId="0">
      <selection activeCell="E147" sqref="A1:E147"/>
    </sheetView>
  </sheetViews>
  <sheetFormatPr baseColWidth="10" defaultRowHeight="13" x14ac:dyDescent="0"/>
  <cols>
    <col min="1" max="1" width="24.5703125" customWidth="1"/>
    <col min="2" max="2" width="17.42578125" customWidth="1"/>
    <col min="3" max="3" width="14.7109375" customWidth="1"/>
    <col min="4" max="4" width="16.28515625" bestFit="1" customWidth="1"/>
    <col min="5" max="5" width="9" customWidth="1"/>
  </cols>
  <sheetData>
    <row r="1" spans="1:14">
      <c r="A1" s="76" t="s">
        <v>267</v>
      </c>
      <c r="B1" s="259"/>
      <c r="C1" s="259"/>
      <c r="D1" s="259"/>
      <c r="E1" s="259"/>
    </row>
    <row r="2" spans="1:14">
      <c r="A2" t="s">
        <v>679</v>
      </c>
      <c r="B2" s="259"/>
      <c r="C2" s="257">
        <f>10*Géométrie!B10</f>
        <v>424.29113741943809</v>
      </c>
      <c r="D2" s="259" t="s">
        <v>76</v>
      </c>
      <c r="E2" s="259"/>
    </row>
    <row r="3" spans="1:14">
      <c r="A3" t="s">
        <v>678</v>
      </c>
      <c r="B3" s="259"/>
      <c r="C3" s="257">
        <v>2500</v>
      </c>
      <c r="D3" s="259" t="s">
        <v>76</v>
      </c>
      <c r="E3" s="259"/>
    </row>
    <row r="4" spans="1:14" ht="4.5" customHeight="1">
      <c r="A4" s="121"/>
      <c r="B4" s="260"/>
      <c r="C4" s="260"/>
      <c r="D4" s="260"/>
      <c r="E4" s="260"/>
    </row>
    <row r="5" spans="1:14">
      <c r="A5" s="76" t="s">
        <v>418</v>
      </c>
      <c r="B5" s="259"/>
      <c r="C5" s="257"/>
      <c r="D5" s="259"/>
      <c r="E5" s="259"/>
    </row>
    <row r="6" spans="1:14">
      <c r="A6" t="s">
        <v>419</v>
      </c>
      <c r="B6" s="259"/>
      <c r="C6" s="257">
        <f>29*Etagement!B4/1000</f>
        <v>96.080307930318469</v>
      </c>
      <c r="D6" s="259" t="s">
        <v>76</v>
      </c>
      <c r="E6" s="259"/>
    </row>
    <row r="7" spans="1:14" ht="3.75" customHeight="1">
      <c r="A7" s="121"/>
      <c r="B7" s="260"/>
      <c r="C7" s="260"/>
      <c r="D7" s="260"/>
      <c r="E7" s="260"/>
    </row>
    <row r="8" spans="1:14">
      <c r="A8" s="76" t="s">
        <v>420</v>
      </c>
      <c r="B8" s="259"/>
      <c r="C8" s="259"/>
      <c r="D8" s="259"/>
      <c r="E8" s="259"/>
      <c r="K8" t="s">
        <v>339</v>
      </c>
      <c r="L8">
        <f>1.36</f>
        <v>1.36</v>
      </c>
      <c r="M8" t="s">
        <v>64</v>
      </c>
      <c r="N8" t="s">
        <v>340</v>
      </c>
    </row>
    <row r="9" spans="1:14">
      <c r="A9" t="s">
        <v>422</v>
      </c>
      <c r="B9" s="259">
        <f>1*2*PI()*Géométrie!B3/2</f>
        <v>12.919799787888024</v>
      </c>
      <c r="C9" s="259" t="s">
        <v>348</v>
      </c>
      <c r="D9" s="259"/>
      <c r="E9" s="259"/>
      <c r="H9" t="s">
        <v>486</v>
      </c>
      <c r="K9" t="s">
        <v>341</v>
      </c>
      <c r="L9">
        <f>1.2</f>
        <v>1.2</v>
      </c>
      <c r="M9" t="s">
        <v>64</v>
      </c>
      <c r="N9" t="s">
        <v>485</v>
      </c>
    </row>
    <row r="10" spans="1:14">
      <c r="A10" t="s">
        <v>421</v>
      </c>
      <c r="B10" s="259"/>
      <c r="C10" s="257">
        <f>9*L8*L9*L10*L11*L12*B9</f>
        <v>208.74262121294925</v>
      </c>
      <c r="D10" s="259" t="s">
        <v>76</v>
      </c>
      <c r="E10" s="259"/>
      <c r="K10" t="s">
        <v>342</v>
      </c>
      <c r="L10">
        <v>1</v>
      </c>
      <c r="N10" t="s">
        <v>343</v>
      </c>
    </row>
    <row r="11" spans="1:14" ht="3.75" customHeight="1">
      <c r="A11" s="121"/>
      <c r="B11" s="260"/>
      <c r="C11" s="260"/>
      <c r="D11" s="265"/>
      <c r="E11" s="260"/>
      <c r="K11" t="s">
        <v>344</v>
      </c>
      <c r="L11">
        <v>1</v>
      </c>
      <c r="M11" t="s">
        <v>64</v>
      </c>
      <c r="N11" t="s">
        <v>345</v>
      </c>
    </row>
    <row r="12" spans="1:14">
      <c r="A12" s="76" t="s">
        <v>612</v>
      </c>
      <c r="B12" s="259"/>
      <c r="C12" s="259"/>
      <c r="D12" s="266"/>
      <c r="E12" s="259"/>
      <c r="K12" t="s">
        <v>350</v>
      </c>
      <c r="L12">
        <v>1.1000000000000001</v>
      </c>
      <c r="M12" t="s">
        <v>64</v>
      </c>
      <c r="N12" t="s">
        <v>351</v>
      </c>
    </row>
    <row r="13" spans="1:14">
      <c r="A13" t="s">
        <v>355</v>
      </c>
      <c r="B13" s="259"/>
      <c r="C13" s="257">
        <f>70*(1+0.03*Géométrie!B131)</f>
        <v>160.52625012250189</v>
      </c>
      <c r="D13" s="259" t="s">
        <v>76</v>
      </c>
      <c r="E13" s="259"/>
    </row>
    <row r="14" spans="1:14">
      <c r="A14" t="s">
        <v>408</v>
      </c>
      <c r="B14" s="259"/>
      <c r="C14" s="257">
        <f>20/100*C13</f>
        <v>32.105250024500378</v>
      </c>
      <c r="D14" s="259" t="s">
        <v>76</v>
      </c>
      <c r="E14" s="259"/>
    </row>
    <row r="15" spans="1:14" ht="5.25" customHeight="1">
      <c r="A15" s="121"/>
      <c r="B15" s="260"/>
      <c r="C15" s="260"/>
      <c r="D15" s="260"/>
      <c r="E15" s="260"/>
    </row>
    <row r="16" spans="1:14">
      <c r="A16" s="246" t="s">
        <v>487</v>
      </c>
      <c r="B16" s="263"/>
      <c r="C16" s="263"/>
      <c r="D16" s="263">
        <v>3446.0360135152359</v>
      </c>
      <c r="E16" s="263" t="s">
        <v>76</v>
      </c>
      <c r="G16">
        <f>C14+C13+C2+C10+C6+C3</f>
        <v>3421.7455667097083</v>
      </c>
    </row>
    <row r="17" spans="1:14">
      <c r="A17" s="128"/>
      <c r="B17" s="262"/>
      <c r="C17" s="262"/>
      <c r="D17" s="262"/>
      <c r="E17" s="262"/>
    </row>
    <row r="18" spans="1:14">
      <c r="A18" s="76" t="s">
        <v>367</v>
      </c>
      <c r="B18" s="259"/>
      <c r="C18" s="259"/>
      <c r="D18" s="259"/>
      <c r="E18" s="259"/>
    </row>
    <row r="19" spans="1:14">
      <c r="A19" s="102" t="s">
        <v>366</v>
      </c>
      <c r="B19" s="259"/>
      <c r="C19" s="259"/>
      <c r="D19" s="259"/>
      <c r="E19" s="259"/>
    </row>
    <row r="20" spans="1:14">
      <c r="A20" t="s">
        <v>680</v>
      </c>
      <c r="B20" s="259">
        <v>720.03375863238739</v>
      </c>
      <c r="C20" s="259" t="s">
        <v>369</v>
      </c>
      <c r="D20" s="259"/>
      <c r="E20" s="259"/>
    </row>
    <row r="21" spans="1:14">
      <c r="A21" t="s">
        <v>370</v>
      </c>
      <c r="B21" s="259">
        <f>(B20-22)/1.5</f>
        <v>465.35583908825828</v>
      </c>
      <c r="C21" s="259" t="s">
        <v>369</v>
      </c>
      <c r="D21" s="259"/>
      <c r="E21" s="259"/>
    </row>
    <row r="22" spans="1:14">
      <c r="A22" t="s">
        <v>489</v>
      </c>
      <c r="B22" s="259"/>
      <c r="C22" s="257">
        <f>B20*1000/B21/Etagement!J8</f>
        <v>157.72432726658872</v>
      </c>
      <c r="D22" s="259" t="s">
        <v>76</v>
      </c>
      <c r="E22" s="259"/>
    </row>
    <row r="23" spans="1:14" ht="3.75" customHeight="1">
      <c r="A23" s="121"/>
      <c r="B23" s="260"/>
      <c r="C23" s="260"/>
      <c r="D23" s="260"/>
      <c r="E23" s="260"/>
    </row>
    <row r="24" spans="1:14">
      <c r="A24" s="102" t="s">
        <v>371</v>
      </c>
      <c r="B24" s="259"/>
      <c r="C24" s="259"/>
      <c r="D24" s="259"/>
      <c r="E24" s="259"/>
    </row>
    <row r="25" spans="1:14">
      <c r="A25" t="s">
        <v>494</v>
      </c>
      <c r="B25" s="259">
        <f>'Moteur Etage 3'!G22</f>
        <v>8.3051812023879101</v>
      </c>
      <c r="C25" s="259" t="s">
        <v>275</v>
      </c>
      <c r="D25" s="259"/>
      <c r="E25" s="259"/>
      <c r="K25" t="s">
        <v>339</v>
      </c>
      <c r="L25">
        <v>1.36</v>
      </c>
      <c r="M25" t="s">
        <v>64</v>
      </c>
      <c r="N25" t="s">
        <v>340</v>
      </c>
    </row>
    <row r="26" spans="1:14">
      <c r="A26" t="s">
        <v>496</v>
      </c>
      <c r="B26" s="259">
        <f>9*L25*L26*L27*L28*L29*B25*L31</f>
        <v>111.82095970895084</v>
      </c>
      <c r="C26" s="259" t="s">
        <v>76</v>
      </c>
      <c r="D26" s="259"/>
      <c r="E26" s="259"/>
      <c r="K26" t="s">
        <v>342</v>
      </c>
      <c r="L26">
        <v>1</v>
      </c>
      <c r="M26" t="s">
        <v>64</v>
      </c>
      <c r="N26" t="s">
        <v>343</v>
      </c>
    </row>
    <row r="27" spans="1:14">
      <c r="A27" t="s">
        <v>495</v>
      </c>
      <c r="B27" s="259">
        <f>'Moteur Etage 3'!B22</f>
        <v>24.024198807696187</v>
      </c>
      <c r="C27" s="259" t="s">
        <v>275</v>
      </c>
      <c r="D27" s="259"/>
      <c r="E27" s="259"/>
      <c r="K27" t="s">
        <v>344</v>
      </c>
      <c r="L27">
        <v>1</v>
      </c>
      <c r="M27" t="s">
        <v>64</v>
      </c>
      <c r="N27" t="s">
        <v>345</v>
      </c>
    </row>
    <row r="28" spans="1:14">
      <c r="A28" t="s">
        <v>497</v>
      </c>
      <c r="B28" s="259">
        <f>9*L25*L26*L27*L28*L30*B27*L31</f>
        <v>355.8079940215037</v>
      </c>
      <c r="C28" s="259" t="s">
        <v>76</v>
      </c>
      <c r="D28" s="259"/>
      <c r="E28" s="259"/>
      <c r="K28" t="s">
        <v>372</v>
      </c>
      <c r="L28">
        <v>1</v>
      </c>
      <c r="M28" t="s">
        <v>64</v>
      </c>
      <c r="N28" t="s">
        <v>374</v>
      </c>
    </row>
    <row r="29" spans="1:14">
      <c r="A29" t="s">
        <v>373</v>
      </c>
      <c r="B29" s="259"/>
      <c r="C29" s="257">
        <f>B26+B28</f>
        <v>467.62895373045455</v>
      </c>
      <c r="D29" s="259" t="s">
        <v>76</v>
      </c>
      <c r="E29" s="259"/>
      <c r="K29" t="s">
        <v>490</v>
      </c>
      <c r="L29">
        <v>1</v>
      </c>
      <c r="M29" t="s">
        <v>64</v>
      </c>
      <c r="N29" t="s">
        <v>491</v>
      </c>
    </row>
    <row r="30" spans="1:14" ht="4.5" customHeight="1">
      <c r="A30" s="121"/>
      <c r="B30" s="260"/>
      <c r="C30" s="260"/>
      <c r="D30" s="260"/>
      <c r="E30" s="260"/>
      <c r="K30" t="s">
        <v>492</v>
      </c>
      <c r="L30">
        <v>1.1000000000000001</v>
      </c>
      <c r="M30" t="s">
        <v>64</v>
      </c>
      <c r="N30" t="s">
        <v>493</v>
      </c>
    </row>
    <row r="31" spans="1:14">
      <c r="A31" s="102" t="s">
        <v>681</v>
      </c>
      <c r="B31" s="259"/>
      <c r="C31" s="259"/>
      <c r="D31" s="259"/>
      <c r="E31" s="259"/>
      <c r="K31" t="s">
        <v>350</v>
      </c>
      <c r="L31">
        <v>1.1000000000000001</v>
      </c>
      <c r="M31" t="s">
        <v>64</v>
      </c>
      <c r="N31" t="s">
        <v>375</v>
      </c>
    </row>
    <row r="32" spans="1:14">
      <c r="A32" s="92" t="s">
        <v>682</v>
      </c>
      <c r="B32" s="258">
        <f>'Moteur Etage 3'!B43</f>
        <v>405200</v>
      </c>
      <c r="C32" s="258" t="s">
        <v>71</v>
      </c>
      <c r="D32" s="258"/>
      <c r="E32" s="267"/>
      <c r="F32" s="92"/>
      <c r="G32" s="92"/>
      <c r="H32" s="92"/>
      <c r="K32" s="102" t="s">
        <v>444</v>
      </c>
      <c r="M32" s="92"/>
    </row>
    <row r="33" spans="1:13">
      <c r="A33" s="92" t="s">
        <v>683</v>
      </c>
      <c r="B33" s="258">
        <f>'Moteur Etage 3'!G22</f>
        <v>8.3051812023879101</v>
      </c>
      <c r="C33" s="258" t="s">
        <v>275</v>
      </c>
      <c r="D33" s="258"/>
      <c r="E33" s="259"/>
      <c r="H33" s="92"/>
      <c r="K33" s="132" t="s">
        <v>377</v>
      </c>
      <c r="L33" s="121">
        <f>'Moteur Etage 3'!B42</f>
        <v>303900</v>
      </c>
      <c r="M33" s="121" t="s">
        <v>71</v>
      </c>
    </row>
    <row r="34" spans="1:13">
      <c r="A34" s="92" t="s">
        <v>684</v>
      </c>
      <c r="B34" s="258">
        <f>'Moteur Etage 3'!E47</f>
        <v>195</v>
      </c>
      <c r="C34" s="258" t="s">
        <v>430</v>
      </c>
      <c r="D34" s="258"/>
      <c r="E34" s="259"/>
      <c r="H34" s="92"/>
      <c r="K34" s="132" t="s">
        <v>378</v>
      </c>
      <c r="L34" s="121">
        <f>'Moteur Etage 3'!B22</f>
        <v>24.024198807696187</v>
      </c>
      <c r="M34" s="121" t="s">
        <v>275</v>
      </c>
    </row>
    <row r="35" spans="1:13">
      <c r="A35" s="92" t="s">
        <v>685</v>
      </c>
      <c r="B35" s="258">
        <f>B32*B33*L35/(L36*B34)</f>
        <v>8296.9906883816093</v>
      </c>
      <c r="C35" s="258" t="s">
        <v>59</v>
      </c>
      <c r="D35" s="258"/>
      <c r="E35" s="268"/>
      <c r="F35" s="92"/>
      <c r="G35" s="92"/>
      <c r="H35" s="92"/>
      <c r="K35" s="132" t="s">
        <v>379</v>
      </c>
      <c r="L35" s="121">
        <v>4</v>
      </c>
      <c r="M35" s="121" t="s">
        <v>446</v>
      </c>
    </row>
    <row r="36" spans="1:13" ht="15">
      <c r="A36" s="92" t="s">
        <v>686</v>
      </c>
      <c r="B36" s="259"/>
      <c r="C36" s="257">
        <f>(B35+30/100*B35)*10^(-3)</f>
        <v>10.786087894896093</v>
      </c>
      <c r="D36" s="258" t="s">
        <v>76</v>
      </c>
      <c r="E36" s="268"/>
      <c r="F36" s="92"/>
      <c r="G36" s="92"/>
      <c r="H36" s="92"/>
      <c r="K36" s="132" t="s">
        <v>247</v>
      </c>
      <c r="L36" s="121">
        <v>8.32</v>
      </c>
      <c r="M36" s="121" t="s">
        <v>452</v>
      </c>
    </row>
    <row r="37" spans="1:13">
      <c r="A37" s="132" t="s">
        <v>358</v>
      </c>
      <c r="B37" s="259">
        <v>40000</v>
      </c>
      <c r="C37" s="258" t="s">
        <v>85</v>
      </c>
      <c r="D37" s="258"/>
      <c r="E37" s="269"/>
      <c r="F37" s="92"/>
      <c r="G37" s="92"/>
      <c r="H37" s="92"/>
      <c r="K37" s="132" t="s">
        <v>380</v>
      </c>
      <c r="L37" s="121">
        <f>'Moteur Etage 3'!E46</f>
        <v>152.19999999999999</v>
      </c>
      <c r="M37" s="121" t="s">
        <v>430</v>
      </c>
    </row>
    <row r="38" spans="1:13">
      <c r="A38" s="132" t="s">
        <v>381</v>
      </c>
      <c r="B38" s="259">
        <f>400*101300</f>
        <v>40520000</v>
      </c>
      <c r="C38" s="259" t="s">
        <v>71</v>
      </c>
      <c r="D38" s="259"/>
      <c r="E38" s="259"/>
      <c r="F38" s="92"/>
      <c r="G38" s="92"/>
      <c r="I38" s="92" t="s">
        <v>500</v>
      </c>
      <c r="J38" s="136"/>
      <c r="K38" s="132" t="s">
        <v>447</v>
      </c>
      <c r="L38" s="121">
        <f>L33*L34*L35/(L36*L37)*10^(-3)</f>
        <v>23.062247351848757</v>
      </c>
      <c r="M38" s="121" t="s">
        <v>76</v>
      </c>
    </row>
    <row r="39" spans="1:13">
      <c r="A39" s="132" t="s">
        <v>382</v>
      </c>
      <c r="B39" s="259">
        <f>300</f>
        <v>300</v>
      </c>
      <c r="C39" s="259" t="s">
        <v>430</v>
      </c>
      <c r="D39" s="259"/>
      <c r="E39" s="259"/>
      <c r="F39" s="92"/>
      <c r="G39" s="92"/>
      <c r="I39" t="s">
        <v>501</v>
      </c>
      <c r="J39" s="135"/>
      <c r="K39" s="132" t="s">
        <v>448</v>
      </c>
      <c r="L39" s="121">
        <f>(L38+30/100*L38)</f>
        <v>29.980921557403384</v>
      </c>
      <c r="M39" s="121" t="s">
        <v>76</v>
      </c>
    </row>
    <row r="40" spans="1:13">
      <c r="A40" s="132" t="s">
        <v>455</v>
      </c>
      <c r="B40" s="259">
        <v>2</v>
      </c>
      <c r="C40" s="259" t="s">
        <v>64</v>
      </c>
      <c r="D40" s="259"/>
      <c r="E40" s="259"/>
      <c r="F40" s="92"/>
      <c r="G40" s="92"/>
      <c r="J40" s="136"/>
      <c r="K40" s="92" t="s">
        <v>454</v>
      </c>
      <c r="L40" s="92">
        <f>C36</f>
        <v>10.786087894896093</v>
      </c>
      <c r="M40" s="92" t="s">
        <v>76</v>
      </c>
    </row>
    <row r="41" spans="1:13">
      <c r="A41" t="s">
        <v>687</v>
      </c>
      <c r="B41" s="259">
        <f>'Moteur Etage 3'!B58</f>
        <v>0.12777201849827555</v>
      </c>
      <c r="C41" s="259" t="s">
        <v>275</v>
      </c>
      <c r="D41" s="259"/>
      <c r="E41" s="259"/>
      <c r="F41" s="92"/>
      <c r="G41" s="92"/>
      <c r="I41" t="s">
        <v>453</v>
      </c>
      <c r="J41" s="135"/>
    </row>
    <row r="42" spans="1:13">
      <c r="A42" t="s">
        <v>688</v>
      </c>
      <c r="B42" s="259"/>
      <c r="C42" s="257">
        <f>B38*B40*B41/(B37*Etagement!J8)</f>
        <v>26.387982617482798</v>
      </c>
      <c r="D42" s="259" t="s">
        <v>76</v>
      </c>
      <c r="E42" s="258"/>
      <c r="F42" s="92"/>
      <c r="G42" s="92"/>
    </row>
    <row r="43" spans="1:13" ht="3.75" customHeight="1">
      <c r="A43" s="121"/>
      <c r="B43" s="260"/>
      <c r="C43" s="260"/>
      <c r="D43" s="260"/>
      <c r="E43" s="260"/>
    </row>
    <row r="44" spans="1:13">
      <c r="A44" s="102" t="s">
        <v>384</v>
      </c>
      <c r="B44" s="259"/>
      <c r="C44" s="259"/>
      <c r="D44" s="259"/>
      <c r="E44" s="259"/>
    </row>
    <row r="45" spans="1:13">
      <c r="A45" t="s">
        <v>385</v>
      </c>
      <c r="B45" s="259"/>
      <c r="C45" s="257">
        <f>'Moteur Etage 3'!B19+'Moteur Etage 3'!G19</f>
        <v>10649.457016448605</v>
      </c>
      <c r="D45" s="259" t="s">
        <v>76</v>
      </c>
      <c r="E45" s="259"/>
    </row>
    <row r="46" spans="1:13" ht="3.75" customHeight="1">
      <c r="A46" s="121"/>
      <c r="B46" s="260"/>
      <c r="C46" s="260"/>
      <c r="D46" s="260"/>
      <c r="E46" s="260"/>
    </row>
    <row r="47" spans="1:13">
      <c r="A47" s="102" t="s">
        <v>386</v>
      </c>
      <c r="B47" s="259"/>
      <c r="C47" s="259"/>
      <c r="D47" s="259"/>
      <c r="E47" s="259"/>
    </row>
    <row r="48" spans="1:13">
      <c r="A48" t="s">
        <v>388</v>
      </c>
      <c r="B48" s="259">
        <v>8.1999999999999993</v>
      </c>
      <c r="C48" s="259" t="s">
        <v>387</v>
      </c>
      <c r="D48" s="259"/>
      <c r="E48" s="259"/>
    </row>
    <row r="49" spans="1:14">
      <c r="A49" t="s">
        <v>389</v>
      </c>
      <c r="B49" s="259">
        <v>6.9</v>
      </c>
      <c r="C49" s="259" t="s">
        <v>387</v>
      </c>
      <c r="D49" s="259"/>
      <c r="E49" s="259"/>
    </row>
    <row r="50" spans="1:14">
      <c r="A50" t="s">
        <v>390</v>
      </c>
      <c r="B50" s="259">
        <v>17</v>
      </c>
      <c r="C50" s="259" t="s">
        <v>387</v>
      </c>
      <c r="D50" s="259"/>
      <c r="E50" s="259"/>
    </row>
    <row r="51" spans="1:14">
      <c r="A51" t="s">
        <v>391</v>
      </c>
      <c r="B51" s="259">
        <v>45</v>
      </c>
      <c r="C51" s="259" t="s">
        <v>387</v>
      </c>
      <c r="D51" s="259"/>
      <c r="E51" s="259"/>
    </row>
    <row r="52" spans="1:14">
      <c r="A52" s="132" t="s">
        <v>502</v>
      </c>
      <c r="B52" s="259"/>
      <c r="C52" s="257">
        <f>B48*Géométrie!B50*Géométrie!B49</f>
        <v>23.589248455328768</v>
      </c>
      <c r="D52" s="259" t="s">
        <v>76</v>
      </c>
      <c r="E52" s="259"/>
    </row>
    <row r="53" spans="1:14">
      <c r="A53" s="132" t="s">
        <v>503</v>
      </c>
      <c r="B53" s="259"/>
      <c r="C53" s="257">
        <f>'Bilan Masse'!B68</f>
        <v>48.259368959176619</v>
      </c>
      <c r="D53" s="259" t="s">
        <v>76</v>
      </c>
      <c r="E53" s="259"/>
    </row>
    <row r="54" spans="1:14">
      <c r="A54" s="132" t="s">
        <v>504</v>
      </c>
      <c r="B54" s="259"/>
      <c r="C54" s="257">
        <f>B50*Géométrie!B45</f>
        <v>8.6504340826386557</v>
      </c>
      <c r="D54" s="259" t="s">
        <v>76</v>
      </c>
      <c r="E54" s="259"/>
    </row>
    <row r="55" spans="1:14">
      <c r="A55" s="132" t="s">
        <v>505</v>
      </c>
      <c r="B55" s="259"/>
      <c r="C55" s="257">
        <f>B51*Géométrie!B46</f>
        <v>110.83150850541715</v>
      </c>
      <c r="D55" s="259" t="s">
        <v>76</v>
      </c>
      <c r="E55" s="259"/>
    </row>
    <row r="56" spans="1:14">
      <c r="A56" t="s">
        <v>506</v>
      </c>
      <c r="B56" s="259">
        <f>2+Géométrie!B49+Géométrie!B51</f>
        <v>4</v>
      </c>
      <c r="C56" s="259" t="s">
        <v>64</v>
      </c>
      <c r="D56" s="259"/>
      <c r="E56" s="259"/>
    </row>
    <row r="57" spans="1:14">
      <c r="A57" t="s">
        <v>392</v>
      </c>
      <c r="B57" s="259"/>
      <c r="C57" s="257">
        <f>28*B56</f>
        <v>112</v>
      </c>
      <c r="D57" s="259" t="s">
        <v>76</v>
      </c>
      <c r="E57" s="259"/>
    </row>
    <row r="58" spans="1:14">
      <c r="A58" t="s">
        <v>393</v>
      </c>
      <c r="B58" s="259"/>
      <c r="C58" s="257">
        <f>31*B56</f>
        <v>124</v>
      </c>
      <c r="D58" s="259" t="s">
        <v>76</v>
      </c>
      <c r="E58" s="259"/>
      <c r="K58" t="s">
        <v>507</v>
      </c>
    </row>
    <row r="59" spans="1:14">
      <c r="A59" t="s">
        <v>394</v>
      </c>
      <c r="B59" s="259"/>
      <c r="C59" s="257">
        <f>10/100*C29</f>
        <v>46.76289537304546</v>
      </c>
      <c r="D59" s="259" t="s">
        <v>76</v>
      </c>
      <c r="E59" s="259"/>
    </row>
    <row r="60" spans="1:14" ht="4.5" customHeight="1">
      <c r="A60" s="121"/>
      <c r="B60" s="260"/>
      <c r="C60" s="260"/>
      <c r="D60" s="260"/>
      <c r="E60" s="260"/>
      <c r="K60" t="s">
        <v>339</v>
      </c>
      <c r="L60">
        <f>1.36</f>
        <v>1.36</v>
      </c>
      <c r="M60" t="s">
        <v>64</v>
      </c>
      <c r="N60" t="s">
        <v>340</v>
      </c>
    </row>
    <row r="61" spans="1:14">
      <c r="A61" s="102" t="s">
        <v>338</v>
      </c>
      <c r="B61" s="259"/>
      <c r="C61" s="259"/>
      <c r="D61" s="259"/>
      <c r="E61" s="259"/>
      <c r="K61" t="s">
        <v>341</v>
      </c>
      <c r="L61">
        <f>1.2</f>
        <v>1.2</v>
      </c>
      <c r="M61" t="s">
        <v>64</v>
      </c>
      <c r="N61" t="s">
        <v>508</v>
      </c>
    </row>
    <row r="62" spans="1:14">
      <c r="A62" t="s">
        <v>346</v>
      </c>
      <c r="B62" s="259">
        <f>PI()*Géométrie!B3*Géométrie!B70</f>
        <v>20.623028021952127</v>
      </c>
      <c r="C62" s="259" t="s">
        <v>348</v>
      </c>
      <c r="D62" s="259"/>
      <c r="E62" s="259"/>
      <c r="H62" t="s">
        <v>613</v>
      </c>
      <c r="I62">
        <f>PI()*(Géométrie!B73+Géométrie!B3)/2*Géométrie!H45</f>
        <v>20.61676594583242</v>
      </c>
      <c r="K62" t="s">
        <v>342</v>
      </c>
      <c r="L62">
        <v>1</v>
      </c>
      <c r="M62" t="s">
        <v>64</v>
      </c>
      <c r="N62" t="s">
        <v>343</v>
      </c>
    </row>
    <row r="63" spans="1:14">
      <c r="A63" t="s">
        <v>347</v>
      </c>
      <c r="B63" s="259"/>
      <c r="C63" s="257">
        <f>9*L60*L61*L62*L63*B62*L64</f>
        <v>333.20213914507616</v>
      </c>
      <c r="D63" s="259" t="s">
        <v>76</v>
      </c>
      <c r="E63" s="259"/>
      <c r="K63" t="s">
        <v>344</v>
      </c>
      <c r="L63">
        <v>1</v>
      </c>
      <c r="M63" t="s">
        <v>64</v>
      </c>
      <c r="N63" t="s">
        <v>345</v>
      </c>
    </row>
    <row r="64" spans="1:14">
      <c r="A64" t="s">
        <v>349</v>
      </c>
      <c r="B64" s="259">
        <f>2*PI()*Géométrie!B73/2*Géométrie!B66</f>
        <v>54.523311996717482</v>
      </c>
      <c r="C64" s="259" t="s">
        <v>348</v>
      </c>
      <c r="D64" s="259"/>
      <c r="E64" s="259"/>
      <c r="K64" t="s">
        <v>350</v>
      </c>
      <c r="L64">
        <v>1.1000000000000001</v>
      </c>
      <c r="M64" t="s">
        <v>64</v>
      </c>
      <c r="N64" t="s">
        <v>351</v>
      </c>
    </row>
    <row r="65" spans="1:14">
      <c r="A65" t="s">
        <v>330</v>
      </c>
      <c r="B65" s="259"/>
      <c r="C65" s="257">
        <f>9*L62*L63*L64*B64*L61*L60</f>
        <v>880.92224726856512</v>
      </c>
      <c r="D65" s="259" t="s">
        <v>76</v>
      </c>
      <c r="E65" s="259"/>
    </row>
    <row r="66" spans="1:14" ht="4.5" customHeight="1">
      <c r="A66" s="121"/>
      <c r="B66" s="260"/>
      <c r="C66" s="260"/>
      <c r="D66" s="260"/>
      <c r="E66" s="260"/>
    </row>
    <row r="67" spans="1:14">
      <c r="A67" s="102" t="s">
        <v>396</v>
      </c>
      <c r="B67" s="259"/>
      <c r="C67" s="259"/>
      <c r="D67" s="259"/>
      <c r="E67" s="259"/>
      <c r="K67" t="s">
        <v>397</v>
      </c>
      <c r="L67">
        <v>1.25</v>
      </c>
      <c r="M67" t="s">
        <v>64</v>
      </c>
      <c r="N67" t="s">
        <v>340</v>
      </c>
    </row>
    <row r="68" spans="1:14">
      <c r="A68" t="s">
        <v>689</v>
      </c>
      <c r="B68" s="259">
        <f>0.0007*L67*L68*L69/Etagement!J8*'Bilan Masse'!B81</f>
        <v>69.383661796867358</v>
      </c>
      <c r="C68" s="259" t="s">
        <v>76</v>
      </c>
      <c r="D68" s="266"/>
      <c r="E68" s="259"/>
      <c r="K68" t="s">
        <v>399</v>
      </c>
      <c r="L68" s="78">
        <f>Géométrie!B73</f>
        <v>4.1100000000000003</v>
      </c>
      <c r="M68" t="s">
        <v>85</v>
      </c>
      <c r="N68" t="s">
        <v>315</v>
      </c>
    </row>
    <row r="69" spans="1:14">
      <c r="A69" t="s">
        <v>690</v>
      </c>
      <c r="B69" s="259"/>
      <c r="C69" s="257">
        <f>2.5*B68</f>
        <v>173.45915449216841</v>
      </c>
      <c r="D69" s="259" t="s">
        <v>76</v>
      </c>
      <c r="E69" s="259"/>
      <c r="K69" s="132" t="s">
        <v>398</v>
      </c>
      <c r="L69">
        <f>Etagement!J8*'Moteur Etage 3'!B11*Etagement!B12</f>
        <v>172061.48379998576</v>
      </c>
      <c r="M69" t="s">
        <v>61</v>
      </c>
      <c r="N69" t="s">
        <v>510</v>
      </c>
    </row>
    <row r="70" spans="1:14" ht="4.5" customHeight="1">
      <c r="A70" s="121"/>
      <c r="B70" s="260"/>
      <c r="C70" s="260"/>
      <c r="D70" s="260"/>
      <c r="E70" s="260"/>
      <c r="I70" s="129"/>
      <c r="K70" t="s">
        <v>350</v>
      </c>
      <c r="L70">
        <v>1.1000000000000001</v>
      </c>
      <c r="M70" t="s">
        <v>64</v>
      </c>
      <c r="N70" t="s">
        <v>400</v>
      </c>
    </row>
    <row r="71" spans="1:14">
      <c r="A71" s="102" t="s">
        <v>352</v>
      </c>
      <c r="B71" s="259"/>
      <c r="C71" s="259"/>
      <c r="D71" s="259"/>
      <c r="E71" s="259"/>
      <c r="K71" s="102" t="s">
        <v>404</v>
      </c>
    </row>
    <row r="72" spans="1:14">
      <c r="A72" t="s">
        <v>410</v>
      </c>
      <c r="B72" s="259"/>
      <c r="C72" s="257">
        <f>20/100*C29</f>
        <v>93.525790746090919</v>
      </c>
      <c r="D72" s="259" t="s">
        <v>76</v>
      </c>
      <c r="E72" s="259"/>
      <c r="K72" t="s">
        <v>339</v>
      </c>
      <c r="L72">
        <f>1.36</f>
        <v>1.36</v>
      </c>
      <c r="M72" t="s">
        <v>64</v>
      </c>
      <c r="N72" t="s">
        <v>340</v>
      </c>
    </row>
    <row r="73" spans="1:14">
      <c r="A73" t="s">
        <v>691</v>
      </c>
      <c r="B73" s="259"/>
      <c r="C73" s="257">
        <f>20/100*C42</f>
        <v>5.2775965234965598</v>
      </c>
      <c r="D73" s="259" t="s">
        <v>76</v>
      </c>
      <c r="E73" s="259"/>
      <c r="K73" t="s">
        <v>341</v>
      </c>
      <c r="L73">
        <f>1.2</f>
        <v>1.2</v>
      </c>
      <c r="M73" t="s">
        <v>64</v>
      </c>
      <c r="N73" t="s">
        <v>511</v>
      </c>
    </row>
    <row r="74" spans="1:14" ht="3.75" customHeight="1">
      <c r="A74" s="121"/>
      <c r="B74" s="260"/>
      <c r="C74" s="260"/>
      <c r="D74" s="260"/>
      <c r="E74" s="260"/>
      <c r="K74" t="s">
        <v>342</v>
      </c>
      <c r="L74">
        <v>1</v>
      </c>
      <c r="N74" t="s">
        <v>343</v>
      </c>
    </row>
    <row r="75" spans="1:14">
      <c r="A75" s="102" t="s">
        <v>412</v>
      </c>
      <c r="B75" s="259"/>
      <c r="C75" s="259"/>
      <c r="D75" s="259"/>
      <c r="E75" s="259"/>
      <c r="K75" t="s">
        <v>344</v>
      </c>
      <c r="L75">
        <v>1</v>
      </c>
      <c r="M75" t="s">
        <v>64</v>
      </c>
      <c r="N75" t="s">
        <v>345</v>
      </c>
    </row>
    <row r="76" spans="1:14">
      <c r="A76" t="s">
        <v>414</v>
      </c>
      <c r="B76" s="259">
        <v>1</v>
      </c>
      <c r="C76" s="259" t="s">
        <v>64</v>
      </c>
      <c r="D76" s="259"/>
      <c r="E76" s="259"/>
      <c r="K76" t="s">
        <v>350</v>
      </c>
      <c r="L76">
        <v>1.1000000000000001</v>
      </c>
      <c r="M76" t="s">
        <v>64</v>
      </c>
      <c r="N76" t="s">
        <v>351</v>
      </c>
    </row>
    <row r="77" spans="1:14">
      <c r="A77" t="s">
        <v>692</v>
      </c>
      <c r="B77" s="259"/>
      <c r="C77" s="257">
        <f>0.056*B76*B20</f>
        <v>40.321890483413696</v>
      </c>
      <c r="D77" s="259" t="s">
        <v>76</v>
      </c>
      <c r="E77" s="259"/>
      <c r="K77" t="s">
        <v>405</v>
      </c>
      <c r="L77">
        <v>0</v>
      </c>
      <c r="M77" t="s">
        <v>348</v>
      </c>
      <c r="N77" t="s">
        <v>509</v>
      </c>
    </row>
    <row r="78" spans="1:14">
      <c r="A78" t="s">
        <v>693</v>
      </c>
      <c r="B78" s="259"/>
      <c r="C78" s="257">
        <f>0.041*B76*B20</f>
        <v>29.521384103927883</v>
      </c>
      <c r="D78" s="259" t="s">
        <v>76</v>
      </c>
      <c r="E78" s="259"/>
      <c r="F78" s="129"/>
      <c r="K78" t="s">
        <v>406</v>
      </c>
      <c r="L78">
        <f>9*L72*L73*L74*L75*L77*L76</f>
        <v>0</v>
      </c>
      <c r="M78" t="s">
        <v>76</v>
      </c>
    </row>
    <row r="79" spans="1:14">
      <c r="A79" t="s">
        <v>694</v>
      </c>
      <c r="B79" s="259"/>
      <c r="C79" s="257">
        <f>0.02*B76*B20+67</f>
        <v>81.400675172647752</v>
      </c>
      <c r="D79" s="259" t="s">
        <v>76</v>
      </c>
      <c r="E79" s="259"/>
    </row>
    <row r="80" spans="1:14" ht="4.5" customHeight="1">
      <c r="A80" s="121"/>
      <c r="B80" s="260"/>
      <c r="C80" s="260"/>
      <c r="D80" s="260"/>
      <c r="E80" s="260"/>
    </row>
    <row r="81" spans="1:13">
      <c r="A81" s="246" t="s">
        <v>516</v>
      </c>
      <c r="B81" s="263"/>
      <c r="C81" s="263"/>
      <c r="D81" s="263">
        <f>C73+C72+L78+C69+C65+C63+C59+C58+C57+C45+C42+L40+C29+C22+C79+C78+C77+C55+C54+C53+C52</f>
        <v>13423.708701269023</v>
      </c>
      <c r="E81" s="263" t="s">
        <v>76</v>
      </c>
      <c r="K81" t="s">
        <v>515</v>
      </c>
      <c r="M81">
        <f>C45</f>
        <v>10649.457016448605</v>
      </c>
    </row>
    <row r="82" spans="1:13">
      <c r="A82" s="128"/>
      <c r="B82" s="262"/>
      <c r="C82" s="262"/>
      <c r="D82" s="262"/>
      <c r="E82" s="262"/>
      <c r="K82" t="s">
        <v>517</v>
      </c>
      <c r="M82" s="78">
        <f>(D81-C45)</f>
        <v>2774.2516848204177</v>
      </c>
    </row>
    <row r="83" spans="1:13">
      <c r="A83" s="76" t="s">
        <v>318</v>
      </c>
      <c r="B83" s="259"/>
      <c r="C83" s="259"/>
      <c r="D83" s="259"/>
      <c r="E83" s="259"/>
      <c r="K83" t="s">
        <v>589</v>
      </c>
      <c r="L83">
        <f>M82/M81</f>
        <v>0.26050639770041334</v>
      </c>
    </row>
    <row r="84" spans="1:13">
      <c r="A84" s="102" t="s">
        <v>325</v>
      </c>
      <c r="B84" s="259"/>
      <c r="C84" s="259"/>
      <c r="D84" s="259"/>
      <c r="E84" s="259"/>
    </row>
    <row r="85" spans="1:13">
      <c r="A85" t="s">
        <v>696</v>
      </c>
      <c r="B85" s="259"/>
      <c r="C85" s="257">
        <f>Etagement!B29</f>
        <v>72337.726251790009</v>
      </c>
      <c r="D85" s="259" t="s">
        <v>76</v>
      </c>
      <c r="E85" s="259"/>
    </row>
    <row r="86" spans="1:13" ht="3" customHeight="1">
      <c r="A86" s="121"/>
      <c r="B86" s="260"/>
      <c r="C86" s="260"/>
      <c r="D86" s="260"/>
      <c r="E86" s="260"/>
    </row>
    <row r="87" spans="1:13">
      <c r="A87" s="102" t="s">
        <v>326</v>
      </c>
      <c r="B87" s="259"/>
      <c r="C87" s="259"/>
      <c r="D87" s="259"/>
      <c r="E87" s="259"/>
      <c r="K87" t="s">
        <v>358</v>
      </c>
      <c r="L87">
        <v>10</v>
      </c>
      <c r="M87" t="s">
        <v>359</v>
      </c>
    </row>
    <row r="88" spans="1:13">
      <c r="A88" t="s">
        <v>519</v>
      </c>
      <c r="B88" s="259"/>
      <c r="C88" s="257">
        <f>'Moteur Etage 2'!B9*'Moteur Etage 2'!B20/Etagement!J8/(L87*10^3)</f>
        <v>2275.8877390100179</v>
      </c>
      <c r="D88" s="259" t="s">
        <v>76</v>
      </c>
      <c r="E88" s="259"/>
      <c r="K88" t="s">
        <v>361</v>
      </c>
      <c r="L88">
        <f>4*10^(-3)</f>
        <v>4.0000000000000001E-3</v>
      </c>
      <c r="M88" t="s">
        <v>85</v>
      </c>
    </row>
    <row r="89" spans="1:13">
      <c r="A89" t="s">
        <v>362</v>
      </c>
      <c r="B89" s="259">
        <f>0.18*Géométrie!B101</f>
        <v>0.61199999999999999</v>
      </c>
      <c r="C89" s="259" t="s">
        <v>85</v>
      </c>
      <c r="D89" s="259"/>
      <c r="E89" s="259"/>
      <c r="K89" t="s">
        <v>521</v>
      </c>
      <c r="L89">
        <f>1550</f>
        <v>1550</v>
      </c>
      <c r="M89" t="s">
        <v>522</v>
      </c>
    </row>
    <row r="90" spans="1:13">
      <c r="A90" t="s">
        <v>524</v>
      </c>
      <c r="B90" s="259"/>
      <c r="C90" s="257">
        <f>'Bilan Masse'!B126</f>
        <v>48.993087167250366</v>
      </c>
      <c r="D90" s="259" t="s">
        <v>329</v>
      </c>
      <c r="E90" s="259"/>
    </row>
    <row r="91" spans="1:13">
      <c r="A91" s="132" t="s">
        <v>353</v>
      </c>
      <c r="B91" s="259"/>
      <c r="C91" s="257">
        <f>'Bilan Masse'!B127</f>
        <v>232.48808261772683</v>
      </c>
      <c r="D91" s="259" t="s">
        <v>76</v>
      </c>
      <c r="E91" s="259"/>
    </row>
    <row r="92" spans="1:13" ht="3" customHeight="1">
      <c r="A92" s="121"/>
      <c r="B92" s="260"/>
      <c r="C92" s="260"/>
      <c r="D92" s="265"/>
      <c r="E92" s="260"/>
    </row>
    <row r="93" spans="1:13">
      <c r="A93" s="102" t="s">
        <v>331</v>
      </c>
      <c r="B93" s="259"/>
      <c r="C93" s="259"/>
      <c r="D93" s="259"/>
      <c r="E93" s="259"/>
    </row>
    <row r="94" spans="1:13">
      <c r="A94" t="s">
        <v>695</v>
      </c>
      <c r="B94" s="259"/>
      <c r="C94" s="257">
        <f>0.256*10^(-4)*((C85*'Moteur Etage 2'!B7)^(1.2)*'Moteur Etage 2'!B6^0.3/(('Moteur Etage 2'!B9/10^6)^0.8*'Moteur Etage 2'!B12^0.6*TAN('Moteur Etage 2'!B27*PI()/180)^0.4))^0.917</f>
        <v>1135.6516649197999</v>
      </c>
      <c r="D94" s="259" t="s">
        <v>76</v>
      </c>
      <c r="E94" s="259"/>
    </row>
    <row r="95" spans="1:13" ht="3.75" customHeight="1">
      <c r="A95" s="121"/>
      <c r="B95" s="260"/>
      <c r="C95" s="260"/>
      <c r="D95" s="260"/>
      <c r="E95" s="260"/>
    </row>
    <row r="96" spans="1:13">
      <c r="A96" s="102" t="s">
        <v>334</v>
      </c>
      <c r="B96" s="259"/>
      <c r="C96" s="259"/>
      <c r="D96" s="259"/>
      <c r="E96" s="259"/>
    </row>
    <row r="97" spans="1:15">
      <c r="A97" t="s">
        <v>335</v>
      </c>
      <c r="B97" s="259"/>
      <c r="C97" s="257">
        <f>72.2*Géométrie!B101*(Géométrie!B78+2*Géométrie!B81)</f>
        <v>1440.4478900733411</v>
      </c>
      <c r="D97" s="259" t="s">
        <v>76</v>
      </c>
      <c r="E97" s="266"/>
      <c r="G97" s="129"/>
    </row>
    <row r="98" spans="1:15" ht="3.75" customHeight="1">
      <c r="A98" s="121"/>
      <c r="B98" s="260"/>
      <c r="C98" s="260"/>
      <c r="D98" s="260"/>
      <c r="E98" s="260"/>
    </row>
    <row r="99" spans="1:15">
      <c r="A99" s="102" t="s">
        <v>336</v>
      </c>
      <c r="B99" s="259"/>
      <c r="C99" s="259"/>
      <c r="D99" s="259"/>
      <c r="E99" s="259"/>
    </row>
    <row r="100" spans="1:15">
      <c r="A100" t="s">
        <v>337</v>
      </c>
      <c r="B100" s="259"/>
      <c r="C100" s="257">
        <f>C85*0.00136+3</f>
        <v>101.37930770243442</v>
      </c>
      <c r="D100" s="259" t="s">
        <v>76</v>
      </c>
      <c r="E100" s="259"/>
    </row>
    <row r="101" spans="1:15" ht="3" customHeight="1">
      <c r="A101" s="121"/>
      <c r="B101" s="260"/>
      <c r="C101" s="260"/>
      <c r="D101" s="260"/>
      <c r="E101" s="260"/>
    </row>
    <row r="102" spans="1:15">
      <c r="A102" s="102" t="s">
        <v>338</v>
      </c>
      <c r="B102" s="259"/>
      <c r="C102" s="259"/>
      <c r="D102" s="259"/>
      <c r="E102" s="259"/>
      <c r="K102" t="s">
        <v>339</v>
      </c>
      <c r="L102">
        <f>1.36</f>
        <v>1.36</v>
      </c>
      <c r="M102" t="s">
        <v>64</v>
      </c>
      <c r="N102" t="s">
        <v>340</v>
      </c>
    </row>
    <row r="103" spans="1:15">
      <c r="A103" t="s">
        <v>346</v>
      </c>
      <c r="B103" s="259">
        <f>'Bilan Masse'!B144</f>
        <v>32.553949177297255</v>
      </c>
      <c r="C103" s="259" t="s">
        <v>348</v>
      </c>
      <c r="D103" s="259"/>
      <c r="E103" s="259"/>
      <c r="K103" t="s">
        <v>341</v>
      </c>
      <c r="L103">
        <f>1.1</f>
        <v>1.1000000000000001</v>
      </c>
      <c r="M103" t="s">
        <v>64</v>
      </c>
      <c r="N103" t="s">
        <v>528</v>
      </c>
    </row>
    <row r="104" spans="1:15">
      <c r="A104" t="s">
        <v>347</v>
      </c>
      <c r="B104" s="259"/>
      <c r="C104" s="257">
        <f>9*L102*L103*L104*L105*B103*L106</f>
        <v>482.13700889544339</v>
      </c>
      <c r="D104" s="259" t="s">
        <v>76</v>
      </c>
      <c r="E104" s="259"/>
      <c r="K104" t="s">
        <v>342</v>
      </c>
      <c r="L104">
        <v>1</v>
      </c>
      <c r="N104" t="s">
        <v>343</v>
      </c>
    </row>
    <row r="105" spans="1:15">
      <c r="A105" t="s">
        <v>349</v>
      </c>
      <c r="B105" s="259">
        <f>'Bilan Masse'!B146</f>
        <v>7.9701685863463467</v>
      </c>
      <c r="C105" s="259" t="s">
        <v>348</v>
      </c>
      <c r="D105" s="259"/>
      <c r="E105" s="259"/>
      <c r="K105" t="s">
        <v>344</v>
      </c>
      <c r="L105">
        <v>1</v>
      </c>
      <c r="M105" t="s">
        <v>64</v>
      </c>
      <c r="N105" t="s">
        <v>345</v>
      </c>
    </row>
    <row r="106" spans="1:15">
      <c r="A106" t="s">
        <v>330</v>
      </c>
      <c r="B106" s="259"/>
      <c r="C106" s="257">
        <f>9*L104*L105*L106*B105*L103*L102</f>
        <v>118.04138483122395</v>
      </c>
      <c r="D106" s="259" t="s">
        <v>76</v>
      </c>
      <c r="E106" s="259"/>
      <c r="K106" t="s">
        <v>350</v>
      </c>
      <c r="L106">
        <v>1.1000000000000001</v>
      </c>
      <c r="M106" t="s">
        <v>64</v>
      </c>
      <c r="N106" t="s">
        <v>351</v>
      </c>
    </row>
    <row r="107" spans="1:15" ht="3.75" customHeight="1">
      <c r="A107" s="121"/>
      <c r="B107" s="260"/>
      <c r="C107" s="260"/>
      <c r="D107" s="260"/>
      <c r="E107" s="260"/>
      <c r="K107" s="121"/>
      <c r="L107" s="121"/>
      <c r="M107" s="121"/>
      <c r="N107" s="121"/>
      <c r="O107" s="121"/>
    </row>
    <row r="108" spans="1:15">
      <c r="A108" s="102" t="s">
        <v>356</v>
      </c>
      <c r="B108" s="259"/>
      <c r="C108" s="259"/>
      <c r="D108" s="259"/>
      <c r="E108" s="259"/>
      <c r="K108" s="122" t="s">
        <v>352</v>
      </c>
      <c r="L108" s="121"/>
      <c r="M108" s="121"/>
      <c r="N108" s="121" t="s">
        <v>529</v>
      </c>
      <c r="O108" s="121"/>
    </row>
    <row r="109" spans="1:15">
      <c r="A109" t="s">
        <v>533</v>
      </c>
      <c r="B109" s="259">
        <f>L109+C106+C104+C90</f>
        <v>78172.752417007257</v>
      </c>
      <c r="C109" s="259" t="s">
        <v>76</v>
      </c>
      <c r="D109" s="259"/>
      <c r="E109" s="259"/>
      <c r="K109" s="121" t="s">
        <v>530</v>
      </c>
      <c r="L109" s="124">
        <f>C85+C88+C100+C94+C97+C91</f>
        <v>77523.580936113329</v>
      </c>
      <c r="M109" s="121" t="s">
        <v>76</v>
      </c>
      <c r="N109" s="121" t="s">
        <v>531</v>
      </c>
      <c r="O109" s="121"/>
    </row>
    <row r="110" spans="1:15">
      <c r="A110" t="s">
        <v>357</v>
      </c>
      <c r="B110" s="259"/>
      <c r="C110" s="257">
        <f>3*B109/1000</f>
        <v>234.51825725102177</v>
      </c>
      <c r="D110" s="259" t="s">
        <v>76</v>
      </c>
      <c r="E110" s="259"/>
      <c r="H110" s="129"/>
      <c r="K110" s="121" t="s">
        <v>532</v>
      </c>
      <c r="L110" s="121">
        <f>20/100*L109</f>
        <v>15504.716187222666</v>
      </c>
      <c r="M110" s="121" t="s">
        <v>76</v>
      </c>
      <c r="N110" s="133"/>
      <c r="O110" s="121"/>
    </row>
    <row r="111" spans="1:15" ht="4.5" customHeight="1">
      <c r="A111" s="121"/>
      <c r="B111" s="260"/>
      <c r="C111" s="260"/>
      <c r="D111" s="265"/>
      <c r="E111" s="260"/>
      <c r="G111" t="s">
        <v>515</v>
      </c>
      <c r="H111" s="129"/>
      <c r="I111">
        <f>C85</f>
        <v>72337.726251790009</v>
      </c>
      <c r="K111" s="121"/>
      <c r="L111" s="121"/>
      <c r="M111" s="121"/>
      <c r="N111" s="121"/>
      <c r="O111" s="121"/>
    </row>
    <row r="112" spans="1:15">
      <c r="A112" s="246" t="s">
        <v>423</v>
      </c>
      <c r="B112" s="263"/>
      <c r="C112" s="263"/>
      <c r="D112" s="263">
        <f>C110+B109</f>
        <v>78407.270674258281</v>
      </c>
      <c r="E112" s="263" t="s">
        <v>76</v>
      </c>
      <c r="G112" t="s">
        <v>534</v>
      </c>
      <c r="H112" s="129"/>
      <c r="I112" s="78">
        <f>(D112-C85)</f>
        <v>6069.5444224682724</v>
      </c>
      <c r="K112" s="122" t="s">
        <v>354</v>
      </c>
      <c r="L112" s="121"/>
      <c r="M112" s="121"/>
      <c r="N112" s="121"/>
      <c r="O112" s="121"/>
    </row>
    <row r="113" spans="1:15">
      <c r="A113" s="128"/>
      <c r="B113" s="262"/>
      <c r="C113" s="262"/>
      <c r="D113" s="262"/>
      <c r="E113" s="262"/>
      <c r="G113" t="s">
        <v>591</v>
      </c>
      <c r="H113">
        <f>I112/I111</f>
        <v>8.3905656660283545E-2</v>
      </c>
      <c r="K113" s="121" t="s">
        <v>355</v>
      </c>
      <c r="L113" s="121">
        <f>70*(1+0.03*Géométrie!B131)</f>
        <v>160.52625012250189</v>
      </c>
      <c r="M113" s="121" t="s">
        <v>76</v>
      </c>
      <c r="N113" s="133"/>
      <c r="O113" s="121"/>
    </row>
    <row r="114" spans="1:15" ht="12.75" customHeight="1">
      <c r="A114" s="76" t="s">
        <v>317</v>
      </c>
      <c r="B114" s="259"/>
      <c r="C114" s="259"/>
      <c r="D114" s="259"/>
      <c r="E114" s="259"/>
      <c r="K114" s="121"/>
      <c r="L114" s="121"/>
      <c r="M114" s="121"/>
      <c r="N114" s="121"/>
      <c r="O114" s="121"/>
    </row>
    <row r="115" spans="1:15">
      <c r="A115" s="102" t="s">
        <v>325</v>
      </c>
      <c r="B115" s="259"/>
      <c r="C115" s="259"/>
      <c r="D115" s="259"/>
      <c r="E115" s="259"/>
    </row>
    <row r="116" spans="1:15">
      <c r="A116" t="s">
        <v>696</v>
      </c>
      <c r="B116" s="259"/>
      <c r="C116" s="257">
        <f>Etagement!C29</f>
        <v>224171.32694565994</v>
      </c>
      <c r="D116" s="259" t="s">
        <v>76</v>
      </c>
      <c r="E116" s="259"/>
    </row>
    <row r="117" spans="1:15" ht="4.5" customHeight="1">
      <c r="A117" s="121"/>
      <c r="B117" s="260"/>
      <c r="C117" s="260"/>
      <c r="D117" s="260"/>
      <c r="E117" s="260"/>
    </row>
    <row r="118" spans="1:15" ht="12.75" customHeight="1">
      <c r="A118" s="102" t="s">
        <v>326</v>
      </c>
      <c r="B118" s="259"/>
      <c r="C118" s="259"/>
      <c r="D118" s="259"/>
      <c r="E118" s="259"/>
    </row>
    <row r="119" spans="1:15">
      <c r="A119" t="s">
        <v>519</v>
      </c>
      <c r="B119" s="259"/>
      <c r="C119" s="257">
        <f>'Moteur Etage 1'!B12*'Moteur Etage 1'!B25/Etagement!J8/(L119*10^3)</f>
        <v>9002.1456528014187</v>
      </c>
      <c r="D119" s="259" t="s">
        <v>76</v>
      </c>
      <c r="E119" s="259"/>
      <c r="K119" t="s">
        <v>358</v>
      </c>
      <c r="L119">
        <v>10</v>
      </c>
      <c r="M119" t="s">
        <v>359</v>
      </c>
      <c r="N119" t="s">
        <v>518</v>
      </c>
    </row>
    <row r="120" spans="1:15">
      <c r="A120" t="s">
        <v>362</v>
      </c>
      <c r="B120" s="259">
        <f>0.18*Géométrie!B127</f>
        <v>0.61199999999999999</v>
      </c>
      <c r="C120" s="259" t="s">
        <v>85</v>
      </c>
      <c r="D120" s="259"/>
      <c r="E120" s="259"/>
      <c r="K120" t="s">
        <v>361</v>
      </c>
      <c r="L120">
        <f>4*10^(-3)</f>
        <v>4.0000000000000001E-3</v>
      </c>
      <c r="M120" t="s">
        <v>85</v>
      </c>
      <c r="N120" t="s">
        <v>327</v>
      </c>
    </row>
    <row r="121" spans="1:15">
      <c r="A121" t="s">
        <v>365</v>
      </c>
      <c r="B121" s="259"/>
      <c r="C121" s="257">
        <f>PI()*Géométrie!B127*L120*B120*L121</f>
        <v>40.529561160255774</v>
      </c>
      <c r="D121" s="259" t="s">
        <v>329</v>
      </c>
      <c r="E121" s="259"/>
      <c r="K121" t="s">
        <v>535</v>
      </c>
      <c r="L121">
        <f>1550</f>
        <v>1550</v>
      </c>
      <c r="M121" t="s">
        <v>522</v>
      </c>
      <c r="N121" t="s">
        <v>523</v>
      </c>
    </row>
    <row r="122" spans="1:15">
      <c r="A122" s="134" t="s">
        <v>537</v>
      </c>
      <c r="B122" s="259"/>
      <c r="C122" s="257">
        <f>10/100*(C121+C119)</f>
        <v>904.26752139616747</v>
      </c>
      <c r="D122" s="258" t="s">
        <v>76</v>
      </c>
      <c r="E122" s="258"/>
      <c r="F122" s="92"/>
      <c r="K122">
        <f>(C116*'Moteur Etage 1'!B10)^1.2</f>
        <v>18269079798.705261</v>
      </c>
    </row>
    <row r="123" spans="1:15" ht="4.5" customHeight="1">
      <c r="A123" s="121"/>
      <c r="B123" s="260"/>
      <c r="C123" s="260"/>
      <c r="D123" s="265"/>
      <c r="E123" s="260"/>
      <c r="K123" s="78">
        <f>'Moteur Etage 1'!B9^0.3</f>
        <v>1.9952623149688797</v>
      </c>
    </row>
    <row r="124" spans="1:15">
      <c r="A124" s="102" t="s">
        <v>331</v>
      </c>
      <c r="B124" s="259"/>
      <c r="C124" s="259"/>
      <c r="D124" s="259"/>
      <c r="E124" s="259"/>
      <c r="K124">
        <f>('Moteur Etage 1'!B12/10^6)^0.8*'Moteur Etage 1'!B18^0.6*TAN('Moteur Etage 1'!B32*PI()/180)^0.4</f>
        <v>52.138950700408721</v>
      </c>
    </row>
    <row r="125" spans="1:15">
      <c r="A125" t="s">
        <v>333</v>
      </c>
      <c r="B125" s="259"/>
      <c r="C125" s="257">
        <f>0.256*10^(-4)*((C116*'Moteur Etage 1'!B10)^(1.2)*'Moteur Etage 1'!B9^(0.3)/(('Moteur Etage 1'!B12/(10^6))^0.8*'Moteur Etage 1'!B18^0.6*TAN('Moteur Etage 1'!B32*PI()/180)^0.4))^0.917</f>
        <v>3301.3862437634502</v>
      </c>
      <c r="D125" s="259" t="s">
        <v>76</v>
      </c>
      <c r="E125" s="259"/>
      <c r="I125" t="s">
        <v>585</v>
      </c>
      <c r="K125">
        <f>0.256*10^(-4)*(K122*K123/K124)^0.917</f>
        <v>3301.3862437634502</v>
      </c>
    </row>
    <row r="126" spans="1:15" ht="4.5" customHeight="1">
      <c r="A126" s="121"/>
      <c r="B126" s="260"/>
      <c r="C126" s="260"/>
      <c r="D126" s="260"/>
      <c r="E126" s="260"/>
    </row>
    <row r="127" spans="1:15">
      <c r="A127" s="102" t="s">
        <v>334</v>
      </c>
      <c r="B127" s="259"/>
      <c r="C127" s="259"/>
      <c r="D127" s="259"/>
      <c r="E127" s="259"/>
      <c r="F127" s="129"/>
      <c r="G127" s="129"/>
    </row>
    <row r="128" spans="1:15">
      <c r="A128" t="s">
        <v>335</v>
      </c>
      <c r="B128" s="259"/>
      <c r="C128" s="257">
        <f>72.2*(Géométrie!B108+2*Géométrie!B111)*Géométrie!B127</f>
        <v>3609.6991530473279</v>
      </c>
      <c r="D128" s="259" t="s">
        <v>76</v>
      </c>
      <c r="E128" s="259"/>
    </row>
    <row r="129" spans="1:14" ht="4.5" customHeight="1">
      <c r="A129" s="121"/>
      <c r="B129" s="260"/>
      <c r="C129" s="260"/>
      <c r="D129" s="260"/>
      <c r="E129" s="260"/>
    </row>
    <row r="130" spans="1:14">
      <c r="A130" s="102" t="s">
        <v>336</v>
      </c>
      <c r="B130" s="259"/>
      <c r="C130" s="259"/>
      <c r="D130" s="259"/>
      <c r="E130" s="259"/>
    </row>
    <row r="131" spans="1:14">
      <c r="A131" t="s">
        <v>337</v>
      </c>
      <c r="B131" s="259"/>
      <c r="C131" s="257">
        <f>C116*0.00136+3</f>
        <v>307.87300464609751</v>
      </c>
      <c r="D131" s="259" t="s">
        <v>76</v>
      </c>
      <c r="E131" s="259"/>
    </row>
    <row r="132" spans="1:14" ht="3.75" customHeight="1">
      <c r="A132" s="121"/>
      <c r="B132" s="260"/>
      <c r="C132" s="260"/>
      <c r="D132" s="260"/>
      <c r="E132" s="260"/>
    </row>
    <row r="133" spans="1:14">
      <c r="A133" s="102" t="s">
        <v>338</v>
      </c>
      <c r="B133" s="259"/>
      <c r="C133" s="259"/>
      <c r="D133" s="259"/>
      <c r="E133" s="259"/>
      <c r="J133" t="s">
        <v>339</v>
      </c>
      <c r="K133">
        <f>1.36</f>
        <v>1.36</v>
      </c>
      <c r="L133" t="s">
        <v>64</v>
      </c>
      <c r="M133" t="s">
        <v>340</v>
      </c>
    </row>
    <row r="134" spans="1:14">
      <c r="A134" t="s">
        <v>346</v>
      </c>
      <c r="B134" s="259">
        <f>'Bilan Masse'!B190</f>
        <v>36.883707934782862</v>
      </c>
      <c r="C134" s="259" t="s">
        <v>348</v>
      </c>
      <c r="D134" s="259"/>
      <c r="E134" s="259"/>
      <c r="J134" t="s">
        <v>539</v>
      </c>
      <c r="K134">
        <f>1.1</f>
        <v>1.1000000000000001</v>
      </c>
      <c r="L134" t="s">
        <v>64</v>
      </c>
      <c r="M134" t="s">
        <v>493</v>
      </c>
    </row>
    <row r="135" spans="1:14">
      <c r="A135" t="s">
        <v>347</v>
      </c>
      <c r="B135" s="259"/>
      <c r="C135" s="257">
        <f>9*K133*K134*K135*K136*B134*K137</f>
        <v>546.26246799730825</v>
      </c>
      <c r="D135" s="259" t="s">
        <v>76</v>
      </c>
      <c r="E135" s="259"/>
      <c r="J135" t="s">
        <v>342</v>
      </c>
      <c r="K135">
        <v>1</v>
      </c>
      <c r="M135" t="s">
        <v>343</v>
      </c>
    </row>
    <row r="136" spans="1:14">
      <c r="A136" t="s">
        <v>349</v>
      </c>
      <c r="B136" s="259">
        <f>2*PI()*Géométrie!B127/2*Géométrie!B122</f>
        <v>39.375259373449161</v>
      </c>
      <c r="C136" s="259" t="s">
        <v>348</v>
      </c>
      <c r="D136" s="259"/>
      <c r="E136" s="259"/>
      <c r="J136" t="s">
        <v>344</v>
      </c>
      <c r="K136">
        <v>1</v>
      </c>
      <c r="L136" t="s">
        <v>64</v>
      </c>
      <c r="M136" t="s">
        <v>345</v>
      </c>
    </row>
    <row r="137" spans="1:14">
      <c r="A137" t="s">
        <v>330</v>
      </c>
      <c r="B137" s="259"/>
      <c r="C137" s="257">
        <f>9*K135*K136*K137*B136*K138*K133</f>
        <v>530.14849220411952</v>
      </c>
      <c r="D137" s="259" t="s">
        <v>76</v>
      </c>
      <c r="E137" s="259"/>
      <c r="J137" t="s">
        <v>350</v>
      </c>
      <c r="K137">
        <v>1.1000000000000001</v>
      </c>
      <c r="L137" t="s">
        <v>64</v>
      </c>
      <c r="M137" t="s">
        <v>351</v>
      </c>
    </row>
    <row r="138" spans="1:14" ht="4.5" customHeight="1">
      <c r="A138" s="121"/>
      <c r="B138" s="260"/>
      <c r="C138" s="260"/>
      <c r="D138" s="260"/>
      <c r="E138" s="260"/>
      <c r="J138" t="s">
        <v>540</v>
      </c>
      <c r="K138">
        <v>1</v>
      </c>
      <c r="L138" t="s">
        <v>64</v>
      </c>
    </row>
    <row r="139" spans="1:14">
      <c r="A139" s="102" t="s">
        <v>356</v>
      </c>
      <c r="B139" s="259"/>
      <c r="C139" s="259"/>
      <c r="D139" s="259"/>
      <c r="E139" s="259"/>
    </row>
    <row r="140" spans="1:14">
      <c r="A140" t="s">
        <v>533</v>
      </c>
      <c r="B140" s="259">
        <f>K143+C137+C135+C121</f>
        <v>242413.63904267605</v>
      </c>
      <c r="C140" s="259" t="s">
        <v>76</v>
      </c>
      <c r="D140" s="259"/>
      <c r="E140" s="259"/>
    </row>
    <row r="141" spans="1:14">
      <c r="A141" t="s">
        <v>357</v>
      </c>
      <c r="B141" s="259"/>
      <c r="C141" s="257">
        <f>3*B140/1000</f>
        <v>727.24091712802806</v>
      </c>
      <c r="D141" s="259" t="s">
        <v>76</v>
      </c>
      <c r="E141" s="259"/>
      <c r="J141" s="121"/>
      <c r="K141" s="121"/>
      <c r="L141" s="121"/>
      <c r="M141" s="121"/>
      <c r="N141" s="121"/>
    </row>
    <row r="142" spans="1:14" ht="4.5" customHeight="1">
      <c r="A142" s="121"/>
      <c r="B142" s="260"/>
      <c r="C142" s="260"/>
      <c r="D142" s="260"/>
      <c r="E142" s="260"/>
      <c r="G142" t="s">
        <v>515</v>
      </c>
      <c r="I142">
        <f>C116</f>
        <v>224171.32694565994</v>
      </c>
      <c r="J142" s="122" t="s">
        <v>352</v>
      </c>
      <c r="K142" s="121"/>
      <c r="L142" s="121"/>
      <c r="M142" s="133"/>
      <c r="N142" s="121"/>
    </row>
    <row r="143" spans="1:14">
      <c r="A143" s="246" t="s">
        <v>424</v>
      </c>
      <c r="B143" s="261"/>
      <c r="C143" s="261"/>
      <c r="D143" s="263">
        <f>B140+C141</f>
        <v>243140.87995980406</v>
      </c>
      <c r="E143" s="263" t="s">
        <v>76</v>
      </c>
      <c r="G143" t="s">
        <v>542</v>
      </c>
      <c r="I143" s="78">
        <f>(D143-C116)</f>
        <v>18969.553014144127</v>
      </c>
      <c r="J143" s="121" t="s">
        <v>541</v>
      </c>
      <c r="K143" s="124">
        <f>C125+C119+C116+C128+C122+C131</f>
        <v>241296.69852131439</v>
      </c>
      <c r="L143" s="121" t="s">
        <v>76</v>
      </c>
      <c r="M143" s="121" t="s">
        <v>531</v>
      </c>
      <c r="N143" s="121"/>
    </row>
    <row r="144" spans="1:14">
      <c r="A144" s="128"/>
      <c r="B144" s="262"/>
      <c r="C144" s="262"/>
      <c r="D144" s="262"/>
      <c r="E144" s="262"/>
      <c r="G144" t="s">
        <v>590</v>
      </c>
      <c r="H144">
        <f>I143/I142</f>
        <v>8.462078211609296E-2</v>
      </c>
      <c r="J144" s="121" t="s">
        <v>532</v>
      </c>
      <c r="K144" s="121">
        <f>20/100*K143</f>
        <v>48259.339704262879</v>
      </c>
      <c r="L144" s="121" t="s">
        <v>76</v>
      </c>
      <c r="M144" s="133"/>
      <c r="N144" s="121"/>
    </row>
    <row r="145" spans="1:14">
      <c r="B145" s="259"/>
      <c r="C145" s="259"/>
      <c r="D145" s="259"/>
      <c r="E145" s="259"/>
      <c r="J145" s="121"/>
      <c r="K145" s="121"/>
      <c r="L145" s="121"/>
      <c r="M145" s="133"/>
      <c r="N145" s="121"/>
    </row>
    <row r="146" spans="1:14" ht="14" thickBot="1">
      <c r="A146" s="255"/>
      <c r="B146" s="270" t="s">
        <v>425</v>
      </c>
      <c r="C146" s="255"/>
      <c r="D146" s="271">
        <f>D143+D112+D81+D16</f>
        <v>338417.89534884662</v>
      </c>
      <c r="E146" s="271" t="s">
        <v>76</v>
      </c>
      <c r="J146" s="122" t="s">
        <v>354</v>
      </c>
      <c r="K146" s="121"/>
      <c r="L146" s="121"/>
      <c r="M146" s="121"/>
      <c r="N146" s="121"/>
    </row>
    <row r="147" spans="1:14" ht="14" thickBot="1">
      <c r="A147" s="270"/>
      <c r="B147" s="271"/>
      <c r="C147" s="255"/>
      <c r="D147" s="272">
        <f>D146/1000</f>
        <v>338.41789534884663</v>
      </c>
      <c r="E147" s="273" t="s">
        <v>543</v>
      </c>
      <c r="I147" s="78">
        <f>I143+I142+'Bilan Masse'!I150+'Bilan Masse'!I149+'Bilan Masse'!I104+'Bilan Masse'!I103+'Bilan Masse'!I16</f>
        <v>243140.87995980406</v>
      </c>
      <c r="J147" s="121" t="s">
        <v>355</v>
      </c>
      <c r="K147" s="121">
        <f>70*(1+0.03*Géométrie!B131)</f>
        <v>160.52625012250189</v>
      </c>
      <c r="L147" s="121" t="s">
        <v>76</v>
      </c>
      <c r="M147" s="133"/>
      <c r="N147" s="121"/>
    </row>
    <row r="148" spans="1:14">
      <c r="B148" s="259"/>
      <c r="C148" s="259"/>
      <c r="D148" s="259"/>
      <c r="E148" s="259"/>
      <c r="J148" s="121"/>
      <c r="K148" s="121"/>
      <c r="L148" s="121"/>
      <c r="M148" s="121"/>
      <c r="N148" s="121"/>
    </row>
    <row r="158" spans="1:14">
      <c r="A158" s="140" t="s">
        <v>426</v>
      </c>
      <c r="B158" s="264">
        <f>1.25*D146</f>
        <v>423022.36918605829</v>
      </c>
      <c r="C158" s="264" t="s">
        <v>76</v>
      </c>
      <c r="D158" s="264"/>
      <c r="E158" s="264"/>
    </row>
    <row r="159" spans="1:14">
      <c r="B159" s="259">
        <f>B158/1000</f>
        <v>423.02236918605831</v>
      </c>
      <c r="C159" t="s">
        <v>543</v>
      </c>
      <c r="E159" s="259"/>
    </row>
  </sheetData>
  <pageMargins left="0.7" right="0.7" top="0.75" bottom="0.75" header="0.3" footer="0.3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12</vt:i4>
      </vt:variant>
    </vt:vector>
  </HeadingPairs>
  <TitlesOfParts>
    <vt:vector size="12" baseType="lpstr">
      <vt:lpstr>TODO</vt:lpstr>
      <vt:lpstr>Etagement</vt:lpstr>
      <vt:lpstr>Bilan Masse</vt:lpstr>
      <vt:lpstr>Moteur Etage 1</vt:lpstr>
      <vt:lpstr>Moteur Etage 2</vt:lpstr>
      <vt:lpstr>Moteur Etage 3</vt:lpstr>
      <vt:lpstr>Satellites</vt:lpstr>
      <vt:lpstr>Géométrie</vt:lpstr>
      <vt:lpstr>Aerodynamique</vt:lpstr>
      <vt:lpstr>Tableaux aéro</vt:lpstr>
      <vt:lpstr>{Calculs intermediaires}</vt:lpstr>
      <vt:lpstr>Feuil1</vt:lpstr>
    </vt:vector>
  </TitlesOfParts>
  <Company>ECP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Yann Blaudin de Thé</dc:creator>
  <cp:lastModifiedBy>Yann Blaudin de Thé</cp:lastModifiedBy>
  <dcterms:created xsi:type="dcterms:W3CDTF">2010-12-07T13:30:27Z</dcterms:created>
  <dcterms:modified xsi:type="dcterms:W3CDTF">2015-09-20T13:32:18Z</dcterms:modified>
</cp:coreProperties>
</file>