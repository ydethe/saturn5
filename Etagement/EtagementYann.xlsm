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office.vbaProject"/>
  <Default Extension="png" ContentType="image/p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20515" codeName="{B7FE6334-C1A2-E50D-BD3D-5F4D41BBC2E3}"/>
  <workbookPr date1904="1" codeName="ThisWorkbook1" autoCompressPictures="0"/>
  <bookViews>
    <workbookView xWindow="0" yWindow="0" windowWidth="12280" windowHeight="15560" tabRatio="999" activeTab="1"/>
  </bookViews>
  <sheets>
    <sheet name="TODO" sheetId="11" r:id="rId1"/>
    <sheet name="Etagement" sheetId="1" r:id="rId2"/>
    <sheet name="Bilan Masse" sheetId="14" r:id="rId3"/>
    <sheet name="Moteur Etage 1" sheetId="2" r:id="rId4"/>
    <sheet name="Moteur Etage 2" sheetId="6" r:id="rId5"/>
    <sheet name="Moteur Etage 3" sheetId="5" r:id="rId6"/>
    <sheet name="Satellites" sheetId="4" r:id="rId7"/>
    <sheet name="Géométrie" sheetId="8" r:id="rId8"/>
    <sheet name="Aerodynamique" sheetId="12" r:id="rId9"/>
    <sheet name="Tableaux aéro" sheetId="10" r:id="rId10"/>
    <sheet name="{Calculs intermediaires}" sheetId="3" r:id="rId11"/>
  </sheets>
  <externalReferences>
    <externalReference r:id="rId12"/>
    <externalReference r:id="rId13"/>
    <externalReference r:id="rId14"/>
    <externalReference r:id="rId15"/>
    <externalReference r:id="rId16"/>
  </externalReferences>
  <calcPr calcId="140001" iterate="1" iterateCount="500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34" i="11" l="1"/>
  <c r="C34" i="11"/>
  <c r="E35" i="11"/>
  <c r="D35" i="11"/>
  <c r="C35" i="11"/>
  <c r="B18" i="2"/>
  <c r="C33" i="11"/>
  <c r="B14" i="2"/>
  <c r="B5" i="2"/>
  <c r="A23" i="1"/>
  <c r="I11" i="1"/>
  <c r="E12" i="1"/>
  <c r="E11" i="1"/>
  <c r="I12" i="1"/>
  <c r="I15" i="1"/>
  <c r="B23" i="1"/>
  <c r="I10" i="1"/>
  <c r="E10" i="1"/>
  <c r="I14" i="1"/>
  <c r="C23" i="1"/>
  <c r="B13" i="2"/>
  <c r="B10" i="6"/>
  <c r="B9" i="6"/>
  <c r="B129" i="8"/>
  <c r="B110" i="8"/>
  <c r="B113" i="8"/>
  <c r="B114" i="8"/>
  <c r="B116" i="8"/>
  <c r="B104" i="8"/>
  <c r="B86" i="8"/>
  <c r="B87" i="8"/>
  <c r="B83" i="8"/>
  <c r="B79" i="8"/>
  <c r="E53" i="8"/>
  <c r="B63" i="8"/>
  <c r="B102" i="8"/>
  <c r="B2" i="8"/>
  <c r="B36" i="5"/>
  <c r="B20" i="8"/>
  <c r="B23" i="8"/>
  <c r="B24" i="8"/>
  <c r="B71" i="8"/>
  <c r="B75" i="8"/>
  <c r="B32" i="8"/>
  <c r="B35" i="8"/>
  <c r="B36" i="8"/>
  <c r="B10" i="5"/>
  <c r="B37" i="8"/>
  <c r="B25" i="8"/>
  <c r="B49" i="14"/>
  <c r="B41" i="5"/>
  <c r="F40" i="14"/>
  <c r="E45" i="5"/>
  <c r="F44" i="14"/>
  <c r="B48" i="5"/>
  <c r="B40" i="5"/>
  <c r="B40" i="14"/>
  <c r="E44" i="5"/>
  <c r="B44" i="14"/>
  <c r="B92" i="14"/>
  <c r="B93" i="14"/>
  <c r="B98" i="14"/>
  <c r="B85" i="14"/>
  <c r="B74" i="14"/>
  <c r="B73" i="14"/>
  <c r="C3" i="4"/>
  <c r="C4" i="4"/>
  <c r="C5" i="4"/>
  <c r="C6" i="4"/>
  <c r="B6" i="8"/>
  <c r="B3" i="8"/>
  <c r="H40" i="8"/>
  <c r="H41" i="8"/>
  <c r="H42" i="8"/>
  <c r="B78" i="14"/>
  <c r="B79" i="14"/>
  <c r="B54" i="8"/>
  <c r="B56" i="8"/>
  <c r="B67" i="14"/>
  <c r="B69" i="14"/>
  <c r="B68" i="14"/>
  <c r="B8" i="14"/>
  <c r="B9" i="14"/>
  <c r="B13" i="14"/>
  <c r="B14" i="14"/>
  <c r="F5" i="8"/>
  <c r="F6" i="8"/>
  <c r="F1" i="8"/>
  <c r="F8" i="8"/>
  <c r="F9" i="8"/>
  <c r="F3" i="8"/>
  <c r="B10" i="8"/>
  <c r="B2" i="14"/>
  <c r="I89" i="8"/>
  <c r="I108" i="8"/>
  <c r="B22" i="5"/>
  <c r="D23" i="5"/>
  <c r="B31" i="6"/>
  <c r="E52" i="8"/>
  <c r="E55" i="8"/>
  <c r="E54" i="8"/>
  <c r="B62" i="8"/>
  <c r="B64" i="8"/>
  <c r="B50" i="8"/>
  <c r="H50" i="8"/>
  <c r="B6" i="4"/>
  <c r="B7" i="8"/>
  <c r="I172" i="14"/>
  <c r="I171" i="14"/>
  <c r="B170" i="14"/>
  <c r="B169" i="14"/>
  <c r="B171" i="14"/>
  <c r="B172" i="14"/>
  <c r="B185" i="14"/>
  <c r="B186" i="14"/>
  <c r="B124" i="14"/>
  <c r="B123" i="14"/>
  <c r="B125" i="14"/>
  <c r="B126" i="14"/>
  <c r="B140" i="14"/>
  <c r="B139" i="14"/>
  <c r="B144" i="14"/>
  <c r="B145" i="14"/>
  <c r="M22" i="8"/>
  <c r="M25" i="8"/>
  <c r="M26" i="8"/>
  <c r="M27" i="8"/>
  <c r="B65" i="14"/>
  <c r="B65" i="8"/>
  <c r="F18" i="8"/>
  <c r="F10" i="8"/>
  <c r="F16" i="8"/>
  <c r="F17" i="8"/>
  <c r="B9" i="8"/>
  <c r="B8" i="8"/>
  <c r="F4" i="8"/>
  <c r="F7" i="8"/>
  <c r="F2" i="8"/>
  <c r="B50" i="14"/>
  <c r="J108" i="10"/>
  <c r="K108" i="10"/>
  <c r="J107" i="10"/>
  <c r="K107" i="10"/>
  <c r="J106" i="10"/>
  <c r="K106" i="10"/>
  <c r="J105" i="10"/>
  <c r="K105" i="10"/>
  <c r="J104" i="10"/>
  <c r="K104" i="10"/>
  <c r="J103" i="10"/>
  <c r="K103" i="10"/>
  <c r="J102" i="10"/>
  <c r="K102" i="10"/>
  <c r="J101" i="10"/>
  <c r="K101" i="10"/>
  <c r="J100" i="10"/>
  <c r="K100" i="10"/>
  <c r="J99" i="10"/>
  <c r="K99" i="10"/>
  <c r="J98" i="10"/>
  <c r="K98" i="10"/>
  <c r="J97" i="10"/>
  <c r="K97" i="10"/>
  <c r="J96" i="10"/>
  <c r="K96" i="10"/>
  <c r="J95" i="10"/>
  <c r="K95" i="10"/>
  <c r="J94" i="10"/>
  <c r="K94" i="10"/>
  <c r="J93" i="10"/>
  <c r="K93" i="10"/>
  <c r="J92" i="10"/>
  <c r="K92" i="10"/>
  <c r="J91" i="10"/>
  <c r="K91" i="10"/>
  <c r="J90" i="10"/>
  <c r="K90" i="10"/>
  <c r="J89" i="10"/>
  <c r="K89" i="10"/>
  <c r="J88" i="10"/>
  <c r="K88" i="10"/>
  <c r="J87" i="10"/>
  <c r="K87" i="10"/>
  <c r="J86" i="10"/>
  <c r="K86" i="10"/>
  <c r="J85" i="10"/>
  <c r="K85" i="10"/>
  <c r="J84" i="10"/>
  <c r="K84" i="10"/>
  <c r="J83" i="10"/>
  <c r="K83" i="10"/>
  <c r="J82" i="10"/>
  <c r="K82" i="10"/>
  <c r="J81" i="10"/>
  <c r="K81" i="10"/>
  <c r="J80" i="10"/>
  <c r="K80" i="10"/>
  <c r="J79" i="10"/>
  <c r="K79" i="10"/>
  <c r="J78" i="10"/>
  <c r="K78" i="10"/>
  <c r="J77" i="10"/>
  <c r="K77" i="10"/>
  <c r="J76" i="10"/>
  <c r="K76" i="10"/>
  <c r="J75" i="10"/>
  <c r="K75" i="10"/>
  <c r="I71" i="10"/>
  <c r="I70" i="10"/>
  <c r="I69" i="10"/>
  <c r="I68" i="10"/>
  <c r="I67" i="10"/>
  <c r="I66" i="10"/>
  <c r="I65" i="10"/>
  <c r="I64" i="10"/>
  <c r="I63" i="10"/>
  <c r="I62" i="10"/>
  <c r="I61" i="10"/>
  <c r="I60" i="10"/>
  <c r="I59" i="10"/>
  <c r="I58" i="10"/>
  <c r="I57" i="10"/>
  <c r="I56" i="10"/>
  <c r="I55" i="10"/>
  <c r="I54" i="10"/>
  <c r="I53" i="10"/>
  <c r="I52" i="10"/>
  <c r="I51" i="10"/>
  <c r="I50" i="10"/>
  <c r="I49" i="10"/>
  <c r="I48" i="10"/>
  <c r="I47" i="10"/>
  <c r="I46" i="10"/>
  <c r="I45" i="10"/>
  <c r="I44" i="10"/>
  <c r="I43" i="10"/>
  <c r="W38" i="10"/>
  <c r="V38" i="10"/>
  <c r="S38" i="10"/>
  <c r="R38" i="10"/>
  <c r="N38" i="10"/>
  <c r="O38" i="10"/>
  <c r="P3" i="10"/>
  <c r="P38" i="10"/>
  <c r="J38" i="10"/>
  <c r="K38" i="10"/>
  <c r="L3" i="10"/>
  <c r="L38" i="10"/>
  <c r="F38" i="10"/>
  <c r="G38" i="10"/>
  <c r="H3" i="10"/>
  <c r="H38" i="10"/>
  <c r="C38" i="10"/>
  <c r="D3" i="10"/>
  <c r="D38" i="10"/>
  <c r="W37" i="10"/>
  <c r="V37" i="10"/>
  <c r="S37" i="10"/>
  <c r="R37" i="10"/>
  <c r="N37" i="10"/>
  <c r="O37" i="10"/>
  <c r="P37" i="10"/>
  <c r="J37" i="10"/>
  <c r="K37" i="10"/>
  <c r="L37" i="10"/>
  <c r="F37" i="10"/>
  <c r="G37" i="10"/>
  <c r="H37" i="10"/>
  <c r="C37" i="10"/>
  <c r="D37" i="10"/>
  <c r="W36" i="10"/>
  <c r="V36" i="10"/>
  <c r="S36" i="10"/>
  <c r="R36" i="10"/>
  <c r="N36" i="10"/>
  <c r="O36" i="10"/>
  <c r="P36" i="10"/>
  <c r="J36" i="10"/>
  <c r="K36" i="10"/>
  <c r="L36" i="10"/>
  <c r="F36" i="10"/>
  <c r="G36" i="10"/>
  <c r="H36" i="10"/>
  <c r="C36" i="10"/>
  <c r="D36" i="10"/>
  <c r="W35" i="10"/>
  <c r="V35" i="10"/>
  <c r="S35" i="10"/>
  <c r="R35" i="10"/>
  <c r="N35" i="10"/>
  <c r="O35" i="10"/>
  <c r="P35" i="10"/>
  <c r="J35" i="10"/>
  <c r="K35" i="10"/>
  <c r="L35" i="10"/>
  <c r="F35" i="10"/>
  <c r="G35" i="10"/>
  <c r="H35" i="10"/>
  <c r="C35" i="10"/>
  <c r="D35" i="10"/>
  <c r="W34" i="10"/>
  <c r="V34" i="10"/>
  <c r="S34" i="10"/>
  <c r="R34" i="10"/>
  <c r="N34" i="10"/>
  <c r="O34" i="10"/>
  <c r="P34" i="10"/>
  <c r="J34" i="10"/>
  <c r="K34" i="10"/>
  <c r="L34" i="10"/>
  <c r="F34" i="10"/>
  <c r="G34" i="10"/>
  <c r="H34" i="10"/>
  <c r="C34" i="10"/>
  <c r="D34" i="10"/>
  <c r="W33" i="10"/>
  <c r="V33" i="10"/>
  <c r="S33" i="10"/>
  <c r="R33" i="10"/>
  <c r="N33" i="10"/>
  <c r="O33" i="10"/>
  <c r="P33" i="10"/>
  <c r="J33" i="10"/>
  <c r="K33" i="10"/>
  <c r="L33" i="10"/>
  <c r="F33" i="10"/>
  <c r="G33" i="10"/>
  <c r="H33" i="10"/>
  <c r="C33" i="10"/>
  <c r="D33" i="10"/>
  <c r="W32" i="10"/>
  <c r="V32" i="10"/>
  <c r="S32" i="10"/>
  <c r="R32" i="10"/>
  <c r="N32" i="10"/>
  <c r="O32" i="10"/>
  <c r="P32" i="10"/>
  <c r="J32" i="10"/>
  <c r="K32" i="10"/>
  <c r="L32" i="10"/>
  <c r="F32" i="10"/>
  <c r="G32" i="10"/>
  <c r="H32" i="10"/>
  <c r="C32" i="10"/>
  <c r="D32" i="10"/>
  <c r="W31" i="10"/>
  <c r="V31" i="10"/>
  <c r="S31" i="10"/>
  <c r="R31" i="10"/>
  <c r="N31" i="10"/>
  <c r="O31" i="10"/>
  <c r="P31" i="10"/>
  <c r="J31" i="10"/>
  <c r="K31" i="10"/>
  <c r="L31" i="10"/>
  <c r="F31" i="10"/>
  <c r="G31" i="10"/>
  <c r="H31" i="10"/>
  <c r="C31" i="10"/>
  <c r="D31" i="10"/>
  <c r="W30" i="10"/>
  <c r="V30" i="10"/>
  <c r="S30" i="10"/>
  <c r="R30" i="10"/>
  <c r="N30" i="10"/>
  <c r="O30" i="10"/>
  <c r="P30" i="10"/>
  <c r="J30" i="10"/>
  <c r="K30" i="10"/>
  <c r="L30" i="10"/>
  <c r="F30" i="10"/>
  <c r="G30" i="10"/>
  <c r="H30" i="10"/>
  <c r="C30" i="10"/>
  <c r="D30" i="10"/>
  <c r="W29" i="10"/>
  <c r="V29" i="10"/>
  <c r="S29" i="10"/>
  <c r="R29" i="10"/>
  <c r="N29" i="10"/>
  <c r="O29" i="10"/>
  <c r="P29" i="10"/>
  <c r="J29" i="10"/>
  <c r="K29" i="10"/>
  <c r="L29" i="10"/>
  <c r="F29" i="10"/>
  <c r="G29" i="10"/>
  <c r="H29" i="10"/>
  <c r="C29" i="10"/>
  <c r="D29" i="10"/>
  <c r="W28" i="10"/>
  <c r="V28" i="10"/>
  <c r="S28" i="10"/>
  <c r="R28" i="10"/>
  <c r="N28" i="10"/>
  <c r="O28" i="10"/>
  <c r="P28" i="10"/>
  <c r="J28" i="10"/>
  <c r="K28" i="10"/>
  <c r="L28" i="10"/>
  <c r="F28" i="10"/>
  <c r="G28" i="10"/>
  <c r="H28" i="10"/>
  <c r="C28" i="10"/>
  <c r="D28" i="10"/>
  <c r="W27" i="10"/>
  <c r="V27" i="10"/>
  <c r="S27" i="10"/>
  <c r="R27" i="10"/>
  <c r="N27" i="10"/>
  <c r="O27" i="10"/>
  <c r="P27" i="10"/>
  <c r="J27" i="10"/>
  <c r="K27" i="10"/>
  <c r="L27" i="10"/>
  <c r="F27" i="10"/>
  <c r="G27" i="10"/>
  <c r="H27" i="10"/>
  <c r="C27" i="10"/>
  <c r="D27" i="10"/>
  <c r="W26" i="10"/>
  <c r="V26" i="10"/>
  <c r="S26" i="10"/>
  <c r="R26" i="10"/>
  <c r="N26" i="10"/>
  <c r="O26" i="10"/>
  <c r="P26" i="10"/>
  <c r="J26" i="10"/>
  <c r="K26" i="10"/>
  <c r="L26" i="10"/>
  <c r="F26" i="10"/>
  <c r="G26" i="10"/>
  <c r="H26" i="10"/>
  <c r="C26" i="10"/>
  <c r="D26" i="10"/>
  <c r="W25" i="10"/>
  <c r="V25" i="10"/>
  <c r="S25" i="10"/>
  <c r="R25" i="10"/>
  <c r="N25" i="10"/>
  <c r="O25" i="10"/>
  <c r="P25" i="10"/>
  <c r="J25" i="10"/>
  <c r="K25" i="10"/>
  <c r="L25" i="10"/>
  <c r="F25" i="10"/>
  <c r="G25" i="10"/>
  <c r="H25" i="10"/>
  <c r="C25" i="10"/>
  <c r="D25" i="10"/>
  <c r="W24" i="10"/>
  <c r="V24" i="10"/>
  <c r="S24" i="10"/>
  <c r="R24" i="10"/>
  <c r="N24" i="10"/>
  <c r="O24" i="10"/>
  <c r="P24" i="10"/>
  <c r="J24" i="10"/>
  <c r="K24" i="10"/>
  <c r="L24" i="10"/>
  <c r="F24" i="10"/>
  <c r="G24" i="10"/>
  <c r="H24" i="10"/>
  <c r="C24" i="10"/>
  <c r="D24" i="10"/>
  <c r="W23" i="10"/>
  <c r="V23" i="10"/>
  <c r="S23" i="10"/>
  <c r="R23" i="10"/>
  <c r="N23" i="10"/>
  <c r="O23" i="10"/>
  <c r="P23" i="10"/>
  <c r="J23" i="10"/>
  <c r="K23" i="10"/>
  <c r="L23" i="10"/>
  <c r="F23" i="10"/>
  <c r="G23" i="10"/>
  <c r="H23" i="10"/>
  <c r="C23" i="10"/>
  <c r="D23" i="10"/>
  <c r="W22" i="10"/>
  <c r="V22" i="10"/>
  <c r="S22" i="10"/>
  <c r="R22" i="10"/>
  <c r="N22" i="10"/>
  <c r="O22" i="10"/>
  <c r="P22" i="10"/>
  <c r="J22" i="10"/>
  <c r="K22" i="10"/>
  <c r="L22" i="10"/>
  <c r="F22" i="10"/>
  <c r="G22" i="10"/>
  <c r="H22" i="10"/>
  <c r="C22" i="10"/>
  <c r="D22" i="10"/>
  <c r="W21" i="10"/>
  <c r="V21" i="10"/>
  <c r="S21" i="10"/>
  <c r="R21" i="10"/>
  <c r="N21" i="10"/>
  <c r="O21" i="10"/>
  <c r="P21" i="10"/>
  <c r="J21" i="10"/>
  <c r="K21" i="10"/>
  <c r="L21" i="10"/>
  <c r="F21" i="10"/>
  <c r="G21" i="10"/>
  <c r="H21" i="10"/>
  <c r="C21" i="10"/>
  <c r="D21" i="10"/>
  <c r="W20" i="10"/>
  <c r="V20" i="10"/>
  <c r="S20" i="10"/>
  <c r="R20" i="10"/>
  <c r="N20" i="10"/>
  <c r="O20" i="10"/>
  <c r="P20" i="10"/>
  <c r="J20" i="10"/>
  <c r="K20" i="10"/>
  <c r="L20" i="10"/>
  <c r="F20" i="10"/>
  <c r="G20" i="10"/>
  <c r="H20" i="10"/>
  <c r="C20" i="10"/>
  <c r="D20" i="10"/>
  <c r="W19" i="10"/>
  <c r="V19" i="10"/>
  <c r="S19" i="10"/>
  <c r="R19" i="10"/>
  <c r="N19" i="10"/>
  <c r="O19" i="10"/>
  <c r="P19" i="10"/>
  <c r="J19" i="10"/>
  <c r="K19" i="10"/>
  <c r="L19" i="10"/>
  <c r="F19" i="10"/>
  <c r="G19" i="10"/>
  <c r="H19" i="10"/>
  <c r="C19" i="10"/>
  <c r="D19" i="10"/>
  <c r="W18" i="10"/>
  <c r="V18" i="10"/>
  <c r="S18" i="10"/>
  <c r="R18" i="10"/>
  <c r="N18" i="10"/>
  <c r="O18" i="10"/>
  <c r="P18" i="10"/>
  <c r="J18" i="10"/>
  <c r="K18" i="10"/>
  <c r="L18" i="10"/>
  <c r="F18" i="10"/>
  <c r="G18" i="10"/>
  <c r="H18" i="10"/>
  <c r="C18" i="10"/>
  <c r="D18" i="10"/>
  <c r="W17" i="10"/>
  <c r="V17" i="10"/>
  <c r="S17" i="10"/>
  <c r="R17" i="10"/>
  <c r="N17" i="10"/>
  <c r="O17" i="10"/>
  <c r="P17" i="10"/>
  <c r="J17" i="10"/>
  <c r="K17" i="10"/>
  <c r="L17" i="10"/>
  <c r="F17" i="10"/>
  <c r="G17" i="10"/>
  <c r="H17" i="10"/>
  <c r="C17" i="10"/>
  <c r="D17" i="10"/>
  <c r="W16" i="10"/>
  <c r="V16" i="10"/>
  <c r="S16" i="10"/>
  <c r="R16" i="10"/>
  <c r="N16" i="10"/>
  <c r="O16" i="10"/>
  <c r="P16" i="10"/>
  <c r="J16" i="10"/>
  <c r="K16" i="10"/>
  <c r="L16" i="10"/>
  <c r="F16" i="10"/>
  <c r="G16" i="10"/>
  <c r="H16" i="10"/>
  <c r="C16" i="10"/>
  <c r="D16" i="10"/>
  <c r="W15" i="10"/>
  <c r="V15" i="10"/>
  <c r="S15" i="10"/>
  <c r="R15" i="10"/>
  <c r="N15" i="10"/>
  <c r="O15" i="10"/>
  <c r="P15" i="10"/>
  <c r="J15" i="10"/>
  <c r="K15" i="10"/>
  <c r="L15" i="10"/>
  <c r="F15" i="10"/>
  <c r="G15" i="10"/>
  <c r="H15" i="10"/>
  <c r="C15" i="10"/>
  <c r="D15" i="10"/>
  <c r="W14" i="10"/>
  <c r="V14" i="10"/>
  <c r="S14" i="10"/>
  <c r="R14" i="10"/>
  <c r="N14" i="10"/>
  <c r="O14" i="10"/>
  <c r="P14" i="10"/>
  <c r="J14" i="10"/>
  <c r="K14" i="10"/>
  <c r="L14" i="10"/>
  <c r="F14" i="10"/>
  <c r="G14" i="10"/>
  <c r="H14" i="10"/>
  <c r="C14" i="10"/>
  <c r="D14" i="10"/>
  <c r="W13" i="10"/>
  <c r="V13" i="10"/>
  <c r="S13" i="10"/>
  <c r="R13" i="10"/>
  <c r="N13" i="10"/>
  <c r="O13" i="10"/>
  <c r="P13" i="10"/>
  <c r="J13" i="10"/>
  <c r="K13" i="10"/>
  <c r="L13" i="10"/>
  <c r="F13" i="10"/>
  <c r="G13" i="10"/>
  <c r="H13" i="10"/>
  <c r="C13" i="10"/>
  <c r="D13" i="10"/>
  <c r="W12" i="10"/>
  <c r="V12" i="10"/>
  <c r="S12" i="10"/>
  <c r="R12" i="10"/>
  <c r="N12" i="10"/>
  <c r="O12" i="10"/>
  <c r="P12" i="10"/>
  <c r="J12" i="10"/>
  <c r="K12" i="10"/>
  <c r="L12" i="10"/>
  <c r="F12" i="10"/>
  <c r="G12" i="10"/>
  <c r="H12" i="10"/>
  <c r="C12" i="10"/>
  <c r="D12" i="10"/>
  <c r="W11" i="10"/>
  <c r="V11" i="10"/>
  <c r="S11" i="10"/>
  <c r="R11" i="10"/>
  <c r="N11" i="10"/>
  <c r="O11" i="10"/>
  <c r="P11" i="10"/>
  <c r="J11" i="10"/>
  <c r="K11" i="10"/>
  <c r="L11" i="10"/>
  <c r="F11" i="10"/>
  <c r="G11" i="10"/>
  <c r="H11" i="10"/>
  <c r="C11" i="10"/>
  <c r="D11" i="10"/>
  <c r="W10" i="10"/>
  <c r="V10" i="10"/>
  <c r="S10" i="10"/>
  <c r="R10" i="10"/>
  <c r="N10" i="10"/>
  <c r="O10" i="10"/>
  <c r="P10" i="10"/>
  <c r="J10" i="10"/>
  <c r="K10" i="10"/>
  <c r="L10" i="10"/>
  <c r="F10" i="10"/>
  <c r="G10" i="10"/>
  <c r="H10" i="10"/>
  <c r="C10" i="10"/>
  <c r="D10" i="10"/>
  <c r="W9" i="10"/>
  <c r="V9" i="10"/>
  <c r="S9" i="10"/>
  <c r="R9" i="10"/>
  <c r="N9" i="10"/>
  <c r="O9" i="10"/>
  <c r="P9" i="10"/>
  <c r="J9" i="10"/>
  <c r="K9" i="10"/>
  <c r="L9" i="10"/>
  <c r="F9" i="10"/>
  <c r="G9" i="10"/>
  <c r="H9" i="10"/>
  <c r="C9" i="10"/>
  <c r="D9" i="10"/>
  <c r="W8" i="10"/>
  <c r="V8" i="10"/>
  <c r="S8" i="10"/>
  <c r="R8" i="10"/>
  <c r="N8" i="10"/>
  <c r="O8" i="10"/>
  <c r="P8" i="10"/>
  <c r="J8" i="10"/>
  <c r="K8" i="10"/>
  <c r="L8" i="10"/>
  <c r="F8" i="10"/>
  <c r="G8" i="10"/>
  <c r="H8" i="10"/>
  <c r="C8" i="10"/>
  <c r="D8" i="10"/>
  <c r="W7" i="10"/>
  <c r="V7" i="10"/>
  <c r="S7" i="10"/>
  <c r="R7" i="10"/>
  <c r="N7" i="10"/>
  <c r="O7" i="10"/>
  <c r="P7" i="10"/>
  <c r="J7" i="10"/>
  <c r="K7" i="10"/>
  <c r="L7" i="10"/>
  <c r="F7" i="10"/>
  <c r="G7" i="10"/>
  <c r="H7" i="10"/>
  <c r="C7" i="10"/>
  <c r="D7" i="10"/>
  <c r="W6" i="10"/>
  <c r="V6" i="10"/>
  <c r="S6" i="10"/>
  <c r="R6" i="10"/>
  <c r="N6" i="10"/>
  <c r="O6" i="10"/>
  <c r="P6" i="10"/>
  <c r="J6" i="10"/>
  <c r="K6" i="10"/>
  <c r="L6" i="10"/>
  <c r="F6" i="10"/>
  <c r="G6" i="10"/>
  <c r="H6" i="10"/>
  <c r="C6" i="10"/>
  <c r="D6" i="10"/>
  <c r="W5" i="10"/>
  <c r="V5" i="10"/>
  <c r="S5" i="10"/>
  <c r="R5" i="10"/>
  <c r="N5" i="10"/>
  <c r="O5" i="10"/>
  <c r="P5" i="10"/>
  <c r="J5" i="10"/>
  <c r="K5" i="10"/>
  <c r="L5" i="10"/>
  <c r="F5" i="10"/>
  <c r="G5" i="10"/>
  <c r="H5" i="10"/>
  <c r="C5" i="10"/>
  <c r="D5" i="10"/>
  <c r="B1" i="12"/>
  <c r="O40" i="12"/>
  <c r="O39" i="12"/>
  <c r="O38" i="12"/>
  <c r="O37" i="12"/>
  <c r="O36" i="12"/>
  <c r="O35" i="12"/>
  <c r="O34" i="12"/>
  <c r="O33" i="12"/>
  <c r="O32" i="12"/>
  <c r="O31" i="12"/>
  <c r="O30" i="12"/>
  <c r="O29" i="12"/>
  <c r="O28" i="12"/>
  <c r="O27" i="12"/>
  <c r="O26" i="12"/>
  <c r="O25" i="12"/>
  <c r="O24" i="12"/>
  <c r="O23" i="12"/>
  <c r="O22" i="12"/>
  <c r="O21" i="12"/>
  <c r="O20" i="12"/>
  <c r="O19" i="12"/>
  <c r="O18" i="12"/>
  <c r="O17" i="12"/>
  <c r="O16" i="12"/>
  <c r="O15" i="12"/>
  <c r="O14" i="12"/>
  <c r="O13" i="12"/>
  <c r="O12" i="12"/>
  <c r="O11" i="12"/>
  <c r="O10" i="12"/>
  <c r="O9" i="12"/>
  <c r="O8" i="12"/>
  <c r="O7" i="12"/>
  <c r="K40" i="12"/>
  <c r="K39" i="12"/>
  <c r="K38" i="12"/>
  <c r="K37" i="12"/>
  <c r="K36" i="12"/>
  <c r="K35" i="12"/>
  <c r="K34" i="12"/>
  <c r="K33" i="12"/>
  <c r="K32" i="12"/>
  <c r="K31" i="12"/>
  <c r="K30" i="12"/>
  <c r="K29" i="12"/>
  <c r="K28" i="12"/>
  <c r="K27" i="12"/>
  <c r="K26" i="12"/>
  <c r="K25" i="12"/>
  <c r="K24" i="12"/>
  <c r="K23" i="12"/>
  <c r="K22" i="12"/>
  <c r="K21" i="12"/>
  <c r="K20" i="12"/>
  <c r="K19" i="12"/>
  <c r="K18" i="12"/>
  <c r="K17" i="12"/>
  <c r="K16" i="12"/>
  <c r="K15" i="12"/>
  <c r="K14" i="12"/>
  <c r="K13" i="12"/>
  <c r="K12" i="12"/>
  <c r="K11" i="12"/>
  <c r="K10" i="12"/>
  <c r="K9" i="12"/>
  <c r="K8" i="12"/>
  <c r="K7" i="12"/>
  <c r="B40" i="12"/>
  <c r="B39" i="12"/>
  <c r="B38" i="12"/>
  <c r="B37" i="12"/>
  <c r="B36" i="12"/>
  <c r="B35" i="12"/>
  <c r="B34" i="12"/>
  <c r="B33" i="12"/>
  <c r="B32" i="12"/>
  <c r="B31" i="12"/>
  <c r="B30" i="12"/>
  <c r="B29" i="12"/>
  <c r="B28" i="12"/>
  <c r="B27" i="12"/>
  <c r="B26" i="12"/>
  <c r="B25" i="12"/>
  <c r="B24" i="12"/>
  <c r="B23" i="12"/>
  <c r="B22" i="12"/>
  <c r="B21" i="12"/>
  <c r="B20" i="12"/>
  <c r="B19" i="12"/>
  <c r="B18" i="12"/>
  <c r="B17" i="12"/>
  <c r="B16" i="12"/>
  <c r="B15" i="12"/>
  <c r="B14" i="12"/>
  <c r="B13" i="12"/>
  <c r="B12" i="12"/>
  <c r="B11" i="12"/>
  <c r="B10" i="12"/>
  <c r="B9" i="12"/>
  <c r="B8" i="12"/>
  <c r="B7" i="12"/>
  <c r="X3" i="10"/>
  <c r="X6" i="10"/>
  <c r="E8" i="12"/>
  <c r="B2" i="12"/>
  <c r="F8" i="12"/>
  <c r="X7" i="10"/>
  <c r="E9" i="12"/>
  <c r="F9" i="12"/>
  <c r="X8" i="10"/>
  <c r="E10" i="12"/>
  <c r="F10" i="12"/>
  <c r="X9" i="10"/>
  <c r="E11" i="12"/>
  <c r="F11" i="12"/>
  <c r="X10" i="10"/>
  <c r="E12" i="12"/>
  <c r="F12" i="12"/>
  <c r="X11" i="10"/>
  <c r="E13" i="12"/>
  <c r="F13" i="12"/>
  <c r="X12" i="10"/>
  <c r="E14" i="12"/>
  <c r="F14" i="12"/>
  <c r="X13" i="10"/>
  <c r="E15" i="12"/>
  <c r="F15" i="12"/>
  <c r="X14" i="10"/>
  <c r="E16" i="12"/>
  <c r="F16" i="12"/>
  <c r="X15" i="10"/>
  <c r="E17" i="12"/>
  <c r="F17" i="12"/>
  <c r="X16" i="10"/>
  <c r="E18" i="12"/>
  <c r="F18" i="12"/>
  <c r="X17" i="10"/>
  <c r="E19" i="12"/>
  <c r="F19" i="12"/>
  <c r="X18" i="10"/>
  <c r="E20" i="12"/>
  <c r="F20" i="12"/>
  <c r="X19" i="10"/>
  <c r="E21" i="12"/>
  <c r="F21" i="12"/>
  <c r="X20" i="10"/>
  <c r="E22" i="12"/>
  <c r="F22" i="12"/>
  <c r="X21" i="10"/>
  <c r="E23" i="12"/>
  <c r="F23" i="12"/>
  <c r="X22" i="10"/>
  <c r="E24" i="12"/>
  <c r="F24" i="12"/>
  <c r="X23" i="10"/>
  <c r="E25" i="12"/>
  <c r="F25" i="12"/>
  <c r="X24" i="10"/>
  <c r="E26" i="12"/>
  <c r="F26" i="12"/>
  <c r="X25" i="10"/>
  <c r="E27" i="12"/>
  <c r="F27" i="12"/>
  <c r="X26" i="10"/>
  <c r="E28" i="12"/>
  <c r="F28" i="12"/>
  <c r="X27" i="10"/>
  <c r="E29" i="12"/>
  <c r="F29" i="12"/>
  <c r="X28" i="10"/>
  <c r="E30" i="12"/>
  <c r="F30" i="12"/>
  <c r="X29" i="10"/>
  <c r="E31" i="12"/>
  <c r="F31" i="12"/>
  <c r="X30" i="10"/>
  <c r="E32" i="12"/>
  <c r="F32" i="12"/>
  <c r="X31" i="10"/>
  <c r="E33" i="12"/>
  <c r="F33" i="12"/>
  <c r="X32" i="10"/>
  <c r="E34" i="12"/>
  <c r="F34" i="12"/>
  <c r="X33" i="10"/>
  <c r="E35" i="12"/>
  <c r="F35" i="12"/>
  <c r="X34" i="10"/>
  <c r="E36" i="12"/>
  <c r="F36" i="12"/>
  <c r="X35" i="10"/>
  <c r="E37" i="12"/>
  <c r="F37" i="12"/>
  <c r="X36" i="10"/>
  <c r="E38" i="12"/>
  <c r="F38" i="12"/>
  <c r="X37" i="10"/>
  <c r="E39" i="12"/>
  <c r="F39" i="12"/>
  <c r="X38" i="10"/>
  <c r="E40" i="12"/>
  <c r="F40" i="12"/>
  <c r="X5" i="10"/>
  <c r="E7" i="12"/>
  <c r="F7" i="12"/>
  <c r="B20" i="2"/>
  <c r="B36" i="2"/>
  <c r="B9" i="5"/>
  <c r="AD8" i="12"/>
  <c r="AD9" i="12"/>
  <c r="AD10" i="12"/>
  <c r="AD11" i="12"/>
  <c r="AD12" i="12"/>
  <c r="AD13" i="12"/>
  <c r="AD14" i="12"/>
  <c r="AD15" i="12"/>
  <c r="AD16" i="12"/>
  <c r="AD17" i="12"/>
  <c r="AD18" i="12"/>
  <c r="AD19" i="12"/>
  <c r="AD20" i="12"/>
  <c r="AD21" i="12"/>
  <c r="AD22" i="12"/>
  <c r="AD23" i="12"/>
  <c r="AD24" i="12"/>
  <c r="AD25" i="12"/>
  <c r="AD26" i="12"/>
  <c r="AD27" i="12"/>
  <c r="AD28" i="12"/>
  <c r="AD29" i="12"/>
  <c r="AD30" i="12"/>
  <c r="AD31" i="12"/>
  <c r="AD32" i="12"/>
  <c r="AD33" i="12"/>
  <c r="AD34" i="12"/>
  <c r="AD35" i="12"/>
  <c r="AD36" i="12"/>
  <c r="AD37" i="12"/>
  <c r="AD38" i="12"/>
  <c r="AD39" i="12"/>
  <c r="AD40" i="12"/>
  <c r="AD7" i="12"/>
  <c r="G8" i="12"/>
  <c r="I8" i="12"/>
  <c r="J8" i="12"/>
  <c r="S8" i="12"/>
  <c r="W8" i="12"/>
  <c r="G9" i="12"/>
  <c r="I9" i="12"/>
  <c r="J9" i="12"/>
  <c r="S9" i="12"/>
  <c r="W9" i="12"/>
  <c r="G10" i="12"/>
  <c r="I10" i="12"/>
  <c r="J10" i="12"/>
  <c r="S10" i="12"/>
  <c r="W10" i="12"/>
  <c r="G11" i="12"/>
  <c r="I11" i="12"/>
  <c r="J11" i="12"/>
  <c r="S11" i="12"/>
  <c r="W11" i="12"/>
  <c r="G12" i="12"/>
  <c r="I12" i="12"/>
  <c r="J12" i="12"/>
  <c r="S12" i="12"/>
  <c r="W12" i="12"/>
  <c r="G13" i="12"/>
  <c r="I13" i="12"/>
  <c r="J13" i="12"/>
  <c r="S13" i="12"/>
  <c r="W13" i="12"/>
  <c r="G14" i="12"/>
  <c r="I14" i="12"/>
  <c r="J14" i="12"/>
  <c r="S14" i="12"/>
  <c r="W14" i="12"/>
  <c r="G15" i="12"/>
  <c r="I15" i="12"/>
  <c r="J15" i="12"/>
  <c r="S15" i="12"/>
  <c r="W15" i="12"/>
  <c r="G16" i="12"/>
  <c r="I16" i="12"/>
  <c r="J16" i="12"/>
  <c r="S16" i="12"/>
  <c r="W16" i="12"/>
  <c r="G17" i="12"/>
  <c r="I17" i="12"/>
  <c r="J17" i="12"/>
  <c r="S17" i="12"/>
  <c r="W17" i="12"/>
  <c r="G18" i="12"/>
  <c r="I18" i="12"/>
  <c r="J18" i="12"/>
  <c r="S18" i="12"/>
  <c r="W18" i="12"/>
  <c r="G19" i="12"/>
  <c r="I19" i="12"/>
  <c r="J19" i="12"/>
  <c r="S19" i="12"/>
  <c r="W19" i="12"/>
  <c r="G20" i="12"/>
  <c r="I20" i="12"/>
  <c r="J20" i="12"/>
  <c r="S20" i="12"/>
  <c r="W20" i="12"/>
  <c r="G21" i="12"/>
  <c r="I21" i="12"/>
  <c r="J21" i="12"/>
  <c r="S21" i="12"/>
  <c r="W21" i="12"/>
  <c r="G22" i="12"/>
  <c r="I22" i="12"/>
  <c r="J22" i="12"/>
  <c r="S22" i="12"/>
  <c r="W22" i="12"/>
  <c r="G23" i="12"/>
  <c r="I23" i="12"/>
  <c r="J23" i="12"/>
  <c r="S23" i="12"/>
  <c r="W23" i="12"/>
  <c r="G24" i="12"/>
  <c r="I24" i="12"/>
  <c r="J24" i="12"/>
  <c r="S24" i="12"/>
  <c r="W24" i="12"/>
  <c r="G25" i="12"/>
  <c r="I25" i="12"/>
  <c r="J25" i="12"/>
  <c r="S25" i="12"/>
  <c r="W25" i="12"/>
  <c r="G26" i="12"/>
  <c r="I26" i="12"/>
  <c r="J26" i="12"/>
  <c r="S26" i="12"/>
  <c r="W26" i="12"/>
  <c r="G27" i="12"/>
  <c r="I27" i="12"/>
  <c r="J27" i="12"/>
  <c r="S27" i="12"/>
  <c r="W27" i="12"/>
  <c r="G28" i="12"/>
  <c r="I28" i="12"/>
  <c r="J28" i="12"/>
  <c r="S28" i="12"/>
  <c r="W28" i="12"/>
  <c r="G29" i="12"/>
  <c r="I29" i="12"/>
  <c r="J29" i="12"/>
  <c r="S29" i="12"/>
  <c r="W29" i="12"/>
  <c r="G30" i="12"/>
  <c r="I30" i="12"/>
  <c r="J30" i="12"/>
  <c r="S30" i="12"/>
  <c r="W30" i="12"/>
  <c r="G31" i="12"/>
  <c r="I31" i="12"/>
  <c r="J31" i="12"/>
  <c r="S31" i="12"/>
  <c r="W31" i="12"/>
  <c r="G32" i="12"/>
  <c r="I32" i="12"/>
  <c r="J32" i="12"/>
  <c r="S32" i="12"/>
  <c r="W32" i="12"/>
  <c r="G33" i="12"/>
  <c r="I33" i="12"/>
  <c r="J33" i="12"/>
  <c r="S33" i="12"/>
  <c r="W33" i="12"/>
  <c r="G34" i="12"/>
  <c r="I34" i="12"/>
  <c r="J34" i="12"/>
  <c r="S34" i="12"/>
  <c r="W34" i="12"/>
  <c r="G35" i="12"/>
  <c r="I35" i="12"/>
  <c r="J35" i="12"/>
  <c r="S35" i="12"/>
  <c r="W35" i="12"/>
  <c r="G36" i="12"/>
  <c r="I36" i="12"/>
  <c r="J36" i="12"/>
  <c r="S36" i="12"/>
  <c r="W36" i="12"/>
  <c r="G37" i="12"/>
  <c r="I37" i="12"/>
  <c r="J37" i="12"/>
  <c r="S37" i="12"/>
  <c r="W37" i="12"/>
  <c r="G38" i="12"/>
  <c r="I38" i="12"/>
  <c r="J38" i="12"/>
  <c r="S38" i="12"/>
  <c r="W38" i="12"/>
  <c r="G39" i="12"/>
  <c r="I39" i="12"/>
  <c r="J39" i="12"/>
  <c r="S39" i="12"/>
  <c r="W39" i="12"/>
  <c r="G40" i="12"/>
  <c r="I40" i="12"/>
  <c r="J40" i="12"/>
  <c r="S40" i="12"/>
  <c r="W40" i="12"/>
  <c r="G7" i="12"/>
  <c r="I7" i="12"/>
  <c r="J7" i="12"/>
  <c r="S7" i="12"/>
  <c r="W7" i="12"/>
  <c r="P8" i="12"/>
  <c r="T8" i="12"/>
  <c r="P9" i="12"/>
  <c r="T9" i="12"/>
  <c r="P10" i="12"/>
  <c r="T10" i="12"/>
  <c r="P11" i="12"/>
  <c r="T11" i="12"/>
  <c r="P12" i="12"/>
  <c r="T12" i="12"/>
  <c r="P13" i="12"/>
  <c r="T13" i="12"/>
  <c r="P14" i="12"/>
  <c r="T14" i="12"/>
  <c r="P15" i="12"/>
  <c r="T15" i="12"/>
  <c r="P16" i="12"/>
  <c r="T16" i="12"/>
  <c r="P17" i="12"/>
  <c r="T17" i="12"/>
  <c r="P18" i="12"/>
  <c r="T18" i="12"/>
  <c r="P19" i="12"/>
  <c r="T19" i="12"/>
  <c r="P20" i="12"/>
  <c r="T20" i="12"/>
  <c r="P21" i="12"/>
  <c r="T21" i="12"/>
  <c r="P22" i="12"/>
  <c r="T22" i="12"/>
  <c r="P23" i="12"/>
  <c r="T23" i="12"/>
  <c r="P24" i="12"/>
  <c r="T24" i="12"/>
  <c r="P25" i="12"/>
  <c r="T25" i="12"/>
  <c r="P26" i="12"/>
  <c r="T26" i="12"/>
  <c r="P27" i="12"/>
  <c r="T27" i="12"/>
  <c r="P28" i="12"/>
  <c r="T28" i="12"/>
  <c r="P29" i="12"/>
  <c r="T29" i="12"/>
  <c r="P30" i="12"/>
  <c r="T30" i="12"/>
  <c r="P31" i="12"/>
  <c r="T31" i="12"/>
  <c r="P32" i="12"/>
  <c r="T32" i="12"/>
  <c r="P33" i="12"/>
  <c r="T33" i="12"/>
  <c r="P34" i="12"/>
  <c r="T34" i="12"/>
  <c r="P35" i="12"/>
  <c r="T35" i="12"/>
  <c r="P36" i="12"/>
  <c r="T36" i="12"/>
  <c r="P37" i="12"/>
  <c r="T37" i="12"/>
  <c r="P38" i="12"/>
  <c r="T38" i="12"/>
  <c r="P39" i="12"/>
  <c r="T39" i="12"/>
  <c r="P40" i="12"/>
  <c r="T40" i="12"/>
  <c r="P7" i="12"/>
  <c r="T7" i="12"/>
  <c r="B4" i="12"/>
  <c r="L104" i="10"/>
  <c r="M104" i="10"/>
  <c r="L105" i="10"/>
  <c r="M105" i="10"/>
  <c r="L106" i="10"/>
  <c r="M106" i="10"/>
  <c r="L107" i="10"/>
  <c r="M107" i="10"/>
  <c r="L108" i="10"/>
  <c r="M108" i="10"/>
  <c r="T3" i="10"/>
  <c r="L103" i="10"/>
  <c r="M103" i="10"/>
  <c r="L76" i="10"/>
  <c r="M76" i="10"/>
  <c r="L77" i="10"/>
  <c r="M77" i="10"/>
  <c r="L78" i="10"/>
  <c r="M78" i="10"/>
  <c r="L79" i="10"/>
  <c r="M79" i="10"/>
  <c r="L80" i="10"/>
  <c r="M80" i="10"/>
  <c r="L81" i="10"/>
  <c r="M81" i="10"/>
  <c r="L82" i="10"/>
  <c r="M82" i="10"/>
  <c r="L83" i="10"/>
  <c r="M83" i="10"/>
  <c r="L84" i="10"/>
  <c r="M84" i="10"/>
  <c r="L85" i="10"/>
  <c r="M85" i="10"/>
  <c r="L86" i="10"/>
  <c r="M86" i="10"/>
  <c r="L87" i="10"/>
  <c r="M87" i="10"/>
  <c r="L88" i="10"/>
  <c r="M88" i="10"/>
  <c r="L89" i="10"/>
  <c r="M89" i="10"/>
  <c r="L90" i="10"/>
  <c r="M90" i="10"/>
  <c r="L91" i="10"/>
  <c r="M91" i="10"/>
  <c r="L92" i="10"/>
  <c r="M92" i="10"/>
  <c r="L93" i="10"/>
  <c r="M93" i="10"/>
  <c r="L94" i="10"/>
  <c r="M94" i="10"/>
  <c r="L95" i="10"/>
  <c r="M95" i="10"/>
  <c r="L96" i="10"/>
  <c r="M96" i="10"/>
  <c r="L97" i="10"/>
  <c r="M97" i="10"/>
  <c r="L98" i="10"/>
  <c r="M98" i="10"/>
  <c r="L99" i="10"/>
  <c r="M99" i="10"/>
  <c r="L100" i="10"/>
  <c r="M100" i="10"/>
  <c r="L101" i="10"/>
  <c r="M101" i="10"/>
  <c r="L102" i="10"/>
  <c r="M102" i="10"/>
  <c r="L75" i="10"/>
  <c r="M75" i="10"/>
  <c r="L44" i="10"/>
  <c r="L45" i="10"/>
  <c r="L46" i="10"/>
  <c r="L47" i="10"/>
  <c r="L48" i="10"/>
  <c r="L49" i="10"/>
  <c r="L50" i="10"/>
  <c r="L51" i="10"/>
  <c r="L52" i="10"/>
  <c r="L53" i="10"/>
  <c r="L54" i="10"/>
  <c r="L55" i="10"/>
  <c r="L56" i="10"/>
  <c r="L57" i="10"/>
  <c r="L58" i="10"/>
  <c r="L59" i="10"/>
  <c r="L60" i="10"/>
  <c r="L61" i="10"/>
  <c r="L62" i="10"/>
  <c r="L63" i="10"/>
  <c r="L64" i="10"/>
  <c r="L65" i="10"/>
  <c r="L66" i="10"/>
  <c r="L67" i="10"/>
  <c r="L68" i="10"/>
  <c r="L69" i="10"/>
  <c r="L70" i="10"/>
  <c r="L71" i="10"/>
  <c r="L43" i="10"/>
  <c r="J4" i="1"/>
  <c r="B18" i="1"/>
  <c r="B16" i="1"/>
  <c r="J7" i="1"/>
  <c r="B17" i="1"/>
  <c r="B20" i="1"/>
  <c r="H16" i="12"/>
  <c r="H21" i="12"/>
  <c r="H34" i="12"/>
  <c r="H18" i="12"/>
  <c r="H37" i="12"/>
  <c r="H36" i="12"/>
  <c r="H10" i="12"/>
  <c r="H26" i="12"/>
  <c r="H29" i="12"/>
  <c r="H13" i="12"/>
  <c r="H40" i="12"/>
  <c r="H7" i="12"/>
  <c r="H33" i="12"/>
  <c r="H25" i="12"/>
  <c r="H17" i="12"/>
  <c r="H9" i="12"/>
  <c r="H20" i="12"/>
  <c r="H24" i="12"/>
  <c r="H8" i="12"/>
  <c r="H14" i="12"/>
  <c r="H22" i="12"/>
  <c r="H30" i="12"/>
  <c r="H38" i="12"/>
  <c r="H39" i="12"/>
  <c r="H35" i="12"/>
  <c r="H31" i="12"/>
  <c r="H27" i="12"/>
  <c r="H23" i="12"/>
  <c r="H19" i="12"/>
  <c r="H15" i="12"/>
  <c r="H11" i="12"/>
  <c r="H28" i="12"/>
  <c r="H12" i="12"/>
  <c r="H32" i="12"/>
  <c r="T23" i="10"/>
  <c r="T5" i="10"/>
  <c r="T7" i="10"/>
  <c r="R33" i="12"/>
  <c r="R17" i="12"/>
  <c r="T32" i="10"/>
  <c r="T16" i="10"/>
  <c r="R32" i="12"/>
  <c r="R16" i="12"/>
  <c r="T33" i="10"/>
  <c r="T17" i="10"/>
  <c r="R31" i="12"/>
  <c r="R15" i="12"/>
  <c r="T26" i="10"/>
  <c r="T10" i="10"/>
  <c r="R30" i="12"/>
  <c r="R14" i="12"/>
  <c r="T31" i="10"/>
  <c r="T15" i="10"/>
  <c r="R7" i="12"/>
  <c r="R25" i="12"/>
  <c r="R9" i="12"/>
  <c r="T24" i="10"/>
  <c r="T8" i="10"/>
  <c r="R40" i="12"/>
  <c r="R24" i="12"/>
  <c r="R8" i="12"/>
  <c r="T25" i="10"/>
  <c r="T9" i="10"/>
  <c r="R39" i="12"/>
  <c r="R23" i="12"/>
  <c r="T34" i="10"/>
  <c r="T18" i="10"/>
  <c r="R38" i="12"/>
  <c r="R22" i="12"/>
  <c r="T35" i="10"/>
  <c r="T27" i="10"/>
  <c r="T19" i="10"/>
  <c r="T11" i="10"/>
  <c r="T6" i="10"/>
  <c r="R37" i="12"/>
  <c r="R29" i="12"/>
  <c r="R21" i="12"/>
  <c r="R13" i="12"/>
  <c r="T36" i="10"/>
  <c r="T28" i="10"/>
  <c r="T20" i="10"/>
  <c r="T12" i="10"/>
  <c r="R36" i="12"/>
  <c r="R28" i="12"/>
  <c r="R20" i="12"/>
  <c r="R12" i="12"/>
  <c r="T37" i="10"/>
  <c r="T29" i="10"/>
  <c r="T21" i="10"/>
  <c r="T13" i="10"/>
  <c r="R35" i="12"/>
  <c r="R27" i="12"/>
  <c r="R19" i="12"/>
  <c r="R11" i="12"/>
  <c r="T38" i="10"/>
  <c r="T30" i="10"/>
  <c r="T22" i="10"/>
  <c r="T14" i="10"/>
  <c r="R34" i="12"/>
  <c r="R26" i="12"/>
  <c r="R18" i="12"/>
  <c r="R10" i="12"/>
  <c r="L9" i="12"/>
  <c r="L13" i="12"/>
  <c r="L17" i="12"/>
  <c r="L21" i="12"/>
  <c r="L25" i="12"/>
  <c r="L29" i="12"/>
  <c r="L33" i="12"/>
  <c r="L37" i="12"/>
  <c r="L7" i="12"/>
  <c r="L10" i="12"/>
  <c r="L14" i="12"/>
  <c r="L18" i="12"/>
  <c r="L22" i="12"/>
  <c r="L26" i="12"/>
  <c r="L30" i="12"/>
  <c r="L34" i="12"/>
  <c r="L38" i="12"/>
  <c r="L15" i="12"/>
  <c r="L23" i="12"/>
  <c r="L31" i="12"/>
  <c r="L39" i="12"/>
  <c r="L12" i="12"/>
  <c r="L20" i="12"/>
  <c r="L28" i="12"/>
  <c r="L36" i="12"/>
  <c r="L11" i="12"/>
  <c r="L19" i="12"/>
  <c r="L27" i="12"/>
  <c r="L35" i="12"/>
  <c r="L8" i="12"/>
  <c r="L16" i="12"/>
  <c r="L24" i="12"/>
  <c r="L32" i="12"/>
  <c r="L40" i="12"/>
  <c r="C8" i="12"/>
  <c r="D8" i="12"/>
  <c r="C9" i="12"/>
  <c r="D9" i="12"/>
  <c r="C10" i="12"/>
  <c r="D10" i="12"/>
  <c r="C11" i="12"/>
  <c r="D11" i="12"/>
  <c r="C12" i="12"/>
  <c r="D12" i="12"/>
  <c r="C13" i="12"/>
  <c r="D13" i="12"/>
  <c r="C14" i="12"/>
  <c r="D14" i="12"/>
  <c r="C15" i="12"/>
  <c r="D15" i="12"/>
  <c r="C16" i="12"/>
  <c r="D16" i="12"/>
  <c r="C17" i="12"/>
  <c r="D17" i="12"/>
  <c r="C18" i="12"/>
  <c r="D18" i="12"/>
  <c r="C19" i="12"/>
  <c r="D19" i="12"/>
  <c r="C20" i="12"/>
  <c r="D20" i="12"/>
  <c r="C21" i="12"/>
  <c r="D21" i="12"/>
  <c r="C22" i="12"/>
  <c r="D22" i="12"/>
  <c r="C23" i="12"/>
  <c r="D23" i="12"/>
  <c r="C24" i="12"/>
  <c r="D24" i="12"/>
  <c r="C25" i="12"/>
  <c r="D25" i="12"/>
  <c r="C26" i="12"/>
  <c r="D26" i="12"/>
  <c r="C27" i="12"/>
  <c r="D27" i="12"/>
  <c r="C28" i="12"/>
  <c r="D28" i="12"/>
  <c r="C29" i="12"/>
  <c r="D29" i="12"/>
  <c r="C30" i="12"/>
  <c r="D30" i="12"/>
  <c r="C31" i="12"/>
  <c r="D31" i="12"/>
  <c r="C32" i="12"/>
  <c r="D32" i="12"/>
  <c r="C33" i="12"/>
  <c r="D33" i="12"/>
  <c r="C34" i="12"/>
  <c r="D34" i="12"/>
  <c r="C35" i="12"/>
  <c r="D35" i="12"/>
  <c r="C36" i="12"/>
  <c r="D36" i="12"/>
  <c r="C37" i="12"/>
  <c r="D37" i="12"/>
  <c r="C38" i="12"/>
  <c r="D38" i="12"/>
  <c r="C39" i="12"/>
  <c r="D39" i="12"/>
  <c r="C40" i="12"/>
  <c r="D40" i="12"/>
  <c r="C7" i="12"/>
  <c r="D7" i="12"/>
  <c r="M32" i="12"/>
  <c r="Q32" i="12"/>
  <c r="M16" i="12"/>
  <c r="Q16" i="12"/>
  <c r="M35" i="12"/>
  <c r="Q35" i="12"/>
  <c r="M19" i="12"/>
  <c r="Q19" i="12"/>
  <c r="M28" i="12"/>
  <c r="Q28" i="12"/>
  <c r="M12" i="12"/>
  <c r="Q12" i="12"/>
  <c r="M31" i="12"/>
  <c r="Q31" i="12"/>
  <c r="M15" i="12"/>
  <c r="Q15" i="12"/>
  <c r="M34" i="12"/>
  <c r="Q34" i="12"/>
  <c r="M26" i="12"/>
  <c r="Q26" i="12"/>
  <c r="M18" i="12"/>
  <c r="Q18" i="12"/>
  <c r="M10" i="12"/>
  <c r="Q10" i="12"/>
  <c r="M37" i="12"/>
  <c r="Q37" i="12"/>
  <c r="M29" i="12"/>
  <c r="Q29" i="12"/>
  <c r="M21" i="12"/>
  <c r="Q21" i="12"/>
  <c r="M13" i="12"/>
  <c r="Q13" i="12"/>
  <c r="M40" i="12"/>
  <c r="Q40" i="12"/>
  <c r="M24" i="12"/>
  <c r="Q24" i="12"/>
  <c r="M8" i="12"/>
  <c r="Q8" i="12"/>
  <c r="M27" i="12"/>
  <c r="Q27" i="12"/>
  <c r="M11" i="12"/>
  <c r="Q11" i="12"/>
  <c r="M36" i="12"/>
  <c r="Q36" i="12"/>
  <c r="M20" i="12"/>
  <c r="Q20" i="12"/>
  <c r="M39" i="12"/>
  <c r="Q39" i="12"/>
  <c r="M23" i="12"/>
  <c r="Q23" i="12"/>
  <c r="M38" i="12"/>
  <c r="Q38" i="12"/>
  <c r="M30" i="12"/>
  <c r="Q30" i="12"/>
  <c r="M22" i="12"/>
  <c r="Q22" i="12"/>
  <c r="M14" i="12"/>
  <c r="Q14" i="12"/>
  <c r="M7" i="12"/>
  <c r="Q7" i="12"/>
  <c r="M33" i="12"/>
  <c r="Q33" i="12"/>
  <c r="M25" i="12"/>
  <c r="Q25" i="12"/>
  <c r="M17" i="12"/>
  <c r="Q17" i="12"/>
  <c r="M9" i="12"/>
  <c r="Q9" i="12"/>
  <c r="I17" i="1"/>
  <c r="A5" i="3"/>
  <c r="A6" i="3"/>
  <c r="A7" i="3"/>
  <c r="B37" i="2"/>
  <c r="G25" i="8"/>
  <c r="G27" i="8"/>
  <c r="J30" i="8"/>
  <c r="J33" i="8"/>
  <c r="J34" i="8"/>
  <c r="J35" i="8"/>
  <c r="D3" i="3"/>
  <c r="B4" i="3"/>
  <c r="D4" i="3"/>
  <c r="B5" i="3"/>
  <c r="D5" i="3"/>
  <c r="B6" i="3"/>
  <c r="B7" i="3"/>
  <c r="C7" i="3"/>
  <c r="D7" i="3"/>
  <c r="E7" i="3"/>
  <c r="C8" i="3"/>
  <c r="D8" i="3"/>
  <c r="E8" i="3"/>
  <c r="C9" i="3"/>
  <c r="D9" i="3"/>
  <c r="E9" i="3"/>
  <c r="C10" i="3"/>
  <c r="D10" i="3"/>
  <c r="E10" i="3"/>
  <c r="C11" i="3"/>
  <c r="D11" i="3"/>
  <c r="E11" i="3"/>
  <c r="C12" i="3"/>
  <c r="D12" i="3"/>
  <c r="E12" i="3"/>
  <c r="C13" i="3"/>
  <c r="D13" i="3"/>
  <c r="E13" i="3"/>
  <c r="C14" i="3"/>
  <c r="D14" i="3"/>
  <c r="E14" i="3"/>
  <c r="C15" i="3"/>
  <c r="D15" i="3"/>
  <c r="E15" i="3"/>
  <c r="C16" i="3"/>
  <c r="D16" i="3"/>
  <c r="E16" i="3"/>
  <c r="C17" i="3"/>
  <c r="D17" i="3"/>
  <c r="E17" i="3"/>
  <c r="C18" i="3"/>
  <c r="D18" i="3"/>
  <c r="E18" i="3"/>
  <c r="C19" i="3"/>
  <c r="D19" i="3"/>
  <c r="E19" i="3"/>
  <c r="C20" i="3"/>
  <c r="D20" i="3"/>
  <c r="E20" i="3"/>
  <c r="C21" i="3"/>
  <c r="D21" i="3"/>
  <c r="E21" i="3"/>
  <c r="U7" i="12"/>
  <c r="AB7" i="12"/>
  <c r="AC7" i="12"/>
  <c r="AE7" i="12"/>
  <c r="U8" i="12"/>
  <c r="AB8" i="12"/>
  <c r="AC8" i="12"/>
  <c r="AE8" i="12"/>
  <c r="U9" i="12"/>
  <c r="AB9" i="12"/>
  <c r="AC9" i="12"/>
  <c r="AE9" i="12"/>
  <c r="U10" i="12"/>
  <c r="AB10" i="12"/>
  <c r="AC10" i="12"/>
  <c r="AE10" i="12"/>
  <c r="U11" i="12"/>
  <c r="AB11" i="12"/>
  <c r="AC11" i="12"/>
  <c r="AE11" i="12"/>
  <c r="U12" i="12"/>
  <c r="AB12" i="12"/>
  <c r="AC12" i="12"/>
  <c r="AE12" i="12"/>
  <c r="U13" i="12"/>
  <c r="AB13" i="12"/>
  <c r="AC13" i="12"/>
  <c r="AE13" i="12"/>
  <c r="U14" i="12"/>
  <c r="AB14" i="12"/>
  <c r="AC14" i="12"/>
  <c r="AE14" i="12"/>
  <c r="U15" i="12"/>
  <c r="AB15" i="12"/>
  <c r="AC15" i="12"/>
  <c r="AE15" i="12"/>
  <c r="U16" i="12"/>
  <c r="AB16" i="12"/>
  <c r="AC16" i="12"/>
  <c r="AE16" i="12"/>
  <c r="U17" i="12"/>
  <c r="AB17" i="12"/>
  <c r="AC17" i="12"/>
  <c r="AE17" i="12"/>
  <c r="U18" i="12"/>
  <c r="AB18" i="12"/>
  <c r="AC18" i="12"/>
  <c r="AE18" i="12"/>
  <c r="U19" i="12"/>
  <c r="AB19" i="12"/>
  <c r="AC19" i="12"/>
  <c r="AE19" i="12"/>
  <c r="U20" i="12"/>
  <c r="AB20" i="12"/>
  <c r="AC20" i="12"/>
  <c r="AE20" i="12"/>
  <c r="U21" i="12"/>
  <c r="AB21" i="12"/>
  <c r="AC21" i="12"/>
  <c r="AE21" i="12"/>
  <c r="U22" i="12"/>
  <c r="AB22" i="12"/>
  <c r="AC22" i="12"/>
  <c r="AE22" i="12"/>
  <c r="U23" i="12"/>
  <c r="AB23" i="12"/>
  <c r="AC23" i="12"/>
  <c r="AE23" i="12"/>
  <c r="U24" i="12"/>
  <c r="AB24" i="12"/>
  <c r="AC24" i="12"/>
  <c r="AE24" i="12"/>
  <c r="U25" i="12"/>
  <c r="AB25" i="12"/>
  <c r="AC25" i="12"/>
  <c r="AE25" i="12"/>
  <c r="U26" i="12"/>
  <c r="AB26" i="12"/>
  <c r="AC26" i="12"/>
  <c r="AE26" i="12"/>
  <c r="U27" i="12"/>
  <c r="AB27" i="12"/>
  <c r="AC27" i="12"/>
  <c r="AE27" i="12"/>
  <c r="U28" i="12"/>
  <c r="AB28" i="12"/>
  <c r="AC28" i="12"/>
  <c r="AE28" i="12"/>
  <c r="U29" i="12"/>
  <c r="AB29" i="12"/>
  <c r="AC29" i="12"/>
  <c r="AE29" i="12"/>
  <c r="U30" i="12"/>
  <c r="AB30" i="12"/>
  <c r="AC30" i="12"/>
  <c r="AE30" i="12"/>
  <c r="U31" i="12"/>
  <c r="AB31" i="12"/>
  <c r="AC31" i="12"/>
  <c r="AE31" i="12"/>
  <c r="U32" i="12"/>
  <c r="AB32" i="12"/>
  <c r="AC32" i="12"/>
  <c r="AE32" i="12"/>
  <c r="U33" i="12"/>
  <c r="AB33" i="12"/>
  <c r="AC33" i="12"/>
  <c r="AE33" i="12"/>
  <c r="U34" i="12"/>
  <c r="AB34" i="12"/>
  <c r="AC34" i="12"/>
  <c r="AE34" i="12"/>
  <c r="U35" i="12"/>
  <c r="AB35" i="12"/>
  <c r="AC35" i="12"/>
  <c r="AE35" i="12"/>
  <c r="U36" i="12"/>
  <c r="AB36" i="12"/>
  <c r="AC36" i="12"/>
  <c r="AE36" i="12"/>
  <c r="U37" i="12"/>
  <c r="AB37" i="12"/>
  <c r="AC37" i="12"/>
  <c r="AE37" i="12"/>
  <c r="U38" i="12"/>
  <c r="AB38" i="12"/>
  <c r="AC38" i="12"/>
  <c r="AE38" i="12"/>
  <c r="U39" i="12"/>
  <c r="AB39" i="12"/>
  <c r="AC39" i="12"/>
  <c r="AE39" i="12"/>
  <c r="U40" i="12"/>
  <c r="AB40" i="12"/>
  <c r="AC40" i="12"/>
  <c r="AE40" i="12"/>
  <c r="B5" i="14"/>
  <c r="B16" i="14"/>
  <c r="B20" i="14"/>
  <c r="B21" i="14"/>
  <c r="B22" i="14"/>
  <c r="B31" i="14"/>
  <c r="B32" i="14"/>
  <c r="B34" i="14"/>
  <c r="B35" i="14"/>
  <c r="B36" i="14"/>
  <c r="B41" i="14"/>
  <c r="F41" i="14"/>
  <c r="B45" i="14"/>
  <c r="F45" i="14"/>
  <c r="B46" i="14"/>
  <c r="F46" i="14"/>
  <c r="B47" i="14"/>
  <c r="B52" i="14"/>
  <c r="B53" i="14"/>
  <c r="B56" i="14"/>
  <c r="B63" i="14"/>
  <c r="B64" i="14"/>
  <c r="B66" i="14"/>
  <c r="B70" i="14"/>
  <c r="B80" i="14"/>
  <c r="B81" i="14"/>
  <c r="B86" i="14"/>
  <c r="B88" i="14"/>
  <c r="B89" i="14"/>
  <c r="B101" i="14"/>
  <c r="B102" i="14"/>
  <c r="B103" i="14"/>
  <c r="B106" i="14"/>
  <c r="B110" i="14"/>
  <c r="B111" i="14"/>
  <c r="B112" i="14"/>
  <c r="I113" i="14"/>
  <c r="L113" i="14"/>
  <c r="B114" i="14"/>
  <c r="I114" i="14"/>
  <c r="B118" i="14"/>
  <c r="B122" i="14"/>
  <c r="B127" i="14"/>
  <c r="B130" i="14"/>
  <c r="B133" i="14"/>
  <c r="B136" i="14"/>
  <c r="B146" i="14"/>
  <c r="B147" i="14"/>
  <c r="B150" i="14"/>
  <c r="B151" i="14"/>
  <c r="B154" i="14"/>
  <c r="B157" i="14"/>
  <c r="B158" i="14"/>
  <c r="I159" i="14"/>
  <c r="L159" i="14"/>
  <c r="B160" i="14"/>
  <c r="I160" i="14"/>
  <c r="B164" i="14"/>
  <c r="B168" i="14"/>
  <c r="I170" i="14"/>
  <c r="B173" i="14"/>
  <c r="I173" i="14"/>
  <c r="B176" i="14"/>
  <c r="B179" i="14"/>
  <c r="B182" i="14"/>
  <c r="B190" i="14"/>
  <c r="B191" i="14"/>
  <c r="B193" i="14"/>
  <c r="B194" i="14"/>
  <c r="B197" i="14"/>
  <c r="B198" i="14"/>
  <c r="B201" i="14"/>
  <c r="B204" i="14"/>
  <c r="B205" i="14"/>
  <c r="I206" i="14"/>
  <c r="L206" i="14"/>
  <c r="B207" i="14"/>
  <c r="I207" i="14"/>
  <c r="B210" i="14"/>
  <c r="B211" i="14"/>
  <c r="I211" i="14"/>
  <c r="B213" i="14"/>
  <c r="B214" i="14"/>
  <c r="B4" i="1"/>
  <c r="C4" i="1"/>
  <c r="L10" i="1"/>
  <c r="L11" i="1"/>
  <c r="L12" i="1"/>
  <c r="A26" i="1"/>
  <c r="B26" i="1"/>
  <c r="C26" i="1"/>
  <c r="D26" i="1"/>
  <c r="A29" i="1"/>
  <c r="B29" i="1"/>
  <c r="C29" i="1"/>
  <c r="D29" i="1"/>
  <c r="A32" i="1"/>
  <c r="B32" i="1"/>
  <c r="C32" i="1"/>
  <c r="D32" i="1"/>
  <c r="B33" i="1"/>
  <c r="B21" i="8"/>
  <c r="B22" i="8"/>
  <c r="G22" i="8"/>
  <c r="M23" i="8"/>
  <c r="M24" i="8"/>
  <c r="B26" i="8"/>
  <c r="J31" i="8"/>
  <c r="J32" i="8"/>
  <c r="B33" i="8"/>
  <c r="B34" i="8"/>
  <c r="J36" i="8"/>
  <c r="B38" i="8"/>
  <c r="G38" i="8"/>
  <c r="J38" i="8"/>
  <c r="B41" i="8"/>
  <c r="B45" i="8"/>
  <c r="J45" i="8"/>
  <c r="B47" i="8"/>
  <c r="J47" i="8"/>
  <c r="J48" i="8"/>
  <c r="B51" i="8"/>
  <c r="B55" i="8"/>
  <c r="E56" i="8"/>
  <c r="B57" i="8"/>
  <c r="B59" i="8"/>
  <c r="B66" i="8"/>
  <c r="B67" i="8"/>
  <c r="B68" i="8"/>
  <c r="B69" i="8"/>
  <c r="B70" i="8"/>
  <c r="F70" i="8"/>
  <c r="B77" i="8"/>
  <c r="B78" i="8"/>
  <c r="B82" i="8"/>
  <c r="B84" i="8"/>
  <c r="B85" i="8"/>
  <c r="F85" i="8"/>
  <c r="B88" i="8"/>
  <c r="B90" i="8"/>
  <c r="I90" i="8"/>
  <c r="B91" i="8"/>
  <c r="I91" i="8"/>
  <c r="I92" i="8"/>
  <c r="I93" i="8"/>
  <c r="B95" i="8"/>
  <c r="B96" i="8"/>
  <c r="B97" i="8"/>
  <c r="B98" i="8"/>
  <c r="B101" i="8"/>
  <c r="E101" i="8"/>
  <c r="B105" i="8"/>
  <c r="B106" i="8"/>
  <c r="B109" i="8"/>
  <c r="I109" i="8"/>
  <c r="I110" i="8"/>
  <c r="B111" i="8"/>
  <c r="I111" i="8"/>
  <c r="B112" i="8"/>
  <c r="I112" i="8"/>
  <c r="F113" i="8"/>
  <c r="B115" i="8"/>
  <c r="B117" i="8"/>
  <c r="B118" i="8"/>
  <c r="B122" i="8"/>
  <c r="B123" i="8"/>
  <c r="B124" i="8"/>
  <c r="B127" i="8"/>
  <c r="B130" i="8"/>
  <c r="B131" i="8"/>
  <c r="B133" i="8"/>
  <c r="B134" i="8"/>
  <c r="B7" i="2"/>
  <c r="B8" i="2"/>
  <c r="B16" i="2"/>
  <c r="F18" i="2"/>
  <c r="B19" i="2"/>
  <c r="F19" i="2"/>
  <c r="D20" i="2"/>
  <c r="F20" i="2"/>
  <c r="B25" i="2"/>
  <c r="B26" i="2"/>
  <c r="B28" i="2"/>
  <c r="B29" i="2"/>
  <c r="B30" i="2"/>
  <c r="B31" i="2"/>
  <c r="B33" i="2"/>
  <c r="B35" i="2"/>
  <c r="B11" i="6"/>
  <c r="B12" i="6"/>
  <c r="B14" i="6"/>
  <c r="B19" i="6"/>
  <c r="B20" i="6"/>
  <c r="B21" i="6"/>
  <c r="B23" i="6"/>
  <c r="B24" i="6"/>
  <c r="B25" i="6"/>
  <c r="B26" i="6"/>
  <c r="B28" i="6"/>
  <c r="B30" i="6"/>
  <c r="B32" i="6"/>
  <c r="B11" i="5"/>
  <c r="B12" i="5"/>
  <c r="B18" i="5"/>
  <c r="G18" i="5"/>
  <c r="B19" i="5"/>
  <c r="G19" i="5"/>
  <c r="B21" i="5"/>
  <c r="G21" i="5"/>
  <c r="G22" i="5"/>
  <c r="B23" i="5"/>
  <c r="G23" i="5"/>
  <c r="B25" i="5"/>
  <c r="B26" i="5"/>
  <c r="B27" i="5"/>
  <c r="B28" i="5"/>
  <c r="B31" i="5"/>
  <c r="B32" i="5"/>
  <c r="B33" i="5"/>
  <c r="B34" i="5"/>
  <c r="B50" i="5"/>
  <c r="B51" i="5"/>
  <c r="B53" i="5"/>
  <c r="B54" i="5"/>
  <c r="B56" i="5"/>
  <c r="B57" i="5"/>
  <c r="B59" i="5"/>
  <c r="C30" i="11"/>
  <c r="D30" i="11"/>
  <c r="E30" i="11"/>
  <c r="G30" i="11"/>
  <c r="C31" i="11"/>
  <c r="D31" i="11"/>
  <c r="E31" i="11"/>
  <c r="C32" i="11"/>
  <c r="D32" i="11"/>
  <c r="E32" i="11"/>
  <c r="D33" i="11"/>
  <c r="E33" i="11"/>
  <c r="E34" i="11"/>
  <c r="C36" i="11"/>
  <c r="D36" i="11"/>
  <c r="E36" i="11"/>
  <c r="C37" i="11"/>
  <c r="D37" i="11"/>
  <c r="E37" i="11"/>
</calcChain>
</file>

<file path=xl/sharedStrings.xml><?xml version="1.0" encoding="utf-8"?>
<sst xmlns="http://schemas.openxmlformats.org/spreadsheetml/2006/main" count="1286" uniqueCount="618">
  <si>
    <t>Optimisation d'étagement</t>
  </si>
  <si>
    <t>CU (kg)</t>
  </si>
  <si>
    <t>Terre</t>
  </si>
  <si>
    <t>Apogée (km)</t>
  </si>
  <si>
    <t>Puls. Sidérale (rad/s)</t>
  </si>
  <si>
    <t>Périgée (km)</t>
  </si>
  <si>
    <t>Re (m)</t>
  </si>
  <si>
    <t>Inclinaison (°)</t>
  </si>
  <si>
    <t>Rp (m)</t>
  </si>
  <si>
    <t>mu (m^3/s^2)</t>
  </si>
  <si>
    <t>Isp* (s)</t>
  </si>
  <si>
    <t>k (%)</t>
  </si>
  <si>
    <t>g0 (m/s^2)</t>
  </si>
  <si>
    <t>Tir de Kourou</t>
  </si>
  <si>
    <t>Latitude (°)</t>
  </si>
  <si>
    <t>Vi (m/s)</t>
  </si>
  <si>
    <t>Vf (m/s)</t>
  </si>
  <si>
    <t>Azimut de tir (°)</t>
  </si>
  <si>
    <t>Pertes (m/s)</t>
  </si>
  <si>
    <t>DV requis (m/s)</t>
  </si>
  <si>
    <t>b3</t>
  </si>
  <si>
    <t>Omega3</t>
  </si>
  <si>
    <t>Omega2</t>
  </si>
  <si>
    <t>Omega1</t>
  </si>
  <si>
    <t>b2</t>
  </si>
  <si>
    <t>b1</t>
  </si>
  <si>
    <t>a3</t>
  </si>
  <si>
    <t>a2</t>
  </si>
  <si>
    <t>a1</t>
  </si>
  <si>
    <t>Cahier des charges</t>
  </si>
  <si>
    <t>DV (m/s)</t>
  </si>
  <si>
    <t>Mi3 (kg)</t>
  </si>
  <si>
    <t>Mi2 (kg)</t>
  </si>
  <si>
    <t>Mi1 (kg)</t>
  </si>
  <si>
    <t>me3 (kg)</t>
  </si>
  <si>
    <t>me2 (kg)</t>
  </si>
  <si>
    <t>me1 (kg)</t>
  </si>
  <si>
    <t>ms3 (kg)</t>
  </si>
  <si>
    <t>ms2 (kg)</t>
  </si>
  <si>
    <t>ms1 (kg)</t>
  </si>
  <si>
    <t>Total (T)</t>
  </si>
  <si>
    <t>Masses au décollage</t>
  </si>
  <si>
    <t>Masses d'ergols</t>
  </si>
  <si>
    <t>Etage</t>
  </si>
  <si>
    <t>1 (P)</t>
  </si>
  <si>
    <t>2 (P)</t>
  </si>
  <si>
    <t>3 (H)</t>
  </si>
  <si>
    <t>Isp(sol) (s)</t>
  </si>
  <si>
    <t>Isp(vide) (s)</t>
  </si>
  <si>
    <t>Envoyer résultats à</t>
  </si>
  <si>
    <t>alain.dufour@astrium.eads.net</t>
  </si>
  <si>
    <t>Masses de structure</t>
  </si>
  <si>
    <t>Coeff de rendement</t>
  </si>
  <si>
    <t xml:space="preserve"> </t>
  </si>
  <si>
    <t>Indice</t>
  </si>
  <si>
    <t>Dimensionnement moteur</t>
  </si>
  <si>
    <t>Accélération au décollage</t>
  </si>
  <si>
    <t>m/s^2</t>
  </si>
  <si>
    <t>Accélération max</t>
  </si>
  <si>
    <t>g</t>
  </si>
  <si>
    <t>Force au décollage</t>
  </si>
  <si>
    <t>N</t>
  </si>
  <si>
    <t>Sigma</t>
  </si>
  <si>
    <t>p. 82</t>
  </si>
  <si>
    <t>-</t>
  </si>
  <si>
    <t>Section tuyère/Section col (As/Ac)</t>
  </si>
  <si>
    <t>C*</t>
  </si>
  <si>
    <t>m/s</t>
  </si>
  <si>
    <t>Q</t>
  </si>
  <si>
    <t>kg/s</t>
  </si>
  <si>
    <t>Pc</t>
  </si>
  <si>
    <t>Pa</t>
  </si>
  <si>
    <t>Rendement C*</t>
  </si>
  <si>
    <t>Tcu</t>
  </si>
  <si>
    <t>s</t>
  </si>
  <si>
    <t>Débit au décollage</t>
  </si>
  <si>
    <t>kg</t>
  </si>
  <si>
    <t>Q2</t>
  </si>
  <si>
    <t>fabrice.martin@astrium.eads.net</t>
  </si>
  <si>
    <t>Vitesse de combustion</t>
  </si>
  <si>
    <t>Masse volumique combustible</t>
  </si>
  <si>
    <t>kg/m^3</t>
  </si>
  <si>
    <t>Volume de combustible</t>
  </si>
  <si>
    <t>m^3</t>
  </si>
  <si>
    <t>Hauteur</t>
  </si>
  <si>
    <t>m</t>
  </si>
  <si>
    <t>Diamètre</t>
  </si>
  <si>
    <t>mm/s</t>
  </si>
  <si>
    <t>Doit être compris entre 7 et 20</t>
  </si>
  <si>
    <t>s. 34</t>
  </si>
  <si>
    <t>t</t>
  </si>
  <si>
    <t>q</t>
  </si>
  <si>
    <t>Dessin de la tuyère</t>
  </si>
  <si>
    <t>Premier étage</t>
  </si>
  <si>
    <t>Loi de débit</t>
  </si>
  <si>
    <t>y+</t>
  </si>
  <si>
    <t>y-</t>
  </si>
  <si>
    <t>Angle divergent</t>
  </si>
  <si>
    <t>°</t>
  </si>
  <si>
    <t>p. 17</t>
  </si>
  <si>
    <t>Eb/D</t>
  </si>
  <si>
    <t>Cr</t>
  </si>
  <si>
    <t>Entre 0,6 et 0,9</t>
  </si>
  <si>
    <t>Entre 0,85 et 0,95</t>
  </si>
  <si>
    <t>Entre 1780 et 1820</t>
  </si>
  <si>
    <t>p. 15</t>
  </si>
  <si>
    <t>Volume du propulseur</t>
  </si>
  <si>
    <t>Diamètre du col</t>
  </si>
  <si>
    <t>s. 35</t>
  </si>
  <si>
    <t>Entre 16 et 22</t>
  </si>
  <si>
    <t>Diamètre sortie tuyère</t>
  </si>
  <si>
    <t>Section col</t>
  </si>
  <si>
    <t>m^2</t>
  </si>
  <si>
    <t>Section sortie tuyère</t>
  </si>
  <si>
    <t>Longueur tuyère</t>
  </si>
  <si>
    <t>x (suivant l'axe)</t>
  </si>
  <si>
    <t>Rc</t>
  </si>
  <si>
    <t>Rs</t>
  </si>
  <si>
    <t>L</t>
  </si>
  <si>
    <t>Rayon col</t>
  </si>
  <si>
    <t>Rayon sortie</t>
  </si>
  <si>
    <t>Hauteur cylindre</t>
  </si>
  <si>
    <t>Q a dimensionner pour avoir entre 5 et 10 m/s</t>
  </si>
  <si>
    <t>Acceleration</t>
  </si>
  <si>
    <t>entre 5 et 10</t>
  </si>
  <si>
    <t>m/s²</t>
  </si>
  <si>
    <t>Pression au col (entre 50 et 100)</t>
  </si>
  <si>
    <t>s. 13</t>
  </si>
  <si>
    <t>Entre 20 et 25</t>
  </si>
  <si>
    <t>Section col Ac</t>
  </si>
  <si>
    <t>Diamètre du col Dc</t>
  </si>
  <si>
    <t>Longeur caratéristique L*</t>
  </si>
  <si>
    <t>Longueur chambre Lch</t>
  </si>
  <si>
    <t>Entre 0,76 et 1,02</t>
  </si>
  <si>
    <t>s.27</t>
  </si>
  <si>
    <t>Entre 25 et 30</t>
  </si>
  <si>
    <t>s. 28</t>
  </si>
  <si>
    <t>entre 20 et 25 s.35…</t>
  </si>
  <si>
    <t>Tfin</t>
  </si>
  <si>
    <t>Entre 22 et 92</t>
  </si>
  <si>
    <t>s.31</t>
  </si>
  <si>
    <t>Lch=L*. Ac/Ach</t>
  </si>
  <si>
    <t>Etage 3: Bloc liquide (Cryogénique) = LOX/LH2</t>
  </si>
  <si>
    <t>gamma</t>
  </si>
  <si>
    <t>Fluide He</t>
  </si>
  <si>
    <t>p.43</t>
  </si>
  <si>
    <t>Section chambre Ach</t>
  </si>
  <si>
    <t>Informations p.50</t>
  </si>
  <si>
    <t xml:space="preserve">Accélération </t>
  </si>
  <si>
    <t>s. 26</t>
  </si>
  <si>
    <t>p. 92</t>
  </si>
  <si>
    <t>Temps de fonctionnement</t>
  </si>
  <si>
    <t>Section sortie tuyère As</t>
  </si>
  <si>
    <t>COMBURANT      O²</t>
  </si>
  <si>
    <t>COMBUSTIBLE   H²</t>
  </si>
  <si>
    <t>Masse</t>
  </si>
  <si>
    <t xml:space="preserve">Masse volumique </t>
  </si>
  <si>
    <t>Masse volumique</t>
  </si>
  <si>
    <t>Rm</t>
  </si>
  <si>
    <t>Volume liquide</t>
  </si>
  <si>
    <t>Volume de réservoir</t>
  </si>
  <si>
    <t xml:space="preserve">Volume des équipements dans le res. </t>
  </si>
  <si>
    <t>Négligeable</t>
  </si>
  <si>
    <t>Volume du reservoir</t>
  </si>
  <si>
    <t>ARBITRAIRE</t>
  </si>
  <si>
    <t>Etage 1 : Bloc solide (Finocyl)</t>
  </si>
  <si>
    <t>Forme du reservoir à revoir</t>
  </si>
  <si>
    <t>Cylindre</t>
  </si>
  <si>
    <t>Tcu calculé en fct de Q</t>
  </si>
  <si>
    <t>Q en fct de l'acc</t>
  </si>
  <si>
    <t>calcul à tcu/3, Verif: &lt;5g</t>
  </si>
  <si>
    <t>Lien coiffe</t>
  </si>
  <si>
    <t>Forme reservoir à determiner.</t>
  </si>
  <si>
    <t>Etage 2: Bloc solide (Asymétrique)</t>
  </si>
  <si>
    <t>Type choisi:  Asymétrique ( Plus économique)</t>
  </si>
  <si>
    <t>Loi de surface variable.</t>
  </si>
  <si>
    <t>Hauteur totale</t>
  </si>
  <si>
    <t>Rayon nez</t>
  </si>
  <si>
    <t>Dvolume</t>
  </si>
  <si>
    <t>Hvolume</t>
  </si>
  <si>
    <t>Angle du cône (epsilon)</t>
  </si>
  <si>
    <t>Etage 2</t>
  </si>
  <si>
    <t>Même que la coiffe</t>
  </si>
  <si>
    <t>Coefficient de remplissage Entre 0,85 et 0,95</t>
  </si>
  <si>
    <t>Volume de propulseur</t>
  </si>
  <si>
    <t>Angle de déboitement au décollage</t>
  </si>
  <si>
    <t>p. 56, poly 3</t>
  </si>
  <si>
    <t>Distance plan de séparation / Plan de sortie tuyère</t>
  </si>
  <si>
    <t>Longueur jupe</t>
  </si>
  <si>
    <t>Distance plan de séparation / Reservoir</t>
  </si>
  <si>
    <t>Etage 1</t>
  </si>
  <si>
    <t>d</t>
  </si>
  <si>
    <t>TODO</t>
  </si>
  <si>
    <t>Avoir lu le poly en détail</t>
  </si>
  <si>
    <t>Théorie des coeff transverses</t>
  </si>
  <si>
    <t>NB</t>
  </si>
  <si>
    <t>Sommation des coeff aero possible ssi:</t>
  </si>
  <si>
    <t>même surface de ref</t>
  </si>
  <si>
    <t>Géométrie externe</t>
  </si>
  <si>
    <t>même longueurs de ref (pour les moments)</t>
  </si>
  <si>
    <t>Calcul des coeff de force axials</t>
  </si>
  <si>
    <t>même point de ref (pour les moments)</t>
  </si>
  <si>
    <t>Pour les moments,</t>
  </si>
  <si>
    <t>ATTENTION aux points où sont calculés les moments dans les abaques</t>
  </si>
  <si>
    <t>Avoir l'œil critique</t>
  </si>
  <si>
    <t>Epsilon</t>
  </si>
  <si>
    <t>Répondre à la mission</t>
  </si>
  <si>
    <t>CA</t>
  </si>
  <si>
    <t>CN</t>
  </si>
  <si>
    <t>Hypothèses</t>
  </si>
  <si>
    <t>Centre de pousse = Foyer</t>
  </si>
  <si>
    <t>Les abaques pour les cones ne sont donnees que pour le cone</t>
  </si>
  <si>
    <t>Sref : base du  cone</t>
  </si>
  <si>
    <t>Point des moments : nez du cone</t>
  </si>
  <si>
    <t>Mach</t>
  </si>
  <si>
    <t>Satellites</t>
  </si>
  <si>
    <t>ASTRA 3A</t>
  </si>
  <si>
    <t>NSS-9</t>
  </si>
  <si>
    <t>AMC21</t>
  </si>
  <si>
    <t>Diamètre équivalent (m)</t>
  </si>
  <si>
    <t>Hauteur (m)</t>
  </si>
  <si>
    <t>MAX</t>
  </si>
  <si>
    <t>DB</t>
  </si>
  <si>
    <t>PB</t>
  </si>
  <si>
    <t>OC</t>
  </si>
  <si>
    <t>tan(epsilon)</t>
  </si>
  <si>
    <t>OT</t>
  </si>
  <si>
    <t>OB</t>
  </si>
  <si>
    <t>OP</t>
  </si>
  <si>
    <t>PC</t>
  </si>
  <si>
    <t>CB</t>
  </si>
  <si>
    <t>Rapport Hauteur/Diametre</t>
  </si>
  <si>
    <t>Hauteur de réservoir</t>
  </si>
  <si>
    <t>Hauteur de structure</t>
  </si>
  <si>
    <t>Hauteur structure</t>
  </si>
  <si>
    <t>CA, Cna, Cma, XCP en fonction de M</t>
  </si>
  <si>
    <t>p.12/36 poly dimensionnement aéro</t>
  </si>
  <si>
    <t>Doit être utilisable par des vrais gens de l'aéro</t>
  </si>
  <si>
    <t>Contact aéro</t>
  </si>
  <si>
    <t>ronan</t>
  </si>
  <si>
    <t>guillaume</t>
  </si>
  <si>
    <t>Justification coiffe</t>
  </si>
  <si>
    <t>Indiquer clairement points et surfaces de référence</t>
  </si>
  <si>
    <t>Xcp</t>
  </si>
  <si>
    <t>Jupe</t>
  </si>
  <si>
    <t>Kp</t>
  </si>
  <si>
    <t>r</t>
  </si>
  <si>
    <t>R</t>
  </si>
  <si>
    <t>Sref</t>
  </si>
  <si>
    <t>altitude (km)</t>
  </si>
  <si>
    <t>Re*/l</t>
  </si>
  <si>
    <t>mach</t>
  </si>
  <si>
    <t>altitude (m)</t>
  </si>
  <si>
    <t>Re</t>
  </si>
  <si>
    <t>Altitude</t>
  </si>
  <si>
    <t>Lfrot</t>
  </si>
  <si>
    <t>Sm</t>
  </si>
  <si>
    <t>Cône + Cylindre</t>
  </si>
  <si>
    <t>x/D</t>
  </si>
  <si>
    <t>d/D</t>
  </si>
  <si>
    <t>Cône émoussé</t>
  </si>
  <si>
    <t>Etage 3</t>
  </si>
  <si>
    <t>Jupe 2/1</t>
  </si>
  <si>
    <t>Point de référence des moments</t>
  </si>
  <si>
    <t>Bout de la coiffe</t>
  </si>
  <si>
    <t>Hauteur cône (SB)</t>
  </si>
  <si>
    <t>Lref</t>
  </si>
  <si>
    <t>Cmα</t>
  </si>
  <si>
    <t>CNα</t>
  </si>
  <si>
    <t>Coiffe</t>
  </si>
  <si>
    <t>Cone et Cylindre</t>
  </si>
  <si>
    <t>Cone seul (d/D=0 et theta=10)</t>
  </si>
  <si>
    <t>Entre 12 et 20</t>
  </si>
  <si>
    <t xml:space="preserve">Rapport </t>
  </si>
  <si>
    <t>Pression chambre</t>
  </si>
  <si>
    <t>Pression col</t>
  </si>
  <si>
    <t xml:space="preserve">LOX/LH2 </t>
  </si>
  <si>
    <t>m3</t>
  </si>
  <si>
    <t xml:space="preserve">Pourcentage </t>
  </si>
  <si>
    <t>Rayon reel</t>
  </si>
  <si>
    <t xml:space="preserve">Rayon virtuel </t>
  </si>
  <si>
    <t>Valeur cible</t>
  </si>
  <si>
    <t xml:space="preserve">Rayon cylindre  </t>
  </si>
  <si>
    <t xml:space="preserve">Hauteur cylindre </t>
  </si>
  <si>
    <t xml:space="preserve">Volume cylindre </t>
  </si>
  <si>
    <t xml:space="preserve">Rayon fond </t>
  </si>
  <si>
    <t xml:space="preserve">Hauteur fond </t>
  </si>
  <si>
    <t xml:space="preserve">Volume fond </t>
  </si>
  <si>
    <t>Réservoir sphérique LOX (supérieur)</t>
  </si>
  <si>
    <t>nbre de reservoirs</t>
  </si>
  <si>
    <t>Rayon d'une sphère</t>
  </si>
  <si>
    <t>X réservoirs sphériques LH2(inf)</t>
  </si>
  <si>
    <t xml:space="preserve">Réservoir cylindrique LOX (sup) </t>
  </si>
  <si>
    <t>Réservoir cylindrique LOX (sup)</t>
  </si>
  <si>
    <t>Sm    (Surface mouillée)</t>
  </si>
  <si>
    <t>Rayon interne tore ( r )</t>
  </si>
  <si>
    <t>Rayon du tore ( R)</t>
  </si>
  <si>
    <t>Jupe arrière</t>
  </si>
  <si>
    <t>D3</t>
  </si>
  <si>
    <t>D1</t>
  </si>
  <si>
    <t>D4</t>
  </si>
  <si>
    <t>D5</t>
  </si>
  <si>
    <t>D6</t>
  </si>
  <si>
    <t>Ratio L/D</t>
  </si>
  <si>
    <t>entre 10 et 14</t>
  </si>
  <si>
    <t>D5'</t>
  </si>
  <si>
    <t>D4'</t>
  </si>
  <si>
    <t>D3'</t>
  </si>
  <si>
    <t>D1'</t>
  </si>
  <si>
    <t>D6'</t>
  </si>
  <si>
    <t>Rayon chambre</t>
  </si>
  <si>
    <t>Vérif angle de déboitement (Détage fixé)</t>
  </si>
  <si>
    <t>Vérif Détage (Angle déboit. 15°)</t>
  </si>
  <si>
    <t>Jupe avant</t>
  </si>
  <si>
    <t>Etage 3   - LOX/LH2</t>
  </si>
  <si>
    <t>Valeurs initiales (boucle)</t>
  </si>
  <si>
    <t>Hauteur totale étage avec jupes</t>
  </si>
  <si>
    <t>Diametre étage 3</t>
  </si>
  <si>
    <t>Hauteur totale reservoirs liquides</t>
  </si>
  <si>
    <t>Etage 1 - Solide</t>
  </si>
  <si>
    <t>Etage 2 - Solide</t>
  </si>
  <si>
    <t>Rayon sphère</t>
  </si>
  <si>
    <t>Hauteur res</t>
  </si>
  <si>
    <t xml:space="preserve">Hauteur tot </t>
  </si>
  <si>
    <t>p. 56/124, poly 3</t>
  </si>
  <si>
    <t>Solution 4 reservoirs cylindriques LH2 (inf) (avec LOX cylindrique au milieu)</t>
  </si>
  <si>
    <t>SOLUTIONS NON RETENUES:</t>
  </si>
  <si>
    <t>Chargement</t>
  </si>
  <si>
    <t>Corps de propulseur</t>
  </si>
  <si>
    <t>Propulseur mécanique</t>
  </si>
  <si>
    <t>Masse d'ergols</t>
  </si>
  <si>
    <t xml:space="preserve">kg </t>
  </si>
  <si>
    <t>Masse jupe arrière</t>
  </si>
  <si>
    <t>Ensemble arrière</t>
  </si>
  <si>
    <t>Mp</t>
  </si>
  <si>
    <t>Mt</t>
  </si>
  <si>
    <t>Aménagements internes</t>
  </si>
  <si>
    <t>Mai</t>
  </si>
  <si>
    <t>Allumeur</t>
  </si>
  <si>
    <t>Mdall</t>
  </si>
  <si>
    <t>Jupes</t>
  </si>
  <si>
    <t>Kmat</t>
  </si>
  <si>
    <t>Aluminium</t>
  </si>
  <si>
    <t>Kouv</t>
  </si>
  <si>
    <t>Kchg1</t>
  </si>
  <si>
    <t>Charge ordinaire</t>
  </si>
  <si>
    <t>Kchg2</t>
  </si>
  <si>
    <t>Pas d'effort concentré</t>
  </si>
  <si>
    <t>Sjupe avant</t>
  </si>
  <si>
    <t>Masse jupe avant</t>
  </si>
  <si>
    <t>m2</t>
  </si>
  <si>
    <t>Sjupe arrière</t>
  </si>
  <si>
    <t>Kconcept1</t>
  </si>
  <si>
    <t>Conception actuelle ou plus ancienne</t>
  </si>
  <si>
    <t>Supports</t>
  </si>
  <si>
    <t>Membasse</t>
  </si>
  <si>
    <t>Equipements</t>
  </si>
  <si>
    <t>Mavionique</t>
  </si>
  <si>
    <t>TVC</t>
  </si>
  <si>
    <r>
      <t>M</t>
    </r>
    <r>
      <rPr>
        <sz val="8"/>
        <rFont val="Verdana"/>
        <family val="2"/>
      </rPr>
      <t>TVC</t>
    </r>
  </si>
  <si>
    <t>Indice de performance</t>
  </si>
  <si>
    <t>km</t>
  </si>
  <si>
    <t>Pression de dimensionnement=Pression chambre????</t>
  </si>
  <si>
    <t>Epaisseur jupettes</t>
  </si>
  <si>
    <t>Longeur jupette</t>
  </si>
  <si>
    <t>Pc: Pression de combustion= Pression chambre?</t>
  </si>
  <si>
    <t>D: diametre du propulseur</t>
  </si>
  <si>
    <t>masse jupette</t>
  </si>
  <si>
    <t>Moteur</t>
  </si>
  <si>
    <t>Etage 3 - LOX/LH2</t>
  </si>
  <si>
    <t>F</t>
  </si>
  <si>
    <t>kN</t>
  </si>
  <si>
    <t>f</t>
  </si>
  <si>
    <t>Reservoirs</t>
  </si>
  <si>
    <t>Kamen</t>
  </si>
  <si>
    <t>Mres</t>
  </si>
  <si>
    <t>Structure ordinaire</t>
  </si>
  <si>
    <t>Conception actuelle</t>
  </si>
  <si>
    <t>Pressurisation</t>
  </si>
  <si>
    <t>Pt</t>
  </si>
  <si>
    <t>Vt</t>
  </si>
  <si>
    <t>Mmol</t>
  </si>
  <si>
    <t>Tg</t>
  </si>
  <si>
    <t>Pr</t>
  </si>
  <si>
    <t>Tr</t>
  </si>
  <si>
    <t>Ms</t>
  </si>
  <si>
    <t>Ergols</t>
  </si>
  <si>
    <t>M ergols</t>
  </si>
  <si>
    <t>Systèmes d'alimentation</t>
  </si>
  <si>
    <t>kg/m</t>
  </si>
  <si>
    <t>Mlinéique pres oxydant</t>
  </si>
  <si>
    <t>Mlinéique pres reducteur</t>
  </si>
  <si>
    <t>Mlinéque alim oxydant</t>
  </si>
  <si>
    <t>Mlinéique alim réducteur</t>
  </si>
  <si>
    <t>Mvannes</t>
  </si>
  <si>
    <t>Mantipogo</t>
  </si>
  <si>
    <t>Msupplémentaire</t>
  </si>
  <si>
    <t>Longueur</t>
  </si>
  <si>
    <t>Bati moteur</t>
  </si>
  <si>
    <t>Kmat-la</t>
  </si>
  <si>
    <t>Tvide</t>
  </si>
  <si>
    <t>Phi</t>
  </si>
  <si>
    <t>Concept actuel</t>
  </si>
  <si>
    <t>Mbm (non équipé)</t>
  </si>
  <si>
    <t>g=go??????</t>
  </si>
  <si>
    <t>Mbm (équipé)</t>
  </si>
  <si>
    <t>Inter-reservoirs</t>
  </si>
  <si>
    <t>Sjupe inter-reservoir</t>
  </si>
  <si>
    <t>Masse jupe inter-res</t>
  </si>
  <si>
    <t>Pas d'ouvertur pour la jupe arrière</t>
  </si>
  <si>
    <t>Mequipements</t>
  </si>
  <si>
    <t>Supports réservoirs et/ou sphères pressurisation + équipements</t>
  </si>
  <si>
    <t>Msupports réservoirs</t>
  </si>
  <si>
    <t>Msupports sphères de pres</t>
  </si>
  <si>
    <t>Thrust Vector Control</t>
  </si>
  <si>
    <t>Reservoir verins</t>
  </si>
  <si>
    <t>Nbrs de moteurs</t>
  </si>
  <si>
    <t>Vérins</t>
  </si>
  <si>
    <t>Accessoires associés</t>
  </si>
  <si>
    <t>Mcoiffe</t>
  </si>
  <si>
    <t>ACU</t>
  </si>
  <si>
    <r>
      <t>M</t>
    </r>
    <r>
      <rPr>
        <sz val="8"/>
        <rFont val="Verdana"/>
        <family val="2"/>
      </rPr>
      <t>ACU</t>
    </r>
  </si>
  <si>
    <t>Case à équipements</t>
  </si>
  <si>
    <t>Mcase</t>
  </si>
  <si>
    <t>Scase</t>
  </si>
  <si>
    <t>TOTAL Etage 2</t>
  </si>
  <si>
    <t>TOTAL Etage 1</t>
  </si>
  <si>
    <t>Mlanceur sans marge</t>
  </si>
  <si>
    <t>Mlanceur avec marge</t>
  </si>
  <si>
    <t>Pression interne Combustible LH2</t>
  </si>
  <si>
    <t>Pression interne Comburant  LOX</t>
  </si>
  <si>
    <t>Ti H2</t>
  </si>
  <si>
    <t>K</t>
  </si>
  <si>
    <t>Ti GOX</t>
  </si>
  <si>
    <t>Te H2</t>
  </si>
  <si>
    <t>Te GOX</t>
  </si>
  <si>
    <t>T H2</t>
  </si>
  <si>
    <t>T GOX</t>
  </si>
  <si>
    <t>Mhélium pressurisé pour LH2</t>
  </si>
  <si>
    <t>Mhélium pressurisé pour LOX</t>
  </si>
  <si>
    <t>Vres_hélium pour LH2</t>
  </si>
  <si>
    <t>Vres_hélium pour LOX</t>
  </si>
  <si>
    <t>Vres_hélium total</t>
  </si>
  <si>
    <t>Mhélium totale</t>
  </si>
  <si>
    <r>
      <t xml:space="preserve">PRESSURISATION </t>
    </r>
    <r>
      <rPr>
        <i/>
        <sz val="10"/>
        <rFont val="Verdana"/>
        <family val="2"/>
      </rPr>
      <t>par l'Hélium</t>
    </r>
  </si>
  <si>
    <t>p. 40</t>
  </si>
  <si>
    <t>LH2</t>
  </si>
  <si>
    <t>LOX</t>
  </si>
  <si>
    <t>g/mol</t>
  </si>
  <si>
    <t>mgp non majorée</t>
  </si>
  <si>
    <t>mgp majorée</t>
  </si>
  <si>
    <t>M=VresLH2*massevolumiqueH</t>
  </si>
  <si>
    <t>X reservoirs cylindriques (inf)</t>
  </si>
  <si>
    <t>Nbre reservoirs</t>
  </si>
  <si>
    <r>
      <t>J mol</t>
    </r>
    <r>
      <rPr>
        <vertAlign val="superscript"/>
        <sz val="10"/>
        <rFont val="Verdana"/>
        <family val="2"/>
      </rPr>
      <t>-1</t>
    </r>
    <r>
      <rPr>
        <sz val="10"/>
        <rFont val="Verdana"/>
        <family val="2"/>
      </rPr>
      <t xml:space="preserve"> K</t>
    </r>
    <r>
      <rPr>
        <vertAlign val="superscript"/>
        <sz val="10"/>
        <rFont val="Verdana"/>
        <family val="2"/>
      </rPr>
      <t>-1</t>
    </r>
  </si>
  <si>
    <t>Identique à  mgp</t>
  </si>
  <si>
    <t>Mtotal Hélium</t>
  </si>
  <si>
    <t>cs</t>
  </si>
  <si>
    <t>Vsphère</t>
  </si>
  <si>
    <t>Efforts généraux</t>
  </si>
  <si>
    <t>Trajectoire</t>
  </si>
  <si>
    <t>Soutenances</t>
  </si>
  <si>
    <t>45min/grp</t>
  </si>
  <si>
    <t>20min exposé</t>
  </si>
  <si>
    <t>20min de questions</t>
  </si>
  <si>
    <t>5min délibération</t>
  </si>
  <si>
    <t>Rapport : pdf par mail &lt; minuit Environ 30pages Envoyer éventuellement Matlab</t>
  </si>
  <si>
    <t>Sommaire Rapport</t>
  </si>
  <si>
    <t>1. Cahier des charges</t>
  </si>
  <si>
    <t>Configuration proposée</t>
  </si>
  <si>
    <t>2. Etagement</t>
  </si>
  <si>
    <t>Justif des choix</t>
  </si>
  <si>
    <t>3. Propulsion</t>
  </si>
  <si>
    <t>EP1</t>
  </si>
  <si>
    <t>EP2</t>
  </si>
  <si>
    <t>EP3</t>
  </si>
  <si>
    <t>me</t>
  </si>
  <si>
    <t>ms</t>
  </si>
  <si>
    <t>tc</t>
  </si>
  <si>
    <t>Isv</t>
  </si>
  <si>
    <t>Section sortie</t>
  </si>
  <si>
    <t>5. Aérodynamique</t>
  </si>
  <si>
    <t>4. Architecture/Bilan de masses</t>
  </si>
  <si>
    <r>
      <t>Annexes (</t>
    </r>
    <r>
      <rPr>
        <b/>
        <sz val="10"/>
        <rFont val="Verdana"/>
        <family val="2"/>
      </rPr>
      <t>pas besoin de 8 chiffres après la virgule!!!</t>
    </r>
    <r>
      <rPr>
        <sz val="10"/>
        <rFont val="Verdana"/>
        <family val="2"/>
      </rPr>
      <t>)</t>
    </r>
  </si>
  <si>
    <t>6. Trajectoire/Perfo/Pertes</t>
  </si>
  <si>
    <t>Rétreint 3/2</t>
  </si>
  <si>
    <t>CNα (/deg)</t>
  </si>
  <si>
    <t>Cmα (/deg)</t>
  </si>
  <si>
    <t xml:space="preserve">Nombreuses ouvertures </t>
  </si>
  <si>
    <t>Dimension case à équipement: 1m de hauteur</t>
  </si>
  <si>
    <t>TOTAL Partie supérieure</t>
  </si>
  <si>
    <t>Poussée étage 3</t>
  </si>
  <si>
    <t>Mmoteur</t>
  </si>
  <si>
    <t>Kouv LOX</t>
  </si>
  <si>
    <t>Pas d'ouverture car reservoir petit</t>
  </si>
  <si>
    <t>Kouv LH2</t>
  </si>
  <si>
    <t>Nombreuses ouvertures</t>
  </si>
  <si>
    <t>Vres LOX</t>
  </si>
  <si>
    <t>Vres LH2</t>
  </si>
  <si>
    <t>Mres LOX</t>
  </si>
  <si>
    <t>Mres LH2</t>
  </si>
  <si>
    <t>Non considéré</t>
  </si>
  <si>
    <t>auto regénérescence</t>
  </si>
  <si>
    <t>Pression de stockage</t>
  </si>
  <si>
    <t>Pas besoin de réchauffer</t>
  </si>
  <si>
    <t>Mligne  pres oxydant LOX</t>
  </si>
  <si>
    <t>Mligne  pres réducteur LH2</t>
  </si>
  <si>
    <t>Mligne alim oxydant LOX</t>
  </si>
  <si>
    <t>Mligne alim reducteur LH2</t>
  </si>
  <si>
    <t>Nombre de lignes</t>
  </si>
  <si>
    <t>Anti-vortex, anti ballottements …</t>
  </si>
  <si>
    <t>Ouverture homme</t>
  </si>
  <si>
    <t>Surface mouillée</t>
  </si>
  <si>
    <t>Pousse à vide</t>
  </si>
  <si>
    <t>Interétage</t>
  </si>
  <si>
    <t>du LOX uniqument car pas structural</t>
  </si>
  <si>
    <t xml:space="preserve">avec L: Hauteur totale du lanceur. </t>
  </si>
  <si>
    <t>Avionique totALE DU LANCEUR!!!</t>
  </si>
  <si>
    <t>Masse ergols</t>
  </si>
  <si>
    <t>TOTAL Etage 3</t>
  </si>
  <si>
    <t>Masse seche étage 3</t>
  </si>
  <si>
    <t>Capacité métallique</t>
  </si>
  <si>
    <t>Mpropulseur</t>
  </si>
  <si>
    <t>Pression de dimensionnement=Pression chambre????/ sortie tuyère et col</t>
  </si>
  <si>
    <t>Densité matériau</t>
  </si>
  <si>
    <t>kg/m3</t>
  </si>
  <si>
    <t>Composite graphite/epoxy</t>
  </si>
  <si>
    <t>Masse jupette</t>
  </si>
  <si>
    <t>D: Diametre du propulseur=Diametre de l'étage car structural</t>
  </si>
  <si>
    <t>L: Longueur du propulseur</t>
  </si>
  <si>
    <t xml:space="preserve"> égal à Etage car reservoir structuraux</t>
  </si>
  <si>
    <t>Nombreuse ouvertures</t>
  </si>
  <si>
    <t>enlever tout support</t>
  </si>
  <si>
    <t>Msuportée</t>
  </si>
  <si>
    <t>Masse supportée = Mcorps propulseur + Mchargement + Mallumeur + Maménagement interne + Mensemble arrière + Mequipements + Membases</t>
  </si>
  <si>
    <t>Msupports</t>
  </si>
  <si>
    <t>Masse de l'étage</t>
  </si>
  <si>
    <t>Masse seche étage 2</t>
  </si>
  <si>
    <t>densité matériau</t>
  </si>
  <si>
    <t>D diametre propulseur</t>
  </si>
  <si>
    <t>Membase</t>
  </si>
  <si>
    <t xml:space="preserve"> masse capacité = masse propulseur</t>
  </si>
  <si>
    <t>Kouv jupes avant</t>
  </si>
  <si>
    <t>Kouv jupes arrière</t>
  </si>
  <si>
    <t>Msupportée</t>
  </si>
  <si>
    <t>Masse seche étage 1</t>
  </si>
  <si>
    <t>tonnes</t>
  </si>
  <si>
    <t>Tstockage</t>
  </si>
  <si>
    <t>Pstockage</t>
  </si>
  <si>
    <t>Jupe inter coiffe-case à équipements</t>
  </si>
  <si>
    <t>CATIA</t>
  </si>
  <si>
    <t>Hauteur cone émoussé</t>
  </si>
  <si>
    <t>Réservoir cylindrique LH2 (superieur) RETENUE</t>
  </si>
  <si>
    <t>Réservoir torique LOX (inférieur) RETENUE</t>
  </si>
  <si>
    <t>Rayon cylindre</t>
  </si>
  <si>
    <t>Volume cyclindre</t>
  </si>
  <si>
    <t>Sphères de pressurisation</t>
  </si>
  <si>
    <t>Volume fond</t>
  </si>
  <si>
    <t>Nombre de sphères pres LOX</t>
  </si>
  <si>
    <t>Rayon d'une sphère pres LOX</t>
  </si>
  <si>
    <t>Nombre de sphères pres LH2</t>
  </si>
  <si>
    <t>Plus pris en compte</t>
  </si>
  <si>
    <t>Rayon d'une sphère pres LH2</t>
  </si>
  <si>
    <t xml:space="preserve">Choix regénérescence. </t>
  </si>
  <si>
    <t>Différence interd-étage</t>
  </si>
  <si>
    <t>Lignes d'alimentation</t>
  </si>
  <si>
    <t>Angle inter-etage</t>
  </si>
  <si>
    <t>Longueur ligne LOX</t>
  </si>
  <si>
    <t>Longueur 3-coiffe oblique</t>
  </si>
  <si>
    <t>Longueur d'une ligne LH2</t>
  </si>
  <si>
    <t>Lignes de pressurisation</t>
  </si>
  <si>
    <t>Nombre de ligne LOX</t>
  </si>
  <si>
    <t>Nombre de ligne LH2</t>
  </si>
  <si>
    <t>Verif D3 (angle deboit 15 et Detage fixé)</t>
  </si>
  <si>
    <t>Longueur jupe arrière</t>
  </si>
  <si>
    <t>Longueur Inter-reservoir</t>
  </si>
  <si>
    <t>Longueur jupe avant</t>
  </si>
  <si>
    <t>Hauteur totale propulseur</t>
  </si>
  <si>
    <t>Longueur tuyère sortie du propulseur</t>
  </si>
  <si>
    <t>Volume de la tuyère à l'interieur</t>
  </si>
  <si>
    <t>Différence inter-étage</t>
  </si>
  <si>
    <t>angle inter-étage</t>
  </si>
  <si>
    <t>Diametre au plan de séparation</t>
  </si>
  <si>
    <t>Diametre au plan sortie tuyère</t>
  </si>
  <si>
    <t>Hauteur oblique jupe arrière</t>
  </si>
  <si>
    <t>Hauteur oblique jupe avant 1</t>
  </si>
  <si>
    <t>Interface jupe intérétage/res+400mm</t>
  </si>
  <si>
    <t>0,256*10^(-4)*((B164*'Moteur Etage 1'!B10)^(1,2)*'Moteur Etage 1'!B9^0,3/(('Moteur Etage 1'!B12/10^6)^0,8*'Moteur Etage 1'!B16^0,6*TAN('Moteur Etage 1'!B31)^0,4))^0,917</t>
  </si>
  <si>
    <t>k1 initial</t>
  </si>
  <si>
    <t>k2 initial</t>
  </si>
  <si>
    <t>k3 initial</t>
  </si>
  <si>
    <t>nouveau k3</t>
  </si>
  <si>
    <t>Nouveau k1</t>
  </si>
  <si>
    <t>Nouveau k2</t>
  </si>
  <si>
    <t>Q1</t>
  </si>
  <si>
    <t>T1</t>
  </si>
  <si>
    <t>T2</t>
  </si>
  <si>
    <t>Force à Q2</t>
  </si>
  <si>
    <t>Force à Q1</t>
  </si>
  <si>
    <t>Rapport L/D</t>
  </si>
  <si>
    <t>Ne  pas prendre en compte. Tore pas structural.</t>
  </si>
  <si>
    <t>Fond elliptique</t>
  </si>
  <si>
    <t>Rayon de la tuyère sortant du propu</t>
  </si>
  <si>
    <t>Ici distance plan de sortie tuyère/plan de 'séparation' ajouté</t>
  </si>
  <si>
    <t>Longueur tuyère à l'exterieur</t>
  </si>
  <si>
    <t>h</t>
  </si>
  <si>
    <t>cas tore</t>
  </si>
  <si>
    <t>entre 4 et 8</t>
  </si>
  <si>
    <t>Debit</t>
  </si>
  <si>
    <t xml:space="preserve">Debit </t>
  </si>
  <si>
    <t>diametre alim</t>
  </si>
  <si>
    <t>Hauteur du bati</t>
  </si>
  <si>
    <t>Longueur convergent</t>
  </si>
  <si>
    <t>1 atm</t>
  </si>
  <si>
    <t>Variation de poussée</t>
  </si>
  <si>
    <t>Mtot</t>
  </si>
  <si>
    <t>Verif</t>
  </si>
  <si>
    <t>dateDebut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</si>
</sst>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4" formatCode="_-* #,##0.00\ &quot;€&quot;_-;\-* #,##0.00\ &quot;€&quot;_-;_-* &quot;-&quot;??\ &quot;€&quot;_-;_-@_-"/>
    <numFmt numFmtId="164" formatCode="0.00000"/>
    <numFmt numFmtId="165" formatCode="#,##0.00_ ;\-#,##0.00\ "/>
    <numFmt numFmtId="166" formatCode="0.000"/>
  </numFmts>
  <fonts count="15" x14ac:knownFonts="1">
    <font>
      <sz val="10"/>
      <name val="Verdana"/>
      <family val="2"/>
    </font>
    <font>
      <sz val="10"/>
      <name val="Arial"/>
      <family val="2"/>
    </font>
    <font>
      <b/>
      <sz val="26"/>
      <name val="Verdana"/>
      <family val="2"/>
    </font>
    <font>
      <b/>
      <sz val="10"/>
      <name val="Verdana"/>
      <family val="2"/>
    </font>
    <font>
      <sz val="8"/>
      <name val="Verdana"/>
      <family val="2"/>
    </font>
    <font>
      <i/>
      <sz val="10"/>
      <name val="Verdana"/>
      <family val="2"/>
    </font>
    <font>
      <vertAlign val="superscript"/>
      <sz val="10"/>
      <name val="Verdana"/>
      <family val="2"/>
    </font>
    <font>
      <b/>
      <i/>
      <sz val="10"/>
      <name val="Verdana"/>
      <family val="2"/>
    </font>
    <font>
      <u/>
      <sz val="10"/>
      <color theme="10"/>
      <name val="Verdana"/>
      <family val="2"/>
    </font>
    <font>
      <sz val="10"/>
      <color theme="0"/>
      <name val="Verdana"/>
      <family val="2"/>
    </font>
    <font>
      <b/>
      <sz val="10"/>
      <color rgb="FFFF0000"/>
      <name val="Verdana"/>
      <family val="2"/>
    </font>
    <font>
      <sz val="12"/>
      <color rgb="FF000000"/>
      <name val="Calibri"/>
      <family val="2"/>
    </font>
    <font>
      <b/>
      <sz val="12"/>
      <color rgb="FF000000"/>
      <name val="Calibri"/>
    </font>
    <font>
      <sz val="10"/>
      <color rgb="FFFF0000"/>
      <name val="Verdana"/>
      <family val="2"/>
    </font>
    <font>
      <u/>
      <sz val="10"/>
      <color theme="11"/>
      <name val="Verdana"/>
      <family val="2"/>
    </font>
  </fonts>
  <fills count="12">
    <fill>
      <patternFill patternType="none"/>
    </fill>
    <fill>
      <patternFill patternType="gray125"/>
    </fill>
    <fill>
      <patternFill patternType="solid">
        <fgColor rgb="FFB95EA8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33">
    <border>
      <left/>
      <right/>
      <top/>
      <bottom/>
      <diagonal/>
    </border>
    <border>
      <left style="medium">
        <color indexed="8"/>
      </left>
      <right style="medium">
        <color indexed="8"/>
      </right>
      <top/>
      <bottom/>
      <diagonal/>
    </border>
    <border>
      <left style="medium">
        <color indexed="8"/>
      </left>
      <right style="medium">
        <color indexed="8"/>
      </right>
      <top/>
      <bottom style="medium">
        <color indexed="8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 style="medium">
        <color indexed="8"/>
      </top>
      <bottom/>
      <diagonal/>
    </border>
    <border>
      <left style="medium">
        <color auto="1"/>
      </left>
      <right/>
      <top/>
      <bottom style="medium">
        <color indexed="8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indexed="8"/>
      </left>
      <right style="medium">
        <color indexed="8"/>
      </right>
      <top style="medium">
        <color indexed="8"/>
      </top>
      <bottom/>
      <diagonal/>
    </border>
  </borders>
  <cellStyleXfs count="4">
    <xf numFmtId="0" fontId="0" fillId="0" borderId="0"/>
    <xf numFmtId="0" fontId="8" fillId="0" borderId="0" applyNumberFormat="0" applyFill="0" applyBorder="0" applyAlignment="0" applyProtection="0"/>
    <xf numFmtId="44" fontId="1" fillId="0" borderId="0" applyFill="0" applyBorder="0" applyAlignment="0" applyProtection="0"/>
    <xf numFmtId="0" fontId="14" fillId="0" borderId="0" applyNumberFormat="0" applyFill="0" applyBorder="0" applyAlignment="0" applyProtection="0"/>
  </cellStyleXfs>
  <cellXfs count="190">
    <xf numFmtId="0" fontId="0" fillId="0" borderId="0" xfId="0"/>
    <xf numFmtId="0" fontId="0" fillId="0" borderId="0" xfId="0" applyAlignment="1">
      <alignment vertical="center"/>
    </xf>
    <xf numFmtId="0" fontId="0" fillId="0" borderId="1" xfId="0" applyFont="1" applyBorder="1" applyAlignment="1">
      <alignment horizontal="left" vertical="center"/>
    </xf>
    <xf numFmtId="0" fontId="0" fillId="0" borderId="2" xfId="0" applyFont="1" applyBorder="1" applyAlignment="1">
      <alignment horizontal="left" vertical="center"/>
    </xf>
    <xf numFmtId="0" fontId="0" fillId="0" borderId="0" xfId="0" applyFont="1" applyAlignment="1">
      <alignment vertical="center"/>
    </xf>
    <xf numFmtId="0" fontId="0" fillId="0" borderId="0" xfId="0" applyFont="1" applyFill="1" applyBorder="1" applyAlignment="1">
      <alignment horizontal="left" vertical="center"/>
    </xf>
    <xf numFmtId="0" fontId="3" fillId="0" borderId="3" xfId="0" applyFont="1" applyBorder="1" applyAlignment="1">
      <alignment vertical="center"/>
    </xf>
    <xf numFmtId="0" fontId="0" fillId="0" borderId="4" xfId="0" applyBorder="1" applyAlignment="1">
      <alignment vertical="center"/>
    </xf>
    <xf numFmtId="0" fontId="0" fillId="0" borderId="5" xfId="0" applyFont="1" applyBorder="1" applyAlignment="1">
      <alignment horizontal="left" vertical="center"/>
    </xf>
    <xf numFmtId="0" fontId="0" fillId="0" borderId="6" xfId="0" applyFont="1" applyBorder="1" applyAlignment="1">
      <alignment horizontal="left" vertical="center"/>
    </xf>
    <xf numFmtId="0" fontId="0" fillId="0" borderId="7" xfId="0" applyBorder="1" applyAlignment="1">
      <alignment vertical="center"/>
    </xf>
    <xf numFmtId="0" fontId="3" fillId="0" borderId="8" xfId="0" applyFont="1" applyBorder="1"/>
    <xf numFmtId="0" fontId="3" fillId="0" borderId="9" xfId="0" applyFont="1" applyBorder="1"/>
    <xf numFmtId="164" fontId="0" fillId="0" borderId="4" xfId="0" applyNumberFormat="1" applyBorder="1" applyAlignment="1">
      <alignment vertical="center"/>
    </xf>
    <xf numFmtId="0" fontId="3" fillId="0" borderId="10" xfId="0" applyFont="1" applyBorder="1"/>
    <xf numFmtId="0" fontId="0" fillId="0" borderId="11" xfId="0" applyBorder="1"/>
    <xf numFmtId="0" fontId="0" fillId="0" borderId="3" xfId="0" applyBorder="1" applyAlignment="1">
      <alignment vertical="center"/>
    </xf>
    <xf numFmtId="0" fontId="0" fillId="0" borderId="11" xfId="0" applyBorder="1" applyAlignment="1">
      <alignment vertical="center"/>
    </xf>
    <xf numFmtId="0" fontId="0" fillId="0" borderId="10" xfId="0" applyFont="1" applyFill="1" applyBorder="1" applyAlignment="1">
      <alignment horizontal="left" vertical="center"/>
    </xf>
    <xf numFmtId="0" fontId="0" fillId="0" borderId="12" xfId="0" applyFont="1" applyBorder="1" applyAlignment="1">
      <alignment vertical="center"/>
    </xf>
    <xf numFmtId="0" fontId="0" fillId="0" borderId="4" xfId="0" applyFont="1" applyBorder="1" applyAlignment="1">
      <alignment vertical="center"/>
    </xf>
    <xf numFmtId="0" fontId="3" fillId="0" borderId="8" xfId="0" applyFont="1" applyFill="1" applyBorder="1" applyAlignment="1">
      <alignment horizontal="left" vertical="center"/>
    </xf>
    <xf numFmtId="0" fontId="3" fillId="0" borderId="13" xfId="0" applyFont="1" applyBorder="1" applyAlignment="1">
      <alignment vertical="center"/>
    </xf>
    <xf numFmtId="164" fontId="0" fillId="0" borderId="10" xfId="0" applyNumberFormat="1" applyBorder="1"/>
    <xf numFmtId="164" fontId="0" fillId="0" borderId="12" xfId="0" applyNumberFormat="1" applyBorder="1"/>
    <xf numFmtId="164" fontId="0" fillId="0" borderId="4" xfId="0" applyNumberFormat="1" applyBorder="1"/>
    <xf numFmtId="164" fontId="0" fillId="0" borderId="5" xfId="0" applyNumberFormat="1" applyBorder="1"/>
    <xf numFmtId="164" fontId="0" fillId="0" borderId="6" xfId="0" applyNumberFormat="1" applyBorder="1"/>
    <xf numFmtId="164" fontId="0" fillId="0" borderId="7" xfId="0" applyNumberFormat="1" applyBorder="1"/>
    <xf numFmtId="0" fontId="3" fillId="0" borderId="13" xfId="0" applyFont="1" applyBorder="1" applyAlignment="1">
      <alignment horizontal="left" vertical="center"/>
    </xf>
    <xf numFmtId="0" fontId="3" fillId="0" borderId="13" xfId="0" applyFont="1" applyBorder="1" applyAlignment="1">
      <alignment horizontal="left" vertical="center" wrapText="1"/>
    </xf>
    <xf numFmtId="0" fontId="0" fillId="0" borderId="0" xfId="0" applyFont="1" applyBorder="1" applyAlignment="1">
      <alignment horizontal="left" vertical="center"/>
    </xf>
    <xf numFmtId="0" fontId="3" fillId="0" borderId="0" xfId="0" applyFont="1" applyBorder="1" applyAlignment="1">
      <alignment horizontal="left"/>
    </xf>
    <xf numFmtId="0" fontId="3" fillId="0" borderId="0" xfId="0" applyFont="1" applyBorder="1" applyAlignment="1">
      <alignment horizontal="left" vertical="center"/>
    </xf>
    <xf numFmtId="0" fontId="0" fillId="0" borderId="12" xfId="0" applyFont="1" applyBorder="1" applyAlignment="1">
      <alignment horizontal="left" vertical="center"/>
    </xf>
    <xf numFmtId="0" fontId="3" fillId="0" borderId="14" xfId="0" applyFont="1" applyBorder="1" applyAlignment="1">
      <alignment horizontal="left" vertical="center"/>
    </xf>
    <xf numFmtId="0" fontId="3" fillId="0" borderId="15" xfId="0" applyFont="1" applyBorder="1" applyAlignment="1">
      <alignment horizontal="left" vertical="center"/>
    </xf>
    <xf numFmtId="0" fontId="0" fillId="0" borderId="13" xfId="0" applyBorder="1" applyAlignment="1">
      <alignment vertical="center"/>
    </xf>
    <xf numFmtId="0" fontId="0" fillId="0" borderId="13" xfId="0" applyFont="1" applyBorder="1" applyAlignment="1">
      <alignment vertical="center"/>
    </xf>
    <xf numFmtId="0" fontId="0" fillId="0" borderId="0" xfId="0" applyFont="1" applyBorder="1" applyAlignment="1">
      <alignment vertical="center"/>
    </xf>
    <xf numFmtId="0" fontId="3" fillId="0" borderId="13" xfId="0" applyFont="1" applyFill="1" applyBorder="1" applyAlignment="1">
      <alignment horizontal="left" vertical="center"/>
    </xf>
    <xf numFmtId="0" fontId="0" fillId="0" borderId="0" xfId="0" applyBorder="1"/>
    <xf numFmtId="0" fontId="0" fillId="0" borderId="12" xfId="0" applyBorder="1" applyAlignment="1">
      <alignment vertical="center"/>
    </xf>
    <xf numFmtId="0" fontId="0" fillId="0" borderId="13" xfId="0" applyBorder="1"/>
    <xf numFmtId="0" fontId="0" fillId="0" borderId="0" xfId="0" applyBorder="1" applyAlignment="1">
      <alignment vertical="center"/>
    </xf>
    <xf numFmtId="0" fontId="2" fillId="2" borderId="0" xfId="0" applyFont="1" applyFill="1" applyBorder="1" applyAlignment="1">
      <alignment horizontal="center" vertical="center"/>
    </xf>
    <xf numFmtId="0" fontId="0" fillId="2" borderId="0" xfId="0" applyFont="1" applyFill="1" applyBorder="1" applyAlignment="1">
      <alignment horizontal="left" vertical="center"/>
    </xf>
    <xf numFmtId="0" fontId="2" fillId="2" borderId="13" xfId="0" applyFont="1" applyFill="1" applyBorder="1" applyAlignment="1">
      <alignment horizontal="center" vertical="center"/>
    </xf>
    <xf numFmtId="0" fontId="3" fillId="3" borderId="5" xfId="0" applyFont="1" applyFill="1" applyBorder="1" applyAlignment="1">
      <alignment vertical="center"/>
    </xf>
    <xf numFmtId="0" fontId="0" fillId="3" borderId="7" xfId="0" applyFill="1" applyBorder="1" applyAlignment="1">
      <alignment vertical="center"/>
    </xf>
    <xf numFmtId="0" fontId="3" fillId="4" borderId="8" xfId="0" applyFont="1" applyFill="1" applyBorder="1" applyAlignment="1">
      <alignment vertical="center"/>
    </xf>
    <xf numFmtId="0" fontId="3" fillId="4" borderId="9" xfId="0" applyFont="1" applyFill="1" applyBorder="1" applyAlignment="1">
      <alignment vertical="center"/>
    </xf>
    <xf numFmtId="0" fontId="3" fillId="4" borderId="10" xfId="0" applyFont="1" applyFill="1" applyBorder="1" applyAlignment="1">
      <alignment vertical="center"/>
    </xf>
    <xf numFmtId="0" fontId="3" fillId="4" borderId="5" xfId="0" applyFont="1" applyFill="1" applyBorder="1" applyAlignment="1">
      <alignment horizontal="left" vertical="center"/>
    </xf>
    <xf numFmtId="0" fontId="3" fillId="4" borderId="6" xfId="0" applyFont="1" applyFill="1" applyBorder="1" applyAlignment="1">
      <alignment horizontal="left" vertical="center"/>
    </xf>
    <xf numFmtId="0" fontId="3" fillId="4" borderId="7" xfId="0" applyFont="1" applyFill="1" applyBorder="1" applyAlignment="1">
      <alignment horizontal="left" vertical="center"/>
    </xf>
    <xf numFmtId="0" fontId="3" fillId="4" borderId="13" xfId="0" applyFont="1" applyFill="1" applyBorder="1" applyAlignment="1">
      <alignment vertical="center"/>
    </xf>
    <xf numFmtId="0" fontId="3" fillId="4" borderId="16" xfId="0" applyFont="1" applyFill="1" applyBorder="1" applyAlignment="1">
      <alignment vertical="center"/>
    </xf>
    <xf numFmtId="0" fontId="9" fillId="0" borderId="0" xfId="0" applyFont="1" applyAlignment="1">
      <alignment vertical="center"/>
    </xf>
    <xf numFmtId="0" fontId="5" fillId="0" borderId="0" xfId="0" applyFont="1" applyBorder="1" applyAlignment="1">
      <alignment horizontal="left" vertical="center"/>
    </xf>
    <xf numFmtId="0" fontId="5" fillId="0" borderId="0" xfId="0" applyFont="1" applyBorder="1" applyAlignment="1">
      <alignment vertical="center"/>
    </xf>
    <xf numFmtId="0" fontId="5" fillId="0" borderId="11" xfId="0" applyFont="1" applyBorder="1" applyAlignment="1">
      <alignment vertical="center"/>
    </xf>
    <xf numFmtId="0" fontId="0" fillId="0" borderId="11" xfId="0" applyFont="1" applyBorder="1" applyAlignment="1">
      <alignment vertical="center"/>
    </xf>
    <xf numFmtId="0" fontId="9" fillId="0" borderId="12" xfId="0" applyFont="1" applyBorder="1" applyAlignment="1">
      <alignment vertical="center"/>
    </xf>
    <xf numFmtId="165" fontId="1" fillId="0" borderId="0" xfId="2" applyNumberFormat="1" applyBorder="1" applyAlignment="1">
      <alignment vertical="center"/>
    </xf>
    <xf numFmtId="165" fontId="1" fillId="0" borderId="11" xfId="2" applyNumberFormat="1" applyBorder="1" applyAlignment="1">
      <alignment vertical="center"/>
    </xf>
    <xf numFmtId="10" fontId="0" fillId="0" borderId="12" xfId="0" applyNumberFormat="1" applyBorder="1"/>
    <xf numFmtId="10" fontId="0" fillId="0" borderId="4" xfId="0" applyNumberFormat="1" applyBorder="1"/>
    <xf numFmtId="0" fontId="3" fillId="0" borderId="8" xfId="0" applyFont="1" applyBorder="1" applyAlignment="1">
      <alignment vertical="center" wrapText="1"/>
    </xf>
    <xf numFmtId="0" fontId="3" fillId="0" borderId="9" xfId="0" applyFont="1" applyBorder="1" applyAlignment="1">
      <alignment vertical="center" wrapText="1"/>
    </xf>
    <xf numFmtId="0" fontId="3" fillId="0" borderId="9" xfId="0" applyFont="1" applyFill="1" applyBorder="1" applyAlignment="1">
      <alignment vertical="center" wrapText="1"/>
    </xf>
    <xf numFmtId="0" fontId="3" fillId="0" borderId="10" xfId="0" applyFont="1" applyFill="1" applyBorder="1" applyAlignment="1">
      <alignment vertical="center" wrapText="1"/>
    </xf>
    <xf numFmtId="10" fontId="0" fillId="0" borderId="0" xfId="0" applyNumberFormat="1" applyAlignment="1">
      <alignment vertical="center"/>
    </xf>
    <xf numFmtId="0" fontId="0" fillId="0" borderId="0" xfId="0" applyFont="1" applyFill="1" applyBorder="1" applyAlignment="1">
      <alignment vertical="center"/>
    </xf>
    <xf numFmtId="0" fontId="0" fillId="0" borderId="0" xfId="0" applyFill="1" applyBorder="1" applyAlignment="1">
      <alignment vertical="center"/>
    </xf>
    <xf numFmtId="0" fontId="0" fillId="0" borderId="0" xfId="0" applyFill="1" applyBorder="1"/>
    <xf numFmtId="0" fontId="0" fillId="2" borderId="12" xfId="0" applyFont="1" applyFill="1" applyBorder="1" applyAlignment="1">
      <alignment horizontal="left" vertical="center"/>
    </xf>
    <xf numFmtId="0" fontId="3" fillId="4" borderId="3" xfId="0" applyFont="1" applyFill="1" applyBorder="1" applyAlignment="1">
      <alignment vertical="center"/>
    </xf>
    <xf numFmtId="0" fontId="3" fillId="0" borderId="0" xfId="0" applyFont="1"/>
    <xf numFmtId="0" fontId="8" fillId="0" borderId="0" xfId="1"/>
    <xf numFmtId="2" fontId="0" fillId="0" borderId="0" xfId="0" applyNumberFormat="1"/>
    <xf numFmtId="0" fontId="0" fillId="5" borderId="0" xfId="0" applyFill="1"/>
    <xf numFmtId="2" fontId="0" fillId="5" borderId="0" xfId="0" applyNumberFormat="1" applyFill="1"/>
    <xf numFmtId="0" fontId="0" fillId="0" borderId="17" xfId="0" applyBorder="1"/>
    <xf numFmtId="2" fontId="0" fillId="0" borderId="18" xfId="0" applyNumberFormat="1" applyBorder="1"/>
    <xf numFmtId="0" fontId="0" fillId="0" borderId="18" xfId="0" applyBorder="1"/>
    <xf numFmtId="0" fontId="0" fillId="0" borderId="19" xfId="0" applyBorder="1"/>
    <xf numFmtId="0" fontId="0" fillId="0" borderId="20" xfId="0" applyBorder="1"/>
    <xf numFmtId="2" fontId="0" fillId="0" borderId="0" xfId="0" applyNumberFormat="1" applyBorder="1"/>
    <xf numFmtId="0" fontId="0" fillId="0" borderId="21" xfId="0" applyBorder="1"/>
    <xf numFmtId="0" fontId="0" fillId="0" borderId="22" xfId="0" applyBorder="1"/>
    <xf numFmtId="2" fontId="0" fillId="0" borderId="23" xfId="0" applyNumberFormat="1" applyBorder="1"/>
    <xf numFmtId="0" fontId="0" fillId="0" borderId="23" xfId="0" applyBorder="1"/>
    <xf numFmtId="0" fontId="0" fillId="0" borderId="24" xfId="0" applyBorder="1"/>
    <xf numFmtId="0" fontId="0" fillId="0" borderId="0" xfId="0" applyFill="1"/>
    <xf numFmtId="2" fontId="0" fillId="0" borderId="0" xfId="0" applyNumberFormat="1" applyFill="1"/>
    <xf numFmtId="0" fontId="0" fillId="6" borderId="0" xfId="0" applyFill="1"/>
    <xf numFmtId="2" fontId="0" fillId="6" borderId="0" xfId="0" applyNumberFormat="1" applyFill="1"/>
    <xf numFmtId="0" fontId="10" fillId="0" borderId="0" xfId="0" applyFont="1"/>
    <xf numFmtId="0" fontId="8" fillId="0" borderId="0" xfId="1" applyAlignment="1">
      <alignment vertical="center"/>
    </xf>
    <xf numFmtId="0" fontId="0" fillId="5" borderId="20" xfId="0" applyFill="1" applyBorder="1"/>
    <xf numFmtId="2" fontId="0" fillId="5" borderId="0" xfId="0" applyNumberFormat="1" applyFill="1" applyBorder="1"/>
    <xf numFmtId="0" fontId="0" fillId="5" borderId="0" xfId="0" applyFill="1" applyBorder="1"/>
    <xf numFmtId="14" fontId="3" fillId="0" borderId="0" xfId="0" applyNumberFormat="1" applyFont="1"/>
    <xf numFmtId="0" fontId="5" fillId="0" borderId="0" xfId="0" applyFont="1"/>
    <xf numFmtId="0" fontId="0" fillId="0" borderId="25" xfId="0" applyBorder="1"/>
    <xf numFmtId="0" fontId="0" fillId="0" borderId="26" xfId="0" applyBorder="1"/>
    <xf numFmtId="0" fontId="0" fillId="0" borderId="27" xfId="0" applyBorder="1"/>
    <xf numFmtId="2" fontId="3" fillId="0" borderId="0" xfId="0" applyNumberFormat="1" applyFont="1"/>
    <xf numFmtId="0" fontId="5" fillId="0" borderId="17" xfId="0" applyFont="1" applyBorder="1"/>
    <xf numFmtId="0" fontId="5" fillId="0" borderId="20" xfId="0" applyFont="1" applyBorder="1"/>
    <xf numFmtId="0" fontId="5" fillId="0" borderId="22" xfId="0" applyFont="1" applyBorder="1"/>
    <xf numFmtId="0" fontId="0" fillId="0" borderId="28" xfId="0" applyBorder="1"/>
    <xf numFmtId="0" fontId="0" fillId="0" borderId="29" xfId="0" applyBorder="1"/>
    <xf numFmtId="0" fontId="0" fillId="0" borderId="30" xfId="0" applyFont="1" applyBorder="1" applyAlignment="1">
      <alignment horizontal="right"/>
    </xf>
    <xf numFmtId="0" fontId="0" fillId="0" borderId="25" xfId="0" applyFont="1" applyBorder="1" applyAlignment="1">
      <alignment horizontal="right"/>
    </xf>
    <xf numFmtId="0" fontId="0" fillId="0" borderId="31" xfId="0" applyBorder="1"/>
    <xf numFmtId="0" fontId="0" fillId="0" borderId="29" xfId="0" applyFill="1" applyBorder="1"/>
    <xf numFmtId="0" fontId="0" fillId="5" borderId="31" xfId="0" applyFill="1" applyBorder="1"/>
    <xf numFmtId="0" fontId="0" fillId="0" borderId="0" xfId="0" applyAlignment="1">
      <alignment horizontal="center"/>
    </xf>
    <xf numFmtId="11" fontId="0" fillId="0" borderId="0" xfId="0" applyNumberFormat="1" applyAlignment="1">
      <alignment horizontal="center"/>
    </xf>
    <xf numFmtId="0" fontId="11" fillId="0" borderId="0" xfId="0" applyFont="1"/>
    <xf numFmtId="0" fontId="3" fillId="0" borderId="25" xfId="0" applyFont="1" applyBorder="1"/>
    <xf numFmtId="0" fontId="3" fillId="0" borderId="26" xfId="0" applyFont="1" applyBorder="1"/>
    <xf numFmtId="0" fontId="3" fillId="0" borderId="27" xfId="0" applyFont="1" applyBorder="1"/>
    <xf numFmtId="0" fontId="3" fillId="0" borderId="30" xfId="0" applyFont="1" applyFill="1" applyBorder="1"/>
    <xf numFmtId="0" fontId="11" fillId="0" borderId="28" xfId="0" applyFont="1" applyBorder="1"/>
    <xf numFmtId="0" fontId="11" fillId="0" borderId="29" xfId="0" applyFont="1" applyBorder="1"/>
    <xf numFmtId="0" fontId="12" fillId="0" borderId="28" xfId="0" applyFont="1" applyBorder="1"/>
    <xf numFmtId="0" fontId="3" fillId="0" borderId="31" xfId="0" applyFont="1" applyBorder="1"/>
    <xf numFmtId="0" fontId="0" fillId="0" borderId="30" xfId="0" applyFill="1" applyBorder="1"/>
    <xf numFmtId="0" fontId="0" fillId="0" borderId="0" xfId="0" applyAlignment="1">
      <alignment horizontal="right"/>
    </xf>
    <xf numFmtId="0" fontId="3" fillId="0" borderId="0" xfId="0" applyFont="1" applyBorder="1" applyAlignment="1">
      <alignment horizontal="right"/>
    </xf>
    <xf numFmtId="0" fontId="3" fillId="0" borderId="30" xfId="0" applyFont="1" applyBorder="1" applyAlignment="1">
      <alignment horizontal="right"/>
    </xf>
    <xf numFmtId="0" fontId="3" fillId="0" borderId="0" xfId="0" applyFont="1" applyBorder="1" applyAlignment="1">
      <alignment horizontal="center"/>
    </xf>
    <xf numFmtId="0" fontId="3" fillId="0" borderId="25" xfId="0" applyFont="1" applyBorder="1" applyAlignment="1">
      <alignment horizontal="center"/>
    </xf>
    <xf numFmtId="0" fontId="3" fillId="0" borderId="26" xfId="0" applyFont="1" applyBorder="1" applyAlignment="1">
      <alignment horizontal="center"/>
    </xf>
    <xf numFmtId="0" fontId="3" fillId="0" borderId="27" xfId="0" applyFont="1" applyBorder="1" applyAlignment="1">
      <alignment horizontal="center"/>
    </xf>
    <xf numFmtId="0" fontId="5" fillId="0" borderId="25" xfId="0" applyFont="1" applyBorder="1" applyAlignment="1">
      <alignment horizontal="center"/>
    </xf>
    <xf numFmtId="0" fontId="5" fillId="0" borderId="26" xfId="0" applyFont="1" applyBorder="1" applyAlignment="1">
      <alignment horizontal="center"/>
    </xf>
    <xf numFmtId="0" fontId="5" fillId="0" borderId="17" xfId="0" applyFont="1" applyBorder="1" applyAlignment="1">
      <alignment horizontal="center"/>
    </xf>
    <xf numFmtId="0" fontId="5" fillId="0" borderId="18" xfId="0" applyFont="1" applyBorder="1" applyAlignment="1">
      <alignment horizontal="center"/>
    </xf>
    <xf numFmtId="0" fontId="5" fillId="0" borderId="19" xfId="0" applyFont="1" applyBorder="1" applyAlignment="1">
      <alignment horizontal="center"/>
    </xf>
    <xf numFmtId="0" fontId="0" fillId="3" borderId="0" xfId="0" applyFill="1"/>
    <xf numFmtId="0" fontId="5" fillId="3" borderId="0" xfId="0" applyFont="1" applyFill="1"/>
    <xf numFmtId="0" fontId="5" fillId="3" borderId="0" xfId="0" applyFont="1" applyFill="1" applyBorder="1"/>
    <xf numFmtId="2" fontId="0" fillId="3" borderId="0" xfId="0" applyNumberFormat="1" applyFill="1"/>
    <xf numFmtId="13" fontId="0" fillId="3" borderId="0" xfId="0" applyNumberFormat="1" applyFill="1"/>
    <xf numFmtId="0" fontId="0" fillId="7" borderId="0" xfId="0" applyFill="1"/>
    <xf numFmtId="2" fontId="0" fillId="7" borderId="0" xfId="0" applyNumberFormat="1" applyFill="1"/>
    <xf numFmtId="0" fontId="0" fillId="8" borderId="0" xfId="0" applyFill="1"/>
    <xf numFmtId="0" fontId="13" fillId="0" borderId="0" xfId="0" applyFont="1"/>
    <xf numFmtId="0" fontId="7" fillId="0" borderId="0" xfId="0" applyFont="1" applyFill="1"/>
    <xf numFmtId="0" fontId="7" fillId="0" borderId="0" xfId="0" applyFont="1"/>
    <xf numFmtId="0" fontId="0" fillId="0" borderId="0" xfId="0" applyFont="1"/>
    <xf numFmtId="0" fontId="13" fillId="3" borderId="0" xfId="0" applyFont="1" applyFill="1"/>
    <xf numFmtId="0" fontId="0" fillId="9" borderId="0" xfId="0" applyFill="1"/>
    <xf numFmtId="0" fontId="0" fillId="0" borderId="0" xfId="0" applyFont="1" applyFill="1"/>
    <xf numFmtId="0" fontId="13" fillId="0" borderId="0" xfId="0" applyFont="1" applyFill="1"/>
    <xf numFmtId="16" fontId="0" fillId="0" borderId="0" xfId="0" applyNumberFormat="1"/>
    <xf numFmtId="0" fontId="0" fillId="0" borderId="30" xfId="0" applyBorder="1"/>
    <xf numFmtId="0" fontId="5" fillId="0" borderId="0" xfId="0" applyFont="1" applyFill="1"/>
    <xf numFmtId="0" fontId="0" fillId="10" borderId="0" xfId="0" applyFill="1"/>
    <xf numFmtId="0" fontId="0" fillId="0" borderId="32" xfId="0" applyBorder="1" applyAlignment="1">
      <alignment horizontal="left" vertical="center"/>
    </xf>
    <xf numFmtId="0" fontId="0" fillId="6" borderId="0" xfId="0" applyFill="1"/>
    <xf numFmtId="2" fontId="0" fillId="6" borderId="0" xfId="0" applyNumberFormat="1" applyFill="1"/>
    <xf numFmtId="0" fontId="0" fillId="0" borderId="3" xfId="0" applyNumberFormat="1" applyBorder="1"/>
    <xf numFmtId="0" fontId="0" fillId="0" borderId="11" xfId="0" applyNumberFormat="1" applyBorder="1"/>
    <xf numFmtId="0" fontId="0" fillId="0" borderId="4" xfId="0" applyNumberFormat="1" applyBorder="1"/>
    <xf numFmtId="10" fontId="0" fillId="0" borderId="27" xfId="0" applyNumberFormat="1" applyBorder="1"/>
    <xf numFmtId="0" fontId="0" fillId="0" borderId="28" xfId="0" applyFill="1" applyBorder="1"/>
    <xf numFmtId="0" fontId="3" fillId="4" borderId="3" xfId="0" applyFont="1" applyFill="1" applyBorder="1" applyAlignment="1">
      <alignment vertical="center"/>
    </xf>
    <xf numFmtId="0" fontId="0" fillId="4" borderId="4" xfId="0" applyFill="1" applyBorder="1" applyAlignment="1">
      <alignment vertical="center"/>
    </xf>
    <xf numFmtId="0" fontId="2" fillId="11" borderId="8" xfId="0" applyFont="1" applyFill="1" applyBorder="1" applyAlignment="1">
      <alignment horizontal="center" vertical="center"/>
    </xf>
    <xf numFmtId="0" fontId="0" fillId="0" borderId="9" xfId="0" applyBorder="1" applyAlignment="1">
      <alignment vertical="center"/>
    </xf>
    <xf numFmtId="0" fontId="0" fillId="0" borderId="10" xfId="0" applyBorder="1" applyAlignment="1">
      <alignment vertical="center"/>
    </xf>
    <xf numFmtId="0" fontId="3" fillId="4" borderId="8" xfId="0" applyFont="1" applyFill="1" applyBorder="1" applyAlignment="1">
      <alignment horizontal="left" vertical="center"/>
    </xf>
    <xf numFmtId="0" fontId="0" fillId="4" borderId="10" xfId="0" applyFill="1" applyBorder="1" applyAlignment="1">
      <alignment horizontal="left" vertical="center"/>
    </xf>
    <xf numFmtId="0" fontId="3" fillId="4" borderId="13" xfId="0" applyFont="1" applyFill="1" applyBorder="1" applyAlignment="1">
      <alignment horizontal="left" vertical="center"/>
    </xf>
    <xf numFmtId="0" fontId="0" fillId="4" borderId="12" xfId="0" applyFill="1" applyBorder="1" applyAlignment="1">
      <alignment horizontal="left" vertical="center"/>
    </xf>
    <xf numFmtId="0" fontId="5" fillId="0" borderId="25" xfId="0" applyFont="1" applyBorder="1" applyAlignment="1">
      <alignment horizontal="center"/>
    </xf>
    <xf numFmtId="0" fontId="5" fillId="0" borderId="26" xfId="0" applyFont="1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27" xfId="0" applyBorder="1" applyAlignment="1">
      <alignment horizontal="center"/>
    </xf>
    <xf numFmtId="0" fontId="3" fillId="0" borderId="26" xfId="0" applyFont="1" applyBorder="1" applyAlignment="1">
      <alignment horizontal="center"/>
    </xf>
    <xf numFmtId="0" fontId="3" fillId="0" borderId="27" xfId="0" applyFont="1" applyBorder="1" applyAlignment="1">
      <alignment horizontal="center"/>
    </xf>
    <xf numFmtId="0" fontId="3" fillId="0" borderId="25" xfId="0" applyFont="1" applyBorder="1" applyAlignment="1">
      <alignment horizontal="center"/>
    </xf>
    <xf numFmtId="166" fontId="0" fillId="0" borderId="0" xfId="0" applyNumberFormat="1"/>
    <xf numFmtId="166" fontId="0" fillId="0" borderId="30" xfId="0" applyNumberFormat="1" applyBorder="1"/>
    <xf numFmtId="166" fontId="0" fillId="0" borderId="0" xfId="0" applyNumberFormat="1" applyFill="1"/>
  </cellXfs>
  <cellStyles count="4">
    <cellStyle name="Lien hypertexte" xfId="1" builtinId="8"/>
    <cellStyle name="Lien hypertexte visité" xfId="3" builtinId="9" hidden="1"/>
    <cellStyle name="Monétaire" xfId="2" builtinId="4"/>
    <cellStyle name="Normal" xfId="0" builtinId="0"/>
  </cellStyles>
  <dxfs count="0"/>
  <tableStyles count="0" defaultTableStyle="TableStyleMedium9" defaultPivotStyle="PivotStyleMedium4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openxmlformats.org/officeDocument/2006/relationships/calcChain" Target="calcChain.xml"/><Relationship Id="rId21" Type="http://schemas.microsoft.com/office/2006/relationships/vbaProject" Target="vbaProject.bin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externalLink" Target="externalLinks/externalLink1.xml"/><Relationship Id="rId13" Type="http://schemas.openxmlformats.org/officeDocument/2006/relationships/externalLink" Target="externalLinks/externalLink2.xml"/><Relationship Id="rId14" Type="http://schemas.openxmlformats.org/officeDocument/2006/relationships/externalLink" Target="externalLinks/externalLink3.xml"/><Relationship Id="rId15" Type="http://schemas.openxmlformats.org/officeDocument/2006/relationships/externalLink" Target="externalLinks/externalLink4.xml"/><Relationship Id="rId16" Type="http://schemas.openxmlformats.org/officeDocument/2006/relationships/externalLink" Target="externalLinks/externalLink5.xml"/><Relationship Id="rId17" Type="http://schemas.openxmlformats.org/officeDocument/2006/relationships/theme" Target="theme/theme1.xml"/><Relationship Id="rId18" Type="http://schemas.openxmlformats.org/officeDocument/2006/relationships/styles" Target="styles.xml"/><Relationship Id="rId1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fr-FR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overlay val="0"/>
      <c:spPr>
        <a:noFill/>
        <a:ln w="25400">
          <a:noFill/>
        </a:ln>
      </c:spPr>
      <c:txPr>
        <a:bodyPr/>
        <a:lstStyle/>
        <a:p>
          <a:pPr>
            <a:defRPr sz="12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0.171296683522957"/>
          <c:y val="0.219373829721526"/>
          <c:w val="0.525464150806909"/>
          <c:h val="0.700856650798641"/>
        </c:manualLayout>
      </c:layout>
      <c:scatterChart>
        <c:scatterStyle val="lineMarker"/>
        <c:varyColors val="0"/>
        <c:ser>
          <c:idx val="0"/>
          <c:order val="0"/>
          <c:tx>
            <c:strRef>
              <c:f>'{Calculs intermediaires}'!$A$2</c:f>
              <c:strCache>
                <c:ptCount val="1"/>
                <c:pt idx="0">
                  <c:v>Loi de débit</c:v>
                </c:pt>
              </c:strCache>
            </c:strRef>
          </c:tx>
          <c:spPr>
            <a:ln w="38100">
              <a:solidFill>
                <a:srgbClr val="666699"/>
              </a:solidFill>
              <a:prstDash val="solid"/>
            </a:ln>
          </c:spPr>
          <c:marker>
            <c:spPr>
              <a:gradFill rotWithShape="0">
                <a:gsLst>
                  <a:gs pos="0">
                    <a:srgbClr val="9BC1FF"/>
                  </a:gs>
                  <a:gs pos="100000">
                    <a:srgbClr val="3F80CD"/>
                  </a:gs>
                </a:gsLst>
                <a:lin ang="5400000"/>
              </a:gradFill>
              <a:ln>
                <a:solidFill>
                  <a:srgbClr val="666699"/>
                </a:solidFill>
                <a:prstDash val="solid"/>
              </a:ln>
              <a:effectLst>
                <a:outerShdw dist="35921" dir="2700000" algn="br">
                  <a:srgbClr val="000000"/>
                </a:outerShdw>
              </a:effectLst>
            </c:spPr>
          </c:marker>
          <c:xVal>
            <c:numRef>
              <c:f>'{Calculs intermediaires}'!$A$4:$A$7</c:f>
              <c:numCache>
                <c:formatCode>General</c:formatCode>
                <c:ptCount val="4"/>
                <c:pt idx="0">
                  <c:v>0.0</c:v>
                </c:pt>
                <c:pt idx="1">
                  <c:v>19.0896</c:v>
                </c:pt>
                <c:pt idx="2">
                  <c:v>19.68</c:v>
                </c:pt>
                <c:pt idx="3" formatCode="0.00">
                  <c:v>59.04</c:v>
                </c:pt>
              </c:numCache>
            </c:numRef>
          </c:xVal>
          <c:yVal>
            <c:numRef>
              <c:f>'{Calculs intermediaires}'!$B$4:$B$7</c:f>
              <c:numCache>
                <c:formatCode>0.00</c:formatCode>
                <c:ptCount val="4"/>
                <c:pt idx="0">
                  <c:v>1528.460605260684</c:v>
                </c:pt>
                <c:pt idx="1">
                  <c:v>1528.460605260684</c:v>
                </c:pt>
                <c:pt idx="2">
                  <c:v>1132.279468548257</c:v>
                </c:pt>
                <c:pt idx="3">
                  <c:v>1132.279468548257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69176"/>
        <c:axId val="2961864"/>
      </c:scatterChart>
      <c:valAx>
        <c:axId val="29691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80808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fr-FR"/>
          </a:p>
        </c:txPr>
        <c:crossAx val="2961864"/>
        <c:crosses val="autoZero"/>
        <c:crossBetween val="midCat"/>
      </c:valAx>
      <c:valAx>
        <c:axId val="2961864"/>
        <c:scaling>
          <c:orientation val="minMax"/>
        </c:scaling>
        <c:delete val="0"/>
        <c:axPos val="l"/>
        <c:majorGridlines>
          <c:spPr>
            <a:ln w="3175">
              <a:solidFill>
                <a:srgbClr val="808080"/>
              </a:solidFill>
              <a:prstDash val="solid"/>
            </a:ln>
          </c:spPr>
        </c:majorGridlines>
        <c:numFmt formatCode="0.00" sourceLinked="1"/>
        <c:majorTickMark val="out"/>
        <c:minorTickMark val="none"/>
        <c:tickLblPos val="nextTo"/>
        <c:spPr>
          <a:ln w="3175">
            <a:solidFill>
              <a:srgbClr val="80808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fr-FR"/>
          </a:p>
        </c:txPr>
        <c:crossAx val="2969176"/>
        <c:crosses val="autoZero"/>
        <c:crossBetween val="midCat"/>
      </c:valAx>
      <c:spPr>
        <a:solidFill>
          <a:srgbClr val="FFFFFF"/>
        </a:solidFill>
        <a:ln w="25400">
          <a:noFill/>
        </a:ln>
      </c:spPr>
    </c:plotArea>
    <c:legend>
      <c:legendPos val="r"/>
      <c:layout>
        <c:manualLayout>
          <c:xMode val="edge"/>
          <c:yMode val="edge"/>
          <c:x val="0.759260960435501"/>
          <c:y val="0.649574444220114"/>
          <c:w val="0.212963449013318"/>
          <c:h val="0.0797723788799905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80808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fr-FR"/>
    </a:p>
  </c:txPr>
  <c:printSettings>
    <c:headerFooter alignWithMargins="0"/>
    <c:pageMargins b="0.984251969" l="0.750000000000004" r="0.750000000000004" t="0.984251969" header="0.5" footer="0.5"/>
    <c:pageSetup/>
  </c:printSettings>
</c:chartSpac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4" Type="http://schemas.openxmlformats.org/officeDocument/2006/relationships/image" Target="../media/image4.png"/><Relationship Id="rId1" Type="http://schemas.openxmlformats.org/officeDocument/2006/relationships/image" Target="../media/image1.jpeg"/><Relationship Id="rId2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13970</xdr:colOff>
      <xdr:row>19</xdr:row>
      <xdr:rowOff>7620</xdr:rowOff>
    </xdr:from>
    <xdr:to>
      <xdr:col>7</xdr:col>
      <xdr:colOff>722942</xdr:colOff>
      <xdr:row>23</xdr:row>
      <xdr:rowOff>132080</xdr:rowOff>
    </xdr:to>
    <xdr:sp macro="[0]!Actualiser" textlink="">
      <xdr:nvSpPr>
        <xdr:cNvPr id="2" name="Rectangle 1"/>
        <xdr:cNvSpPr/>
      </xdr:nvSpPr>
      <xdr:spPr bwMode="auto">
        <a:xfrm>
          <a:off x="7106920" y="3804920"/>
          <a:ext cx="822960" cy="822960"/>
        </a:xfrm>
        <a:prstGeom prst="rect">
          <a:avLst/>
        </a:prstGeom>
        <a:solidFill>
          <a:srgbClr val="FF00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  <a:extLst/>
      </xdr:spPr>
      <xdr:txBody>
        <a:bodyPr wrap="square" anchor="ctr"/>
        <a:lstStyle/>
        <a:p>
          <a:pPr algn="ctr"/>
          <a:r>
            <a:rPr lang="fr-FR" sz="1600" b="1">
              <a:solidFill>
                <a:schemeClr val="bg1"/>
              </a:solidFill>
            </a:rPr>
            <a:t>ITERER</a:t>
          </a:r>
        </a:p>
      </xdr:txBody>
    </xdr:sp>
    <xdr:clientData/>
  </xdr:twoCellAnchor>
  <xdr:twoCellAnchor>
    <xdr:from>
      <xdr:col>8</xdr:col>
      <xdr:colOff>241299</xdr:colOff>
      <xdr:row>18</xdr:row>
      <xdr:rowOff>114299</xdr:rowOff>
    </xdr:from>
    <xdr:to>
      <xdr:col>9</xdr:col>
      <xdr:colOff>474103</xdr:colOff>
      <xdr:row>23</xdr:row>
      <xdr:rowOff>141594</xdr:rowOff>
    </xdr:to>
    <xdr:sp macro="[0]!ThisWorkbook.Matlab" textlink="">
      <xdr:nvSpPr>
        <xdr:cNvPr id="4" name="ZoneTexte 3"/>
        <xdr:cNvSpPr txBox="1">
          <a:spLocks noChangeAspect="1"/>
        </xdr:cNvSpPr>
      </xdr:nvSpPr>
      <xdr:spPr>
        <a:xfrm>
          <a:off x="8331199" y="3682999"/>
          <a:ext cx="906780" cy="906780"/>
        </a:xfrm>
        <a:prstGeom prst="rect">
          <a:avLst/>
        </a:prstGeom>
        <a:solidFill>
          <a:schemeClr val="accent3">
            <a:lumMod val="75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600" b="1" i="0">
              <a:solidFill>
                <a:schemeClr val="bg1"/>
              </a:solidFill>
            </a:rPr>
            <a:t>MATLAB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219075</xdr:colOff>
      <xdr:row>2</xdr:row>
      <xdr:rowOff>85725</xdr:rowOff>
    </xdr:from>
    <xdr:to>
      <xdr:col>11</xdr:col>
      <xdr:colOff>142875</xdr:colOff>
      <xdr:row>23</xdr:row>
      <xdr:rowOff>28575</xdr:rowOff>
    </xdr:to>
    <xdr:graphicFrame macro="">
      <xdr:nvGraphicFramePr>
        <xdr:cNvPr id="2421" name="Graphique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104775</xdr:colOff>
      <xdr:row>0</xdr:row>
      <xdr:rowOff>28575</xdr:rowOff>
    </xdr:from>
    <xdr:to>
      <xdr:col>11</xdr:col>
      <xdr:colOff>485775</xdr:colOff>
      <xdr:row>13</xdr:row>
      <xdr:rowOff>38100</xdr:rowOff>
    </xdr:to>
    <xdr:pic>
      <xdr:nvPicPr>
        <xdr:cNvPr id="221334" name="Image 1"/>
        <xdr:cNvPicPr>
          <a:picLocks noChangeAspect="1"/>
        </xdr:cNvPicPr>
      </xdr:nvPicPr>
      <xdr:blipFill>
        <a:blip xmlns:r="http://schemas.openxmlformats.org/officeDocument/2006/relationships" r:embed="rId1" cstate="print"/>
        <a:srcRect l="20195" t="18367" r="6685" b="37848"/>
        <a:stretch>
          <a:fillRect/>
        </a:stretch>
      </xdr:blipFill>
      <xdr:spPr bwMode="auto">
        <a:xfrm>
          <a:off x="9277350" y="28575"/>
          <a:ext cx="4105275" cy="2114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10</xdr:col>
      <xdr:colOff>247650</xdr:colOff>
      <xdr:row>36</xdr:row>
      <xdr:rowOff>66675</xdr:rowOff>
    </xdr:from>
    <xdr:to>
      <xdr:col>12</xdr:col>
      <xdr:colOff>590550</xdr:colOff>
      <xdr:row>67</xdr:row>
      <xdr:rowOff>123825</xdr:rowOff>
    </xdr:to>
    <xdr:pic>
      <xdr:nvPicPr>
        <xdr:cNvPr id="221335" name="Picture 6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12306300" y="5895975"/>
          <a:ext cx="2295525" cy="50768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7</xdr:col>
      <xdr:colOff>104775</xdr:colOff>
      <xdr:row>0</xdr:row>
      <xdr:rowOff>28575</xdr:rowOff>
    </xdr:from>
    <xdr:to>
      <xdr:col>11</xdr:col>
      <xdr:colOff>152400</xdr:colOff>
      <xdr:row>13</xdr:row>
      <xdr:rowOff>38100</xdr:rowOff>
    </xdr:to>
    <xdr:pic>
      <xdr:nvPicPr>
        <xdr:cNvPr id="221336" name="Image 6"/>
        <xdr:cNvPicPr>
          <a:picLocks noChangeAspect="1"/>
        </xdr:cNvPicPr>
      </xdr:nvPicPr>
      <xdr:blipFill>
        <a:blip xmlns:r="http://schemas.openxmlformats.org/officeDocument/2006/relationships" r:embed="rId1" cstate="print"/>
        <a:srcRect l="20195" t="18367" r="6685" b="37848"/>
        <a:stretch>
          <a:fillRect/>
        </a:stretch>
      </xdr:blipFill>
      <xdr:spPr bwMode="auto">
        <a:xfrm>
          <a:off x="9277350" y="28575"/>
          <a:ext cx="3771900" cy="2114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7</xdr:col>
      <xdr:colOff>152400</xdr:colOff>
      <xdr:row>72</xdr:row>
      <xdr:rowOff>66675</xdr:rowOff>
    </xdr:from>
    <xdr:to>
      <xdr:col>9</xdr:col>
      <xdr:colOff>219075</xdr:colOff>
      <xdr:row>83</xdr:row>
      <xdr:rowOff>9525</xdr:rowOff>
    </xdr:to>
    <xdr:pic>
      <xdr:nvPicPr>
        <xdr:cNvPr id="221337" name="Picture 10"/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9324975" y="11239500"/>
          <a:ext cx="2114550" cy="17240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3</xdr:col>
      <xdr:colOff>247650</xdr:colOff>
      <xdr:row>21</xdr:row>
      <xdr:rowOff>66675</xdr:rowOff>
    </xdr:from>
    <xdr:to>
      <xdr:col>4</xdr:col>
      <xdr:colOff>771525</xdr:colOff>
      <xdr:row>31</xdr:row>
      <xdr:rowOff>9525</xdr:rowOff>
    </xdr:to>
    <xdr:pic>
      <xdr:nvPicPr>
        <xdr:cNvPr id="221338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/>
        <a:srcRect/>
        <a:stretch>
          <a:fillRect/>
        </a:stretch>
      </xdr:blipFill>
      <xdr:spPr bwMode="auto">
        <a:xfrm>
          <a:off x="4762500" y="3467100"/>
          <a:ext cx="1381125" cy="1562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7</xdr:col>
      <xdr:colOff>104775</xdr:colOff>
      <xdr:row>0</xdr:row>
      <xdr:rowOff>28575</xdr:rowOff>
    </xdr:from>
    <xdr:to>
      <xdr:col>11</xdr:col>
      <xdr:colOff>485775</xdr:colOff>
      <xdr:row>13</xdr:row>
      <xdr:rowOff>38100</xdr:rowOff>
    </xdr:to>
    <xdr:pic>
      <xdr:nvPicPr>
        <xdr:cNvPr id="221339" name="Image 1"/>
        <xdr:cNvPicPr>
          <a:picLocks noChangeAspect="1"/>
        </xdr:cNvPicPr>
      </xdr:nvPicPr>
      <xdr:blipFill>
        <a:blip xmlns:r="http://schemas.openxmlformats.org/officeDocument/2006/relationships" r:embed="rId1" cstate="print"/>
        <a:srcRect l="20195" t="18367" r="6685" b="37848"/>
        <a:stretch>
          <a:fillRect/>
        </a:stretch>
      </xdr:blipFill>
      <xdr:spPr bwMode="auto">
        <a:xfrm>
          <a:off x="9277350" y="28575"/>
          <a:ext cx="4105275" cy="2114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10</xdr:col>
      <xdr:colOff>247650</xdr:colOff>
      <xdr:row>36</xdr:row>
      <xdr:rowOff>66675</xdr:rowOff>
    </xdr:from>
    <xdr:to>
      <xdr:col>12</xdr:col>
      <xdr:colOff>590550</xdr:colOff>
      <xdr:row>67</xdr:row>
      <xdr:rowOff>123825</xdr:rowOff>
    </xdr:to>
    <xdr:pic>
      <xdr:nvPicPr>
        <xdr:cNvPr id="221340" name="Picture 6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12306300" y="5895975"/>
          <a:ext cx="2295525" cy="50768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7</xdr:col>
      <xdr:colOff>104775</xdr:colOff>
      <xdr:row>0</xdr:row>
      <xdr:rowOff>28575</xdr:rowOff>
    </xdr:from>
    <xdr:to>
      <xdr:col>11</xdr:col>
      <xdr:colOff>152400</xdr:colOff>
      <xdr:row>13</xdr:row>
      <xdr:rowOff>38100</xdr:rowOff>
    </xdr:to>
    <xdr:pic>
      <xdr:nvPicPr>
        <xdr:cNvPr id="221341" name="Image 6"/>
        <xdr:cNvPicPr>
          <a:picLocks noChangeAspect="1"/>
        </xdr:cNvPicPr>
      </xdr:nvPicPr>
      <xdr:blipFill>
        <a:blip xmlns:r="http://schemas.openxmlformats.org/officeDocument/2006/relationships" r:embed="rId1" cstate="print"/>
        <a:srcRect l="20195" t="18367" r="6685" b="37848"/>
        <a:stretch>
          <a:fillRect/>
        </a:stretch>
      </xdr:blipFill>
      <xdr:spPr bwMode="auto">
        <a:xfrm>
          <a:off x="9277350" y="28575"/>
          <a:ext cx="3771900" cy="2114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7</xdr:col>
      <xdr:colOff>152400</xdr:colOff>
      <xdr:row>73</xdr:row>
      <xdr:rowOff>66675</xdr:rowOff>
    </xdr:from>
    <xdr:to>
      <xdr:col>9</xdr:col>
      <xdr:colOff>219075</xdr:colOff>
      <xdr:row>84</xdr:row>
      <xdr:rowOff>9525</xdr:rowOff>
    </xdr:to>
    <xdr:pic>
      <xdr:nvPicPr>
        <xdr:cNvPr id="221342" name="Picture 10"/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9324975" y="11401425"/>
          <a:ext cx="2114550" cy="17240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3</xdr:col>
      <xdr:colOff>247650</xdr:colOff>
      <xdr:row>21</xdr:row>
      <xdr:rowOff>66675</xdr:rowOff>
    </xdr:from>
    <xdr:to>
      <xdr:col>4</xdr:col>
      <xdr:colOff>771525</xdr:colOff>
      <xdr:row>31</xdr:row>
      <xdr:rowOff>9525</xdr:rowOff>
    </xdr:to>
    <xdr:pic>
      <xdr:nvPicPr>
        <xdr:cNvPr id="221343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/>
        <a:srcRect/>
        <a:stretch>
          <a:fillRect/>
        </a:stretch>
      </xdr:blipFill>
      <xdr:spPr bwMode="auto">
        <a:xfrm>
          <a:off x="4762500" y="3467100"/>
          <a:ext cx="1381125" cy="1562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22</xdr:col>
      <xdr:colOff>561975</xdr:colOff>
      <xdr:row>46</xdr:row>
      <xdr:rowOff>0</xdr:rowOff>
    </xdr:from>
    <xdr:to>
      <xdr:col>24</xdr:col>
      <xdr:colOff>47625</xdr:colOff>
      <xdr:row>94</xdr:row>
      <xdr:rowOff>114300</xdr:rowOff>
    </xdr:to>
    <xdr:pic>
      <xdr:nvPicPr>
        <xdr:cNvPr id="4299" name="Image 2"/>
        <xdr:cNvPicPr>
          <a:picLocks noChangeAspect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8602325" y="7448550"/>
          <a:ext cx="1162050" cy="78867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ydethe/Documents/Cours/projet-lanceur/Support%20cours/conecyl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ydethe/Documents/Cours/projet-lanceur/Support%20cours/interpol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ydethe/Documents/Cours/projet-lanceur/Support%20cours/r&#233;treint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ydethe/Documents/Cours/projet-lanceur/Support%20cours/Kp_jupe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ydethe/Documents/Cours/projet-lanceur/Support%20cours/Cone.xls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ConeCylindre 5°"/>
      <sheetName val="ConeCylindre 10°"/>
      <sheetName val="ConeCylindre 15°"/>
      <sheetName val="ConeCylindre 20°"/>
      <sheetName val="conecyl.xls"/>
      <sheetName val="conecyl"/>
    </sheetNames>
    <definedNames>
      <definedName name="InterpCm"/>
      <definedName name="InterpCn"/>
    </definedNames>
    <sheetDataSet>
      <sheetData sheetId="0"/>
      <sheetData sheetId="1"/>
      <sheetData sheetId="2"/>
      <sheetData sheetId="3"/>
      <sheetData sheetId="4" refreshError="1"/>
      <sheetData sheetId="5" refreshError="1"/>
    </sheetDataSet>
  </externalBook>
</externalLink>
</file>

<file path=xl/externalLinks/externalLink2.xml><?xml version="1.0" encoding="utf-8"?>
<externalLink xmlns="http://schemas.openxmlformats.org/spreadsheetml/2006/main">
  <externalBook xmlns:r="http://schemas.openxmlformats.org/officeDocument/2006/relationships" r:id="rId1">
    <sheetNames>
      <sheetName val="Module1"/>
      <sheetName val="Dialog1"/>
      <sheetName val="interpolation"/>
      <sheetName val="interpolation2"/>
      <sheetName val="interpol.xls"/>
      <sheetName val="interpol"/>
    </sheetNames>
    <definedNames>
      <definedName name="interpol"/>
    </definedNames>
    <sheetDataSet>
      <sheetData sheetId="0" refreshError="1"/>
      <sheetData sheetId="1"/>
      <sheetData sheetId="2" refreshError="1"/>
      <sheetData sheetId="3" refreshError="1"/>
      <sheetData sheetId="4" refreshError="1"/>
      <sheetData sheetId="5" refreshError="1"/>
    </sheetDataSet>
  </externalBook>
</externalLink>
</file>

<file path=xl/externalLinks/externalLink3.xml><?xml version="1.0" encoding="utf-8"?>
<externalLink xmlns="http://schemas.openxmlformats.org/spreadsheetml/2006/main">
  <externalBook xmlns:r="http://schemas.openxmlformats.org/officeDocument/2006/relationships" r:id="rId1">
    <sheetNames>
      <sheetName val="CA basé sur Ariane 3"/>
    </sheetNames>
    <sheetDataSet>
      <sheetData sheetId="0">
        <row r="6">
          <cell r="A6">
            <v>0.1</v>
          </cell>
          <cell r="B6">
            <v>4.6530439690507085E-3</v>
          </cell>
        </row>
        <row r="7">
          <cell r="A7">
            <v>0.3</v>
          </cell>
          <cell r="B7">
            <v>5.2170492986326131E-3</v>
          </cell>
        </row>
        <row r="8">
          <cell r="A8">
            <v>0.5</v>
          </cell>
          <cell r="B8">
            <v>7.3350871489917683E-3</v>
          </cell>
        </row>
        <row r="9">
          <cell r="A9">
            <v>0.7</v>
          </cell>
          <cell r="B9">
            <v>1.2213967972664004E-2</v>
          </cell>
        </row>
        <row r="10">
          <cell r="A10">
            <v>0.8</v>
          </cell>
          <cell r="B10">
            <v>1.4975313923381587E-2</v>
          </cell>
        </row>
        <row r="11">
          <cell r="A11">
            <v>0.9</v>
          </cell>
          <cell r="B11">
            <v>2.9124068312031081E-2</v>
          </cell>
        </row>
        <row r="12">
          <cell r="A12">
            <v>0.95</v>
          </cell>
          <cell r="B12">
            <v>7.6596542766387221E-2</v>
          </cell>
        </row>
        <row r="13">
          <cell r="A13">
            <v>1</v>
          </cell>
          <cell r="B13">
            <v>0.11182864293434305</v>
          </cell>
        </row>
        <row r="14">
          <cell r="A14">
            <v>1.05</v>
          </cell>
          <cell r="B14">
            <v>0.11030565694041626</v>
          </cell>
        </row>
        <row r="15">
          <cell r="A15">
            <v>1.1000000000000001</v>
          </cell>
          <cell r="B15">
            <v>0.10406355941601206</v>
          </cell>
        </row>
        <row r="16">
          <cell r="A16">
            <v>1.2</v>
          </cell>
          <cell r="B16">
            <v>9.2658018431312827E-2</v>
          </cell>
        </row>
        <row r="17">
          <cell r="A17">
            <v>1.3</v>
          </cell>
          <cell r="B17">
            <v>8.2609202368304407E-2</v>
          </cell>
        </row>
        <row r="18">
          <cell r="A18">
            <v>1.5</v>
          </cell>
          <cell r="B18">
            <v>7.3539488016606022E-2</v>
          </cell>
        </row>
        <row r="19">
          <cell r="A19">
            <v>2</v>
          </cell>
          <cell r="B19">
            <v>5.0865202137360059E-2</v>
          </cell>
        </row>
        <row r="20">
          <cell r="A20">
            <v>3</v>
          </cell>
          <cell r="B20">
            <v>2.7777262481908777E-2</v>
          </cell>
        </row>
        <row r="21">
          <cell r="A21">
            <v>5</v>
          </cell>
          <cell r="B21">
            <v>6.3450599577964213E-3</v>
          </cell>
        </row>
        <row r="22">
          <cell r="A22">
            <v>7</v>
          </cell>
          <cell r="B22">
            <v>9.8700932676833229E-4</v>
          </cell>
        </row>
        <row r="23">
          <cell r="A23">
            <v>10</v>
          </cell>
          <cell r="B23">
            <v>0</v>
          </cell>
        </row>
      </sheetData>
    </sheetDataSet>
  </externalBook>
</externalLink>
</file>

<file path=xl/externalLinks/externalLink4.xml><?xml version="1.0" encoding="utf-8"?>
<externalLink xmlns="http://schemas.openxmlformats.org/spreadsheetml/2006/main">
  <externalBook xmlns:r="http://schemas.openxmlformats.org/officeDocument/2006/relationships" r:id="rId1">
    <sheetNames>
      <sheetName val="Graphique"/>
      <sheetName val="jupA_data"/>
      <sheetName val="jupkp_data20deg"/>
      <sheetName val="jupkp_data18deg"/>
      <sheetName val="jupkp_data15deg"/>
      <sheetName val="jupkp_data13deg"/>
      <sheetName val="jupkp_data10deg"/>
      <sheetName val="jupkp_data8deg"/>
      <sheetName val="jupkp_data5deg"/>
    </sheetNames>
    <sheetDataSet>
      <sheetData sheetId="0"/>
      <sheetData sheetId="1">
        <row r="2">
          <cell r="A2">
            <v>0.6</v>
          </cell>
          <cell r="B2">
            <v>4</v>
          </cell>
        </row>
        <row r="3">
          <cell r="A3">
            <v>0.7</v>
          </cell>
          <cell r="B3">
            <v>3.9</v>
          </cell>
        </row>
        <row r="4">
          <cell r="A4">
            <v>0.8</v>
          </cell>
          <cell r="B4">
            <v>3.95</v>
          </cell>
        </row>
        <row r="5">
          <cell r="A5">
            <v>1</v>
          </cell>
          <cell r="B5">
            <v>4.3</v>
          </cell>
        </row>
        <row r="6">
          <cell r="A6">
            <v>1.3</v>
          </cell>
          <cell r="B6">
            <v>3.5</v>
          </cell>
        </row>
        <row r="7">
          <cell r="A7">
            <v>1.7</v>
          </cell>
          <cell r="B7">
            <v>3</v>
          </cell>
        </row>
        <row r="8">
          <cell r="A8">
            <v>2.5</v>
          </cell>
          <cell r="B8">
            <v>2.5499999999999998</v>
          </cell>
        </row>
        <row r="9">
          <cell r="A9">
            <v>3</v>
          </cell>
          <cell r="B9">
            <v>2.4500000000000002</v>
          </cell>
        </row>
        <row r="10">
          <cell r="A10">
            <v>4</v>
          </cell>
          <cell r="B10">
            <v>2.4500000000000002</v>
          </cell>
        </row>
      </sheetData>
      <sheetData sheetId="2"/>
      <sheetData sheetId="3"/>
      <sheetData sheetId="4"/>
      <sheetData sheetId="5"/>
      <sheetData sheetId="6"/>
      <sheetData sheetId="7"/>
      <sheetData sheetId="8">
        <row r="1">
          <cell r="A1">
            <v>0.43303019999999998</v>
          </cell>
          <cell r="B1">
            <v>4.5098369999999999E-2</v>
          </cell>
        </row>
        <row r="2">
          <cell r="A2">
            <v>0.44504070000000001</v>
          </cell>
          <cell r="B2">
            <v>4.570217E-2</v>
          </cell>
        </row>
        <row r="3">
          <cell r="A3">
            <v>0.4522468</v>
          </cell>
          <cell r="B3">
            <v>4.610438E-2</v>
          </cell>
        </row>
        <row r="4">
          <cell r="A4">
            <v>0.45384869999999999</v>
          </cell>
          <cell r="B4">
            <v>4.6105019999999997E-2</v>
          </cell>
        </row>
        <row r="5">
          <cell r="A5">
            <v>0.46265669999999998</v>
          </cell>
          <cell r="B5">
            <v>4.650787E-2</v>
          </cell>
        </row>
        <row r="6">
          <cell r="A6">
            <v>0.469864</v>
          </cell>
          <cell r="B6">
            <v>4.6710420000000002E-2</v>
          </cell>
        </row>
        <row r="7">
          <cell r="A7">
            <v>0.47466720000000001</v>
          </cell>
          <cell r="B7">
            <v>4.7111670000000001E-2</v>
          </cell>
        </row>
        <row r="8">
          <cell r="A8">
            <v>0.48347519999999999</v>
          </cell>
          <cell r="B8">
            <v>4.7514519999999998E-2</v>
          </cell>
        </row>
        <row r="9">
          <cell r="A9">
            <v>0.48748000000000002</v>
          </cell>
          <cell r="B9">
            <v>4.7516120000000002E-2</v>
          </cell>
        </row>
        <row r="10">
          <cell r="A10">
            <v>0.49148350000000002</v>
          </cell>
          <cell r="B10">
            <v>4.7717389999999998E-2</v>
          </cell>
        </row>
        <row r="11">
          <cell r="A11">
            <v>0.49388510000000002</v>
          </cell>
          <cell r="B11">
            <v>4.7918009999999997E-2</v>
          </cell>
        </row>
        <row r="12">
          <cell r="A12">
            <v>0.49548579999999998</v>
          </cell>
          <cell r="B12">
            <v>4.8118319999999999E-2</v>
          </cell>
        </row>
        <row r="13">
          <cell r="A13">
            <v>0.50109239999999999</v>
          </cell>
          <cell r="B13">
            <v>4.812056E-2</v>
          </cell>
        </row>
        <row r="14">
          <cell r="A14">
            <v>0.50589689999999998</v>
          </cell>
          <cell r="B14">
            <v>4.832214E-2</v>
          </cell>
        </row>
        <row r="15">
          <cell r="A15">
            <v>0.5123046</v>
          </cell>
          <cell r="B15">
            <v>4.8324699999999998E-2</v>
          </cell>
        </row>
        <row r="16">
          <cell r="A16">
            <v>0.51710909999999999</v>
          </cell>
          <cell r="B16">
            <v>4.852629E-2</v>
          </cell>
        </row>
        <row r="17">
          <cell r="A17">
            <v>0.52351289999999995</v>
          </cell>
          <cell r="B17">
            <v>4.9127850000000001E-2</v>
          </cell>
        </row>
        <row r="18">
          <cell r="A18">
            <v>0.5267155</v>
          </cell>
          <cell r="B18">
            <v>4.9328799999999999E-2</v>
          </cell>
        </row>
        <row r="19">
          <cell r="A19">
            <v>0.53072019999999998</v>
          </cell>
          <cell r="B19">
            <v>4.9330390000000002E-2</v>
          </cell>
        </row>
        <row r="20">
          <cell r="A20">
            <v>0.53472509999999995</v>
          </cell>
          <cell r="B20">
            <v>4.9331989999999999E-2</v>
          </cell>
        </row>
        <row r="21">
          <cell r="A21">
            <v>0.54513619999999996</v>
          </cell>
          <cell r="B21">
            <v>4.9535820000000001E-2</v>
          </cell>
        </row>
        <row r="22">
          <cell r="A22">
            <v>0.55234229999999995</v>
          </cell>
          <cell r="B22">
            <v>4.9938030000000001E-2</v>
          </cell>
        </row>
        <row r="23">
          <cell r="A23">
            <v>0.55714549999999996</v>
          </cell>
          <cell r="B23">
            <v>5.0339290000000002E-2</v>
          </cell>
        </row>
        <row r="24">
          <cell r="A24">
            <v>0.56355060000000001</v>
          </cell>
          <cell r="B24">
            <v>5.0741179999999997E-2</v>
          </cell>
        </row>
        <row r="25">
          <cell r="A25">
            <v>0.5683551</v>
          </cell>
          <cell r="B25">
            <v>5.0942759999999997E-2</v>
          </cell>
        </row>
        <row r="26">
          <cell r="A26">
            <v>0.57476280000000002</v>
          </cell>
          <cell r="B26">
            <v>5.0945320000000002E-2</v>
          </cell>
        </row>
        <row r="27">
          <cell r="A27">
            <v>0.5835707</v>
          </cell>
          <cell r="B27">
            <v>5.1348169999999999E-2</v>
          </cell>
        </row>
        <row r="28">
          <cell r="A28">
            <v>0.59157899999999997</v>
          </cell>
          <cell r="B28">
            <v>5.1551039999999999E-2</v>
          </cell>
        </row>
        <row r="29">
          <cell r="A29">
            <v>0.60278860000000001</v>
          </cell>
          <cell r="B29">
            <v>5.2154510000000001E-2</v>
          </cell>
        </row>
        <row r="30">
          <cell r="A30">
            <v>0.60919500000000004</v>
          </cell>
          <cell r="B30">
            <v>5.2356739999999999E-2</v>
          </cell>
        </row>
        <row r="31">
          <cell r="A31">
            <v>0.62280740000000001</v>
          </cell>
          <cell r="B31">
            <v>5.2961179999999997E-2</v>
          </cell>
        </row>
        <row r="32">
          <cell r="A32">
            <v>0.63482059999999996</v>
          </cell>
          <cell r="B32">
            <v>5.316564E-2</v>
          </cell>
        </row>
        <row r="33">
          <cell r="A33">
            <v>0.64282760000000005</v>
          </cell>
          <cell r="B33">
            <v>5.356818E-2</v>
          </cell>
        </row>
        <row r="34">
          <cell r="A34">
            <v>0.65083210000000002</v>
          </cell>
          <cell r="B34">
            <v>5.4370040000000001E-2</v>
          </cell>
        </row>
        <row r="35">
          <cell r="A35">
            <v>0.66764959999999995</v>
          </cell>
          <cell r="B35">
            <v>5.477609E-2</v>
          </cell>
        </row>
        <row r="36">
          <cell r="A36">
            <v>0.69006880000000004</v>
          </cell>
          <cell r="B36">
            <v>5.5983049999999999E-2</v>
          </cell>
        </row>
        <row r="37">
          <cell r="A37">
            <v>0.70848319999999998</v>
          </cell>
          <cell r="B37">
            <v>5.71884E-2</v>
          </cell>
        </row>
        <row r="38">
          <cell r="A38">
            <v>0.72449330000000001</v>
          </cell>
          <cell r="B38">
            <v>5.8592470000000001E-2</v>
          </cell>
        </row>
        <row r="39">
          <cell r="A39">
            <v>0.74931029999999998</v>
          </cell>
          <cell r="B39">
            <v>6.0599050000000002E-2</v>
          </cell>
        </row>
        <row r="40">
          <cell r="A40">
            <v>0.76932270000000003</v>
          </cell>
          <cell r="B40">
            <v>6.2404050000000003E-2</v>
          </cell>
        </row>
        <row r="41">
          <cell r="A41">
            <v>0.81334720000000005</v>
          </cell>
          <cell r="B41">
            <v>6.6814299999999993E-2</v>
          </cell>
        </row>
        <row r="42">
          <cell r="A42">
            <v>0.84854700000000005</v>
          </cell>
          <cell r="B42">
            <v>7.3417380000000004E-2</v>
          </cell>
        </row>
        <row r="43">
          <cell r="A43">
            <v>0.86854410000000004</v>
          </cell>
          <cell r="B43">
            <v>7.7618380000000001E-2</v>
          </cell>
        </row>
        <row r="44">
          <cell r="A44">
            <v>0.89334939999999996</v>
          </cell>
          <cell r="B44">
            <v>8.1421960000000002E-2</v>
          </cell>
        </row>
        <row r="45">
          <cell r="A45">
            <v>0.90774100000000002</v>
          </cell>
          <cell r="B45">
            <v>8.5421059999999993E-2</v>
          </cell>
        </row>
        <row r="46">
          <cell r="A46">
            <v>0.92773289999999997</v>
          </cell>
          <cell r="B46">
            <v>9.0420719999999996E-2</v>
          </cell>
        </row>
        <row r="47">
          <cell r="A47">
            <v>0.95091709999999996</v>
          </cell>
          <cell r="B47">
            <v>9.7218659999999998E-2</v>
          </cell>
        </row>
        <row r="48">
          <cell r="A48">
            <v>0.96931230000000002</v>
          </cell>
          <cell r="B48">
            <v>0.101419</v>
          </cell>
        </row>
        <row r="49">
          <cell r="A49">
            <v>0.98850190000000004</v>
          </cell>
          <cell r="B49">
            <v>0.106618</v>
          </cell>
        </row>
        <row r="50">
          <cell r="A50">
            <v>1.00769</v>
          </cell>
          <cell r="B50">
            <v>0.1120167</v>
          </cell>
        </row>
        <row r="51">
          <cell r="A51">
            <v>1.0276650000000001</v>
          </cell>
          <cell r="B51">
            <v>0.119612</v>
          </cell>
        </row>
        <row r="52">
          <cell r="A52">
            <v>1.0492319999999999</v>
          </cell>
          <cell r="B52">
            <v>0.12880539999999999</v>
          </cell>
        </row>
        <row r="53">
          <cell r="A53">
            <v>1.0684039999999999</v>
          </cell>
          <cell r="B53">
            <v>0.1367997</v>
          </cell>
        </row>
        <row r="54">
          <cell r="A54">
            <v>1.0867770000000001</v>
          </cell>
          <cell r="B54">
            <v>0.14439440000000001</v>
          </cell>
        </row>
        <row r="55">
          <cell r="A55">
            <v>1.1083369999999999</v>
          </cell>
          <cell r="B55">
            <v>0.1547857</v>
          </cell>
        </row>
        <row r="56">
          <cell r="A56">
            <v>1.126674</v>
          </cell>
          <cell r="B56">
            <v>0.16797100000000001</v>
          </cell>
        </row>
        <row r="57">
          <cell r="A57">
            <v>1.1466160000000001</v>
          </cell>
          <cell r="B57">
            <v>0.18075769999999999</v>
          </cell>
        </row>
        <row r="58">
          <cell r="A58">
            <v>1.1697679999999999</v>
          </cell>
          <cell r="B58">
            <v>0.1925473</v>
          </cell>
        </row>
        <row r="59">
          <cell r="A59">
            <v>1.1793499999999999</v>
          </cell>
          <cell r="B59">
            <v>0.1971435</v>
          </cell>
        </row>
        <row r="60">
          <cell r="A60">
            <v>1.185743</v>
          </cell>
          <cell r="B60">
            <v>0.1993424</v>
          </cell>
        </row>
        <row r="61">
          <cell r="A61">
            <v>1.1945509999999999</v>
          </cell>
          <cell r="B61">
            <v>0.19974529999999999</v>
          </cell>
        </row>
        <row r="62">
          <cell r="A62">
            <v>1.2057610000000001</v>
          </cell>
          <cell r="B62">
            <v>0.20034869999999999</v>
          </cell>
        </row>
        <row r="63">
          <cell r="A63">
            <v>1.213767</v>
          </cell>
          <cell r="B63">
            <v>0.20095089999999999</v>
          </cell>
        </row>
        <row r="64">
          <cell r="A64">
            <v>1.227382</v>
          </cell>
          <cell r="B64">
            <v>0.201156</v>
          </cell>
        </row>
        <row r="65">
          <cell r="A65">
            <v>1.238599</v>
          </cell>
          <cell r="B65">
            <v>0.2005615</v>
          </cell>
        </row>
        <row r="66">
          <cell r="A66">
            <v>1.255422</v>
          </cell>
          <cell r="B66">
            <v>0.20016890000000001</v>
          </cell>
        </row>
        <row r="67">
          <cell r="A67">
            <v>1.2698480000000001</v>
          </cell>
          <cell r="B67">
            <v>0.19877700000000001</v>
          </cell>
        </row>
        <row r="68">
          <cell r="A68">
            <v>1.2858799999999999</v>
          </cell>
          <cell r="B68">
            <v>0.19678670000000001</v>
          </cell>
        </row>
        <row r="69">
          <cell r="A69">
            <v>1.311531</v>
          </cell>
          <cell r="B69">
            <v>0.1936023</v>
          </cell>
        </row>
        <row r="70">
          <cell r="A70">
            <v>1.328371</v>
          </cell>
          <cell r="B70">
            <v>0.19061400000000001</v>
          </cell>
        </row>
        <row r="71">
          <cell r="A71">
            <v>1.3500160000000001</v>
          </cell>
          <cell r="B71">
            <v>0.18762760000000001</v>
          </cell>
        </row>
        <row r="72">
          <cell r="A72">
            <v>1.367656</v>
          </cell>
          <cell r="B72">
            <v>0.18463969999999999</v>
          </cell>
        </row>
        <row r="73">
          <cell r="A73">
            <v>1.3917139999999999</v>
          </cell>
          <cell r="B73">
            <v>0.18005689999999999</v>
          </cell>
        </row>
        <row r="74">
          <cell r="A74">
            <v>1.4101619999999999</v>
          </cell>
          <cell r="B74">
            <v>0.1760709</v>
          </cell>
        </row>
        <row r="75">
          <cell r="A75">
            <v>1.431022</v>
          </cell>
          <cell r="B75">
            <v>0.17068829999999999</v>
          </cell>
        </row>
        <row r="76">
          <cell r="A76">
            <v>1.451859</v>
          </cell>
          <cell r="B76">
            <v>0.16869990000000001</v>
          </cell>
        </row>
        <row r="77">
          <cell r="A77">
            <v>1.4695050000000001</v>
          </cell>
          <cell r="B77">
            <v>0.16491330000000001</v>
          </cell>
        </row>
        <row r="78">
          <cell r="A78">
            <v>1.4903439999999999</v>
          </cell>
          <cell r="B78">
            <v>0.16272529999999999</v>
          </cell>
        </row>
        <row r="79">
          <cell r="A79">
            <v>1.508785</v>
          </cell>
          <cell r="B79">
            <v>0.15973760000000001</v>
          </cell>
        </row>
        <row r="80">
          <cell r="A80">
            <v>1.528025</v>
          </cell>
          <cell r="B80">
            <v>0.1571496</v>
          </cell>
        </row>
        <row r="81">
          <cell r="A81">
            <v>1.566506</v>
          </cell>
          <cell r="B81">
            <v>0.15177399999999999</v>
          </cell>
        </row>
        <row r="82">
          <cell r="A82">
            <v>1.609802</v>
          </cell>
          <cell r="B82">
            <v>0.14480290000000001</v>
          </cell>
        </row>
        <row r="83">
          <cell r="A83">
            <v>1.650687</v>
          </cell>
          <cell r="B83">
            <v>0.13922860000000001</v>
          </cell>
        </row>
        <row r="84">
          <cell r="A84">
            <v>1.6891640000000001</v>
          </cell>
          <cell r="B84">
            <v>0.13445190000000001</v>
          </cell>
        </row>
        <row r="85">
          <cell r="A85">
            <v>1.729239</v>
          </cell>
          <cell r="B85">
            <v>0.1302749</v>
          </cell>
        </row>
        <row r="86">
          <cell r="A86">
            <v>1.76932</v>
          </cell>
          <cell r="B86">
            <v>0.12509960000000001</v>
          </cell>
        </row>
        <row r="87">
          <cell r="A87">
            <v>1.812602</v>
          </cell>
          <cell r="B87">
            <v>0.12052450000000001</v>
          </cell>
        </row>
        <row r="88">
          <cell r="A88">
            <v>1.855882</v>
          </cell>
          <cell r="B88">
            <v>0.11614910000000001</v>
          </cell>
        </row>
        <row r="89">
          <cell r="A89">
            <v>1.89916</v>
          </cell>
          <cell r="B89">
            <v>0.1119734</v>
          </cell>
        </row>
        <row r="90">
          <cell r="A90">
            <v>1.9520569999999999</v>
          </cell>
          <cell r="B90">
            <v>0.1068031</v>
          </cell>
        </row>
        <row r="91">
          <cell r="A91">
            <v>1.9881310000000001</v>
          </cell>
          <cell r="B91">
            <v>0.10202550000000001</v>
          </cell>
        </row>
        <row r="92">
          <cell r="A92">
            <v>2.0298150000000001</v>
          </cell>
          <cell r="B92">
            <v>9.6651169999999995E-2</v>
          </cell>
        </row>
        <row r="93">
          <cell r="A93">
            <v>2.0722909999999999</v>
          </cell>
          <cell r="B93">
            <v>9.2874449999999997E-2</v>
          </cell>
        </row>
        <row r="94">
          <cell r="A94">
            <v>2.1091549999999999</v>
          </cell>
          <cell r="B94">
            <v>8.9694499999999996E-2</v>
          </cell>
        </row>
        <row r="95">
          <cell r="A95">
            <v>2.15082</v>
          </cell>
          <cell r="B95">
            <v>8.7315130000000005E-2</v>
          </cell>
        </row>
        <row r="96">
          <cell r="A96">
            <v>2.1892809999999998</v>
          </cell>
          <cell r="B96">
            <v>8.5134150000000006E-2</v>
          </cell>
        </row>
        <row r="97">
          <cell r="A97">
            <v>2.2277420000000001</v>
          </cell>
          <cell r="B97">
            <v>8.2753499999999994E-2</v>
          </cell>
        </row>
        <row r="98">
          <cell r="A98">
            <v>2.2710119999999998</v>
          </cell>
          <cell r="B98">
            <v>7.9975439999999995E-2</v>
          </cell>
        </row>
        <row r="99">
          <cell r="A99">
            <v>2.3110740000000001</v>
          </cell>
          <cell r="B99">
            <v>7.7795100000000006E-2</v>
          </cell>
        </row>
        <row r="100">
          <cell r="A100">
            <v>2.3295029999999999</v>
          </cell>
          <cell r="B100">
            <v>7.6804120000000003E-2</v>
          </cell>
        </row>
        <row r="101">
          <cell r="A101">
            <v>2.3487369999999999</v>
          </cell>
          <cell r="B101">
            <v>7.5014800000000006E-2</v>
          </cell>
        </row>
        <row r="102">
          <cell r="A102">
            <v>2.3887990000000001</v>
          </cell>
          <cell r="B102">
            <v>7.2834449999999995E-2</v>
          </cell>
        </row>
        <row r="103">
          <cell r="A103">
            <v>2.4288590000000001</v>
          </cell>
          <cell r="B103">
            <v>7.1053450000000004E-2</v>
          </cell>
        </row>
        <row r="104">
          <cell r="A104">
            <v>2.4913539999999998</v>
          </cell>
          <cell r="B104">
            <v>6.7883730000000003E-2</v>
          </cell>
        </row>
        <row r="105">
          <cell r="A105">
            <v>3</v>
          </cell>
          <cell r="B105">
            <v>5.2999999999999999E-2</v>
          </cell>
        </row>
        <row r="106">
          <cell r="A106">
            <v>4</v>
          </cell>
          <cell r="B106">
            <v>3.9E-2</v>
          </cell>
        </row>
      </sheetData>
    </sheetDataSet>
  </externalBook>
</externalLink>
</file>

<file path=xl/externalLinks/externalLink5.xml><?xml version="1.0" encoding="utf-8"?>
<externalLink xmlns="http://schemas.openxmlformats.org/spreadsheetml/2006/main">
  <externalBook xmlns:r="http://schemas.openxmlformats.org/officeDocument/2006/relationships" r:id="rId1">
    <sheetNames>
      <sheetName val="XCP_CON10_D4"/>
      <sheetName val="XCP_CON10_D0"/>
      <sheetName val="CN_CON10_D4"/>
      <sheetName val="CN_CON10_D0"/>
      <sheetName val="CA_CON10_D4"/>
      <sheetName val="CA_CON10_D0"/>
      <sheetName val="CA_CON15_D4"/>
      <sheetName val="CA_CON15_D0"/>
      <sheetName val="CN_CON15_D4"/>
      <sheetName val="CN_CON15_D0"/>
      <sheetName val="XCP_CON15_D0"/>
      <sheetName val="XCP_CON15_D4"/>
      <sheetName val="graphes cône10°"/>
      <sheetName val="graphes cône15°"/>
    </sheetNames>
    <sheetDataSet>
      <sheetData sheetId="0">
        <row r="1">
          <cell r="A1">
            <v>0.49822480000000002</v>
          </cell>
          <cell r="B1">
            <v>0.91278049999999999</v>
          </cell>
        </row>
        <row r="2">
          <cell r="A2">
            <v>0.69968680000000005</v>
          </cell>
          <cell r="B2">
            <v>0.89159299999999997</v>
          </cell>
        </row>
        <row r="3">
          <cell r="A3">
            <v>0.85616170000000003</v>
          </cell>
          <cell r="B3">
            <v>0.87035739999999995</v>
          </cell>
        </row>
        <row r="4">
          <cell r="A4">
            <v>0.92047460000000003</v>
          </cell>
          <cell r="B4">
            <v>0.85972459999999995</v>
          </cell>
        </row>
        <row r="5">
          <cell r="A5">
            <v>0.96332399999999996</v>
          </cell>
          <cell r="B5">
            <v>0.85870040000000003</v>
          </cell>
        </row>
        <row r="6">
          <cell r="A6">
            <v>1.089601</v>
          </cell>
          <cell r="B6">
            <v>0.88558939999999997</v>
          </cell>
        </row>
        <row r="7">
          <cell r="A7">
            <v>1.1947080000000001</v>
          </cell>
          <cell r="B7">
            <v>0.85359719999999994</v>
          </cell>
        </row>
        <row r="8">
          <cell r="A8">
            <v>1.2802420000000001</v>
          </cell>
          <cell r="B8">
            <v>0.89007400000000003</v>
          </cell>
        </row>
        <row r="9">
          <cell r="A9">
            <v>1.4946029999999999</v>
          </cell>
          <cell r="B9">
            <v>0.85819880000000004</v>
          </cell>
        </row>
        <row r="10">
          <cell r="A10">
            <v>1.6960789999999999</v>
          </cell>
          <cell r="B10">
            <v>0.83380080000000001</v>
          </cell>
        </row>
        <row r="11">
          <cell r="A11">
            <v>1.923257</v>
          </cell>
          <cell r="B11">
            <v>0.81050049999999996</v>
          </cell>
        </row>
        <row r="12">
          <cell r="A12">
            <v>2.3839610000000002</v>
          </cell>
          <cell r="B12">
            <v>0.7820994</v>
          </cell>
        </row>
        <row r="13">
          <cell r="A13">
            <v>2.6946400000000001</v>
          </cell>
          <cell r="B13">
            <v>0.76959</v>
          </cell>
        </row>
        <row r="14">
          <cell r="A14">
            <v>3.135996</v>
          </cell>
          <cell r="B14">
            <v>0.75722040000000002</v>
          </cell>
        </row>
        <row r="15">
          <cell r="A15">
            <v>3.7679969999999998</v>
          </cell>
          <cell r="B15">
            <v>0.74826539999999997</v>
          </cell>
        </row>
        <row r="16">
          <cell r="A16">
            <v>4.3528539999999998</v>
          </cell>
          <cell r="B16">
            <v>0.74247039999999997</v>
          </cell>
        </row>
        <row r="17">
          <cell r="A17">
            <v>4.9655519999999997</v>
          </cell>
          <cell r="B17">
            <v>0.73884539999999999</v>
          </cell>
        </row>
      </sheetData>
      <sheetData sheetId="1">
        <row r="1">
          <cell r="A1">
            <v>0.4966758</v>
          </cell>
          <cell r="B1">
            <v>0.98929540000000005</v>
          </cell>
        </row>
        <row r="2">
          <cell r="A2">
            <v>0.61228780000000005</v>
          </cell>
          <cell r="B2">
            <v>0.97888459999999999</v>
          </cell>
        </row>
        <row r="3">
          <cell r="A3">
            <v>0.69574389999999997</v>
          </cell>
          <cell r="B3">
            <v>0.96975489999999998</v>
          </cell>
        </row>
        <row r="4">
          <cell r="A4">
            <v>0.77900659999999999</v>
          </cell>
          <cell r="B4">
            <v>0.95310850000000003</v>
          </cell>
        </row>
        <row r="5">
          <cell r="A5">
            <v>0.88559429999999995</v>
          </cell>
          <cell r="B5">
            <v>0.92557210000000001</v>
          </cell>
        </row>
        <row r="6">
          <cell r="A6">
            <v>0.92613909999999999</v>
          </cell>
          <cell r="B6">
            <v>0.91671899999999995</v>
          </cell>
        </row>
        <row r="7">
          <cell r="A7">
            <v>0.94533869999999998</v>
          </cell>
          <cell r="B7">
            <v>0.91229930000000004</v>
          </cell>
        </row>
        <row r="8">
          <cell r="A8">
            <v>0.96891229999999995</v>
          </cell>
          <cell r="B8">
            <v>0.91107340000000003</v>
          </cell>
        </row>
        <row r="9">
          <cell r="A9">
            <v>1.0376810000000001</v>
          </cell>
          <cell r="B9">
            <v>0.91492620000000002</v>
          </cell>
        </row>
        <row r="10">
          <cell r="A10">
            <v>1.099958</v>
          </cell>
          <cell r="B10">
            <v>0.91667279999999995</v>
          </cell>
        </row>
        <row r="11">
          <cell r="A11">
            <v>1.1383019999999999</v>
          </cell>
          <cell r="B11">
            <v>0.90568590000000004</v>
          </cell>
        </row>
        <row r="12">
          <cell r="A12">
            <v>1.165697</v>
          </cell>
          <cell r="B12">
            <v>0.88617760000000001</v>
          </cell>
        </row>
        <row r="13">
          <cell r="A13">
            <v>1.1933130000000001</v>
          </cell>
          <cell r="B13">
            <v>0.87525980000000003</v>
          </cell>
        </row>
        <row r="14">
          <cell r="A14">
            <v>1.289974</v>
          </cell>
          <cell r="B14">
            <v>0.87893290000000002</v>
          </cell>
        </row>
        <row r="15">
          <cell r="A15">
            <v>1.414582</v>
          </cell>
          <cell r="B15">
            <v>0.88457379999999997</v>
          </cell>
        </row>
        <row r="16">
          <cell r="A16">
            <v>1.719336</v>
          </cell>
          <cell r="B16">
            <v>0.88583199999999995</v>
          </cell>
        </row>
        <row r="17">
          <cell r="A17">
            <v>1.9832959999999999</v>
          </cell>
          <cell r="B17">
            <v>0.88627900000000004</v>
          </cell>
        </row>
        <row r="18">
          <cell r="A18">
            <v>2.2410399999999999</v>
          </cell>
          <cell r="B18">
            <v>0.89535799999999999</v>
          </cell>
        </row>
        <row r="19">
          <cell r="A19">
            <v>2.4707819999999998</v>
          </cell>
          <cell r="B19">
            <v>0.9003215</v>
          </cell>
        </row>
        <row r="20">
          <cell r="A20">
            <v>2.839985</v>
          </cell>
          <cell r="B20">
            <v>0.90438629999999998</v>
          </cell>
        </row>
        <row r="21">
          <cell r="A21">
            <v>3.2668699999999999</v>
          </cell>
          <cell r="B21">
            <v>0.89841349999999998</v>
          </cell>
        </row>
        <row r="22">
          <cell r="A22">
            <v>3.4598049999999998</v>
          </cell>
          <cell r="B22">
            <v>0.89072629999999997</v>
          </cell>
        </row>
        <row r="23">
          <cell r="A23">
            <v>3.877942</v>
          </cell>
          <cell r="B23">
            <v>0.87836610000000004</v>
          </cell>
        </row>
        <row r="24">
          <cell r="A24">
            <v>4.2919539999999996</v>
          </cell>
          <cell r="B24">
            <v>0.87247620000000004</v>
          </cell>
        </row>
        <row r="25">
          <cell r="A25">
            <v>4.6802739999999998</v>
          </cell>
          <cell r="B25">
            <v>0.86889989999999995</v>
          </cell>
        </row>
        <row r="26">
          <cell r="A26">
            <v>5.0021089999999999</v>
          </cell>
          <cell r="B26">
            <v>0.86682610000000004</v>
          </cell>
        </row>
      </sheetData>
      <sheetData sheetId="2">
        <row r="1">
          <cell r="A1">
            <v>0.51472549999999995</v>
          </cell>
          <cell r="B1">
            <v>1.58518</v>
          </cell>
        </row>
        <row r="2">
          <cell r="A2">
            <v>0.65948249999999997</v>
          </cell>
          <cell r="B2">
            <v>1.6428499999999999</v>
          </cell>
        </row>
        <row r="3">
          <cell r="A3">
            <v>0.77620120000000004</v>
          </cell>
          <cell r="B3">
            <v>1.692399</v>
          </cell>
        </row>
        <row r="4">
          <cell r="A4">
            <v>0.84978920000000002</v>
          </cell>
          <cell r="B4">
            <v>1.729781</v>
          </cell>
        </row>
        <row r="5">
          <cell r="A5">
            <v>0.88433459999999997</v>
          </cell>
          <cell r="B5">
            <v>1.742083</v>
          </cell>
        </row>
        <row r="6">
          <cell r="A6">
            <v>0.94248940000000003</v>
          </cell>
          <cell r="B6">
            <v>1.754011</v>
          </cell>
        </row>
        <row r="7">
          <cell r="A7">
            <v>0.97669379999999995</v>
          </cell>
          <cell r="B7">
            <v>1.744902</v>
          </cell>
        </row>
        <row r="8">
          <cell r="A8">
            <v>1.0342690000000001</v>
          </cell>
          <cell r="B8">
            <v>1.7204330000000001</v>
          </cell>
        </row>
        <row r="9">
          <cell r="A9">
            <v>1.0707899999999999</v>
          </cell>
          <cell r="B9">
            <v>1.7219949999999999</v>
          </cell>
        </row>
        <row r="10">
          <cell r="A10">
            <v>1.190985</v>
          </cell>
          <cell r="B10">
            <v>1.85501</v>
          </cell>
        </row>
        <row r="11">
          <cell r="A11">
            <v>1.242599</v>
          </cell>
          <cell r="B11">
            <v>1.860617</v>
          </cell>
        </row>
        <row r="12">
          <cell r="A12">
            <v>1.4613849999999999</v>
          </cell>
          <cell r="B12">
            <v>1.8485830000000001</v>
          </cell>
        </row>
        <row r="13">
          <cell r="A13">
            <v>1.744799</v>
          </cell>
          <cell r="B13">
            <v>1.850517</v>
          </cell>
        </row>
        <row r="14">
          <cell r="A14">
            <v>1.9722729999999999</v>
          </cell>
          <cell r="B14">
            <v>1.84477</v>
          </cell>
        </row>
        <row r="15">
          <cell r="A15">
            <v>2.1093980000000001</v>
          </cell>
          <cell r="B15">
            <v>1.8276060000000001</v>
          </cell>
        </row>
        <row r="16">
          <cell r="A16">
            <v>2.3661020000000001</v>
          </cell>
          <cell r="B16">
            <v>1.769998</v>
          </cell>
        </row>
        <row r="17">
          <cell r="A17">
            <v>2.7105649999999999</v>
          </cell>
          <cell r="B17">
            <v>1.6960090000000001</v>
          </cell>
        </row>
        <row r="18">
          <cell r="A18">
            <v>3.1042909999999999</v>
          </cell>
          <cell r="B18">
            <v>1.614814</v>
          </cell>
        </row>
        <row r="19">
          <cell r="A19">
            <v>3.4681060000000001</v>
          </cell>
          <cell r="B19">
            <v>1.542659</v>
          </cell>
        </row>
        <row r="20">
          <cell r="A20">
            <v>3.7634089999999998</v>
          </cell>
          <cell r="B20">
            <v>1.4822979999999999</v>
          </cell>
        </row>
      </sheetData>
      <sheetData sheetId="3">
        <row r="1">
          <cell r="A1">
            <v>0.47582170000000001</v>
          </cell>
          <cell r="B1">
            <v>1.5751029999999999</v>
          </cell>
        </row>
        <row r="2">
          <cell r="A2">
            <v>0.6777396</v>
          </cell>
          <cell r="B2">
            <v>1.657556</v>
          </cell>
        </row>
        <row r="3">
          <cell r="A3">
            <v>0.83661220000000003</v>
          </cell>
          <cell r="B3">
            <v>1.74414</v>
          </cell>
        </row>
        <row r="4">
          <cell r="A4">
            <v>0.91812490000000002</v>
          </cell>
          <cell r="B4">
            <v>1.8067839999999999</v>
          </cell>
        </row>
        <row r="5">
          <cell r="A5">
            <v>0.96115349999999999</v>
          </cell>
          <cell r="B5">
            <v>1.8069500000000001</v>
          </cell>
        </row>
        <row r="6">
          <cell r="A6">
            <v>1.087871</v>
          </cell>
          <cell r="B6">
            <v>1.863321</v>
          </cell>
        </row>
        <row r="7">
          <cell r="A7">
            <v>1.18662</v>
          </cell>
          <cell r="B7">
            <v>1.919584</v>
          </cell>
        </row>
        <row r="8">
          <cell r="A8">
            <v>1.2296240000000001</v>
          </cell>
          <cell r="B8">
            <v>1.9261980000000001</v>
          </cell>
        </row>
        <row r="9">
          <cell r="A9">
            <v>1.2877130000000001</v>
          </cell>
          <cell r="B9">
            <v>1.926423</v>
          </cell>
        </row>
        <row r="10">
          <cell r="A10">
            <v>1.5136799999999999</v>
          </cell>
          <cell r="B10">
            <v>1.9101030000000001</v>
          </cell>
        </row>
        <row r="11">
          <cell r="A11">
            <v>1.9354020000000001</v>
          </cell>
          <cell r="B11">
            <v>1.9009879999999999</v>
          </cell>
        </row>
        <row r="12">
          <cell r="A12">
            <v>2.544365</v>
          </cell>
          <cell r="B12">
            <v>1.8754040000000001</v>
          </cell>
        </row>
        <row r="13">
          <cell r="A13">
            <v>2.9317310000000001</v>
          </cell>
          <cell r="B13">
            <v>1.848962</v>
          </cell>
        </row>
        <row r="14">
          <cell r="A14">
            <v>3.1598069999999998</v>
          </cell>
          <cell r="B14">
            <v>1.843397</v>
          </cell>
        </row>
        <row r="15">
          <cell r="A15">
            <v>3.9493659999999999</v>
          </cell>
          <cell r="B15">
            <v>1.8507499999999999</v>
          </cell>
        </row>
        <row r="16">
          <cell r="A16">
            <v>4.7409420000000004</v>
          </cell>
          <cell r="B16">
            <v>1.8924989999999999</v>
          </cell>
        </row>
        <row r="17">
          <cell r="A17">
            <v>4.9173099999999996</v>
          </cell>
          <cell r="B17">
            <v>1.9060760000000001</v>
          </cell>
        </row>
      </sheetData>
      <sheetData sheetId="4">
        <row r="1">
          <cell r="A1">
            <v>0.47525679999999998</v>
          </cell>
          <cell r="B1">
            <v>3.2958029999999999E-2</v>
          </cell>
        </row>
        <row r="2">
          <cell r="A2">
            <v>0.60428979999999999</v>
          </cell>
          <cell r="B2">
            <v>4.2241420000000002E-2</v>
          </cell>
        </row>
        <row r="3">
          <cell r="A3">
            <v>0.73553610000000003</v>
          </cell>
          <cell r="B3">
            <v>5.6891280000000002E-2</v>
          </cell>
        </row>
        <row r="4">
          <cell r="A4">
            <v>0.80228529999999998</v>
          </cell>
          <cell r="B4">
            <v>6.8511329999999995E-2</v>
          </cell>
        </row>
        <row r="5">
          <cell r="A5">
            <v>0.8583172</v>
          </cell>
          <cell r="B5">
            <v>8.2312880000000005E-2</v>
          </cell>
        </row>
        <row r="6">
          <cell r="A6">
            <v>0.94022300000000003</v>
          </cell>
          <cell r="B6">
            <v>0.103559</v>
          </cell>
        </row>
        <row r="7">
          <cell r="A7">
            <v>1.0243420000000001</v>
          </cell>
          <cell r="B7">
            <v>0.1301715</v>
          </cell>
        </row>
        <row r="8">
          <cell r="A8">
            <v>1.086884</v>
          </cell>
          <cell r="B8">
            <v>0.1493266</v>
          </cell>
        </row>
        <row r="9">
          <cell r="A9">
            <v>1.1278239999999999</v>
          </cell>
          <cell r="B9">
            <v>0.15887509999999999</v>
          </cell>
        </row>
        <row r="10">
          <cell r="A10">
            <v>1.1752229999999999</v>
          </cell>
          <cell r="B10">
            <v>0.16947870000000001</v>
          </cell>
        </row>
        <row r="11">
          <cell r="A11">
            <v>1.1752359999999999</v>
          </cell>
          <cell r="B11">
            <v>0.17055329999999999</v>
          </cell>
        </row>
        <row r="12">
          <cell r="A12">
            <v>1.2677039999999999</v>
          </cell>
          <cell r="B12">
            <v>0.17672280000000001</v>
          </cell>
        </row>
        <row r="13">
          <cell r="A13">
            <v>1.407519</v>
          </cell>
          <cell r="B13">
            <v>0.1891977</v>
          </cell>
        </row>
        <row r="14">
          <cell r="A14">
            <v>1.5214989999999999</v>
          </cell>
          <cell r="B14">
            <v>0.19745170000000001</v>
          </cell>
        </row>
        <row r="15">
          <cell r="A15">
            <v>1.7601370000000001</v>
          </cell>
          <cell r="B15">
            <v>0.20855460000000001</v>
          </cell>
        </row>
        <row r="16">
          <cell r="A16">
            <v>1.9105780000000001</v>
          </cell>
          <cell r="B16">
            <v>0.21132580000000001</v>
          </cell>
        </row>
        <row r="17">
          <cell r="A17">
            <v>2.7506719999999998</v>
          </cell>
          <cell r="B17">
            <v>0.2077233</v>
          </cell>
        </row>
        <row r="18">
          <cell r="A18">
            <v>3.9925570000000001</v>
          </cell>
          <cell r="B18">
            <v>0.20291190000000001</v>
          </cell>
        </row>
        <row r="19">
          <cell r="A19">
            <v>4.4480750000000002</v>
          </cell>
          <cell r="B19">
            <v>0.20261589999999999</v>
          </cell>
        </row>
        <row r="20">
          <cell r="A20">
            <v>4.890676</v>
          </cell>
          <cell r="B20">
            <v>0.20020950000000001</v>
          </cell>
        </row>
      </sheetData>
      <sheetData sheetId="5"/>
      <sheetData sheetId="6">
        <row r="1">
          <cell r="A1">
            <v>0.4817727</v>
          </cell>
          <cell r="B1">
            <v>6.6354949999999996E-2</v>
          </cell>
        </row>
        <row r="2">
          <cell r="A2">
            <v>0.59972740000000002</v>
          </cell>
          <cell r="B2">
            <v>8.1362500000000004E-2</v>
          </cell>
        </row>
        <row r="3">
          <cell r="A3">
            <v>0.72122980000000003</v>
          </cell>
          <cell r="B3">
            <v>0.1043536</v>
          </cell>
        </row>
        <row r="4">
          <cell r="A4">
            <v>0.88272039999999996</v>
          </cell>
          <cell r="B4">
            <v>0.15104129999999999</v>
          </cell>
        </row>
        <row r="5">
          <cell r="A5">
            <v>1.0021679999999999</v>
          </cell>
          <cell r="B5">
            <v>0.20771000000000001</v>
          </cell>
        </row>
        <row r="6">
          <cell r="A6">
            <v>1.0688150000000001</v>
          </cell>
          <cell r="B6">
            <v>0.24720439999999999</v>
          </cell>
        </row>
        <row r="7">
          <cell r="A7">
            <v>1.1420410000000001</v>
          </cell>
          <cell r="B7">
            <v>0.28824470000000002</v>
          </cell>
        </row>
        <row r="8">
          <cell r="A8">
            <v>1.191581</v>
          </cell>
          <cell r="B8">
            <v>0.30544729999999998</v>
          </cell>
        </row>
        <row r="9">
          <cell r="A9">
            <v>1.240834</v>
          </cell>
          <cell r="B9">
            <v>0.31463799999999997</v>
          </cell>
        </row>
        <row r="10">
          <cell r="A10">
            <v>1.2702359999999999</v>
          </cell>
          <cell r="B10">
            <v>0.3159864</v>
          </cell>
        </row>
        <row r="11">
          <cell r="A11">
            <v>1.319088</v>
          </cell>
          <cell r="B11">
            <v>0.31396069999999998</v>
          </cell>
        </row>
        <row r="12">
          <cell r="A12">
            <v>1.3972260000000001</v>
          </cell>
          <cell r="B12">
            <v>0.31007869999999998</v>
          </cell>
        </row>
        <row r="13">
          <cell r="A13">
            <v>1.670884</v>
          </cell>
          <cell r="B13">
            <v>0.30129869999999997</v>
          </cell>
        </row>
        <row r="14">
          <cell r="A14">
            <v>2.1142069999999999</v>
          </cell>
          <cell r="B14">
            <v>0.29425590000000001</v>
          </cell>
        </row>
        <row r="15">
          <cell r="A15">
            <v>2.710718</v>
          </cell>
          <cell r="B15">
            <v>0.28428429999999999</v>
          </cell>
        </row>
        <row r="16">
          <cell r="A16">
            <v>3.3236469999999998</v>
          </cell>
          <cell r="B16">
            <v>0.27737630000000002</v>
          </cell>
        </row>
        <row r="17">
          <cell r="A17">
            <v>4.3019319999999999</v>
          </cell>
          <cell r="B17">
            <v>0.27211449999999998</v>
          </cell>
        </row>
        <row r="18">
          <cell r="A18">
            <v>4.8041739999999997</v>
          </cell>
          <cell r="B18">
            <v>0.27097310000000002</v>
          </cell>
        </row>
      </sheetData>
      <sheetData sheetId="7">
        <row r="1">
          <cell r="A1">
            <v>0.47532799999999997</v>
          </cell>
          <cell r="B1">
            <v>6.2841739999999993E-2</v>
          </cell>
        </row>
        <row r="2">
          <cell r="A2">
            <v>0.57034280000000004</v>
          </cell>
          <cell r="B2">
            <v>7.4456519999999998E-2</v>
          </cell>
        </row>
        <row r="3">
          <cell r="A3">
            <v>0.73485659999999997</v>
          </cell>
          <cell r="B3">
            <v>0.1076392</v>
          </cell>
        </row>
        <row r="4">
          <cell r="A4">
            <v>0.85699669999999994</v>
          </cell>
          <cell r="B4">
            <v>0.13976150000000001</v>
          </cell>
        </row>
        <row r="5">
          <cell r="A5">
            <v>0.9901664</v>
          </cell>
          <cell r="B5">
            <v>0.19580639999999999</v>
          </cell>
        </row>
        <row r="6">
          <cell r="A6">
            <v>1.057768</v>
          </cell>
          <cell r="B6">
            <v>0.24306710000000001</v>
          </cell>
        </row>
        <row r="7">
          <cell r="A7">
            <v>1.098922</v>
          </cell>
          <cell r="B7">
            <v>0.28264590000000001</v>
          </cell>
        </row>
        <row r="8">
          <cell r="A8">
            <v>1.1093580000000001</v>
          </cell>
          <cell r="B8">
            <v>0.2953461</v>
          </cell>
        </row>
        <row r="9">
          <cell r="A9">
            <v>1.1227940000000001</v>
          </cell>
          <cell r="B9">
            <v>0.3031951</v>
          </cell>
        </row>
        <row r="10">
          <cell r="A10">
            <v>1.1362300000000001</v>
          </cell>
          <cell r="B10">
            <v>0.31104409999999999</v>
          </cell>
        </row>
        <row r="11">
          <cell r="A11">
            <v>1.165422</v>
          </cell>
          <cell r="B11">
            <v>0.30906509999999998</v>
          </cell>
        </row>
        <row r="12">
          <cell r="A12">
            <v>1.1847700000000001</v>
          </cell>
          <cell r="B12">
            <v>0.3056082</v>
          </cell>
        </row>
        <row r="13">
          <cell r="A13">
            <v>1.265333</v>
          </cell>
          <cell r="B13">
            <v>0.2901358</v>
          </cell>
        </row>
        <row r="14">
          <cell r="A14">
            <v>1.352571</v>
          </cell>
          <cell r="B14">
            <v>0.27778619999999998</v>
          </cell>
        </row>
        <row r="15">
          <cell r="A15">
            <v>1.68902</v>
          </cell>
          <cell r="B15">
            <v>0.238174</v>
          </cell>
        </row>
        <row r="16">
          <cell r="A16">
            <v>2.068435</v>
          </cell>
          <cell r="B16">
            <v>0.21084459999999999</v>
          </cell>
        </row>
        <row r="17">
          <cell r="A17">
            <v>2.5235159999999999</v>
          </cell>
          <cell r="B17">
            <v>0.19858690000000001</v>
          </cell>
        </row>
        <row r="18">
          <cell r="A18">
            <v>3.4834909999999999</v>
          </cell>
          <cell r="B18">
            <v>0.19268350000000001</v>
          </cell>
        </row>
        <row r="19">
          <cell r="A19">
            <v>3.913141</v>
          </cell>
          <cell r="B19">
            <v>0.19198209999999999</v>
          </cell>
        </row>
        <row r="20">
          <cell r="A20">
            <v>4.495768</v>
          </cell>
          <cell r="B20">
            <v>0.1909216</v>
          </cell>
        </row>
        <row r="21">
          <cell r="A21">
            <v>4.9546950000000001</v>
          </cell>
          <cell r="B21">
            <v>0.1898445</v>
          </cell>
        </row>
      </sheetData>
      <sheetData sheetId="8">
        <row r="1">
          <cell r="A1">
            <v>0.49089549999999998</v>
          </cell>
          <cell r="B1">
            <v>1.3797539999999999</v>
          </cell>
        </row>
        <row r="2">
          <cell r="A2">
            <v>0.60246279999999997</v>
          </cell>
          <cell r="B2">
            <v>1.4360759999999999</v>
          </cell>
        </row>
        <row r="3">
          <cell r="A3">
            <v>0.7335836</v>
          </cell>
          <cell r="B3">
            <v>1.4921469999999999</v>
          </cell>
        </row>
        <row r="4">
          <cell r="A4">
            <v>0.80236039999999997</v>
          </cell>
          <cell r="B4">
            <v>1.5169330000000001</v>
          </cell>
        </row>
        <row r="5">
          <cell r="A5">
            <v>0.88730419999999999</v>
          </cell>
          <cell r="B5">
            <v>1.5318860000000001</v>
          </cell>
        </row>
        <row r="6">
          <cell r="A6">
            <v>0.92645350000000004</v>
          </cell>
          <cell r="B6">
            <v>1.534592</v>
          </cell>
        </row>
        <row r="7">
          <cell r="A7">
            <v>0.95574099999999995</v>
          </cell>
          <cell r="B7">
            <v>1.531007</v>
          </cell>
        </row>
        <row r="8">
          <cell r="A8">
            <v>1.001196</v>
          </cell>
          <cell r="B8">
            <v>1.51759</v>
          </cell>
        </row>
        <row r="9">
          <cell r="A9">
            <v>1.027182</v>
          </cell>
          <cell r="B9">
            <v>1.510839</v>
          </cell>
        </row>
        <row r="10">
          <cell r="A10">
            <v>1.043434</v>
          </cell>
          <cell r="B10">
            <v>1.507422</v>
          </cell>
        </row>
        <row r="11">
          <cell r="A11">
            <v>1.066289</v>
          </cell>
          <cell r="B11">
            <v>1.510337</v>
          </cell>
        </row>
        <row r="12">
          <cell r="A12">
            <v>1.1055649999999999</v>
          </cell>
          <cell r="B12">
            <v>1.522667</v>
          </cell>
        </row>
        <row r="13">
          <cell r="A13">
            <v>1.144927</v>
          </cell>
          <cell r="B13">
            <v>1.5414140000000001</v>
          </cell>
        </row>
        <row r="14">
          <cell r="A14">
            <v>1.1978770000000001</v>
          </cell>
          <cell r="B14">
            <v>1.6016969999999999</v>
          </cell>
        </row>
        <row r="15">
          <cell r="A15">
            <v>1.24088</v>
          </cell>
          <cell r="B15">
            <v>1.649273</v>
          </cell>
        </row>
        <row r="16">
          <cell r="A16">
            <v>1.293617</v>
          </cell>
          <cell r="B16">
            <v>1.693516</v>
          </cell>
        </row>
        <row r="17">
          <cell r="A17">
            <v>1.3494429999999999</v>
          </cell>
          <cell r="B17">
            <v>1.724885</v>
          </cell>
        </row>
        <row r="18">
          <cell r="A18">
            <v>1.3821600000000001</v>
          </cell>
          <cell r="B18">
            <v>1.734091</v>
          </cell>
        </row>
        <row r="19">
          <cell r="A19">
            <v>1.405057</v>
          </cell>
          <cell r="B19">
            <v>1.7402139999999999</v>
          </cell>
        </row>
        <row r="20">
          <cell r="A20">
            <v>1.4572419999999999</v>
          </cell>
          <cell r="B20">
            <v>1.742753</v>
          </cell>
        </row>
      </sheetData>
      <sheetData sheetId="9">
        <row r="1">
          <cell r="A1">
            <v>0.48192750000000001</v>
          </cell>
          <cell r="B1">
            <v>1.495803</v>
          </cell>
        </row>
        <row r="2">
          <cell r="A2">
            <v>0.69738160000000005</v>
          </cell>
          <cell r="B2">
            <v>1.512967</v>
          </cell>
        </row>
        <row r="3">
          <cell r="A3">
            <v>0.85730099999999998</v>
          </cell>
          <cell r="B3">
            <v>1.5330569999999999</v>
          </cell>
        </row>
        <row r="4">
          <cell r="A4">
            <v>0.91285289999999997</v>
          </cell>
          <cell r="B4">
            <v>1.5269200000000001</v>
          </cell>
        </row>
        <row r="5">
          <cell r="A5">
            <v>0.98153599999999996</v>
          </cell>
          <cell r="B5">
            <v>1.5080039999999999</v>
          </cell>
        </row>
        <row r="6">
          <cell r="A6">
            <v>1.0207759999999999</v>
          </cell>
          <cell r="B6">
            <v>1.4985710000000001</v>
          </cell>
        </row>
        <row r="7">
          <cell r="A7">
            <v>1.0436190000000001</v>
          </cell>
          <cell r="B7">
            <v>1.5019</v>
          </cell>
        </row>
        <row r="8">
          <cell r="A8">
            <v>1.0892379999999999</v>
          </cell>
          <cell r="B8">
            <v>1.5214030000000001</v>
          </cell>
        </row>
        <row r="9">
          <cell r="A9">
            <v>1.1672739999999999</v>
          </cell>
          <cell r="B9">
            <v>1.5860320000000001</v>
          </cell>
        </row>
        <row r="10">
          <cell r="A10">
            <v>1.242011</v>
          </cell>
          <cell r="B10">
            <v>1.657068</v>
          </cell>
        </row>
        <row r="11">
          <cell r="A11">
            <v>1.277798</v>
          </cell>
          <cell r="B11">
            <v>1.6829430000000001</v>
          </cell>
        </row>
        <row r="12">
          <cell r="A12">
            <v>1.31037</v>
          </cell>
          <cell r="B12">
            <v>1.6991670000000001</v>
          </cell>
        </row>
        <row r="13">
          <cell r="A13">
            <v>1.333162</v>
          </cell>
          <cell r="B13">
            <v>1.7121299999999999</v>
          </cell>
        </row>
        <row r="14">
          <cell r="A14">
            <v>1.36252</v>
          </cell>
          <cell r="B14">
            <v>1.718704</v>
          </cell>
        </row>
        <row r="15">
          <cell r="A15">
            <v>1.4767870000000001</v>
          </cell>
          <cell r="B15">
            <v>1.725714</v>
          </cell>
        </row>
        <row r="16">
          <cell r="A16">
            <v>1.868574</v>
          </cell>
          <cell r="B16">
            <v>1.7469950000000001</v>
          </cell>
        </row>
        <row r="17">
          <cell r="A17">
            <v>2.3191449999999998</v>
          </cell>
          <cell r="B17">
            <v>1.7685789999999999</v>
          </cell>
        </row>
        <row r="18">
          <cell r="A18">
            <v>2.6751290000000001</v>
          </cell>
          <cell r="B18">
            <v>1.7671969999999999</v>
          </cell>
        </row>
        <row r="19">
          <cell r="A19">
            <v>3.1258880000000002</v>
          </cell>
          <cell r="B19">
            <v>1.7534559999999999</v>
          </cell>
        </row>
        <row r="20">
          <cell r="A20">
            <v>3.723503</v>
          </cell>
          <cell r="B20">
            <v>1.759738</v>
          </cell>
        </row>
        <row r="21">
          <cell r="A21">
            <v>4.3046879999999996</v>
          </cell>
          <cell r="B21">
            <v>1.785204</v>
          </cell>
        </row>
      </sheetData>
      <sheetData sheetId="10">
        <row r="1">
          <cell r="A1">
            <v>0.46248529999999999</v>
          </cell>
          <cell r="B1">
            <v>0.60808859999999998</v>
          </cell>
        </row>
        <row r="2">
          <cell r="A2">
            <v>0.74810299999999996</v>
          </cell>
          <cell r="B2">
            <v>0.58521230000000002</v>
          </cell>
        </row>
        <row r="3">
          <cell r="A3">
            <v>1.076659</v>
          </cell>
          <cell r="B3">
            <v>0.5729959</v>
          </cell>
        </row>
        <row r="4">
          <cell r="A4">
            <v>1.134865</v>
          </cell>
          <cell r="B4">
            <v>0.5642431</v>
          </cell>
        </row>
        <row r="5">
          <cell r="A5">
            <v>1.1442969999999999</v>
          </cell>
          <cell r="B5">
            <v>0.55771649999999995</v>
          </cell>
        </row>
        <row r="6">
          <cell r="A6">
            <v>1.1536439999999999</v>
          </cell>
          <cell r="B6">
            <v>0.54958969999999996</v>
          </cell>
        </row>
        <row r="7">
          <cell r="A7">
            <v>1.1791069999999999</v>
          </cell>
          <cell r="B7">
            <v>0.53805349999999996</v>
          </cell>
        </row>
        <row r="8">
          <cell r="A8">
            <v>1.2213670000000001</v>
          </cell>
          <cell r="B8">
            <v>0.53591069999999996</v>
          </cell>
        </row>
        <row r="9">
          <cell r="A9">
            <v>1.446286</v>
          </cell>
          <cell r="B9">
            <v>0.53623200000000004</v>
          </cell>
        </row>
        <row r="10">
          <cell r="A10">
            <v>2.1079300000000001</v>
          </cell>
          <cell r="B10">
            <v>0.53576250000000003</v>
          </cell>
        </row>
        <row r="11">
          <cell r="A11">
            <v>2.737511</v>
          </cell>
          <cell r="B11">
            <v>0.54531240000000003</v>
          </cell>
        </row>
        <row r="12">
          <cell r="A12">
            <v>3.1124329999999998</v>
          </cell>
          <cell r="B12">
            <v>0.54691480000000003</v>
          </cell>
        </row>
        <row r="13">
          <cell r="A13">
            <v>3.9042819999999998</v>
          </cell>
          <cell r="B13">
            <v>0.54317590000000004</v>
          </cell>
        </row>
        <row r="14">
          <cell r="A14">
            <v>4.8067909999999996</v>
          </cell>
          <cell r="B14">
            <v>0.5364177</v>
          </cell>
        </row>
      </sheetData>
      <sheetData sheetId="11">
        <row r="1">
          <cell r="A1">
            <v>0.47584710000000002</v>
          </cell>
          <cell r="B1">
            <v>0.5401608</v>
          </cell>
        </row>
        <row r="2">
          <cell r="A2">
            <v>0.92052140000000005</v>
          </cell>
          <cell r="B2">
            <v>0.51336250000000005</v>
          </cell>
        </row>
        <row r="3">
          <cell r="A3">
            <v>0.9887804</v>
          </cell>
          <cell r="B3">
            <v>0.51292649999999995</v>
          </cell>
        </row>
        <row r="4">
          <cell r="A4">
            <v>1.0311630000000001</v>
          </cell>
          <cell r="B4">
            <v>0.5174472</v>
          </cell>
        </row>
        <row r="5">
          <cell r="A5">
            <v>1.0572509999999999</v>
          </cell>
          <cell r="B5">
            <v>0.52047480000000002</v>
          </cell>
        </row>
        <row r="6">
          <cell r="A6">
            <v>1.089628</v>
          </cell>
          <cell r="B6">
            <v>0.5154765</v>
          </cell>
        </row>
        <row r="7">
          <cell r="A7">
            <v>1.128295</v>
          </cell>
          <cell r="B7">
            <v>0.50245209999999996</v>
          </cell>
        </row>
        <row r="8">
          <cell r="A8">
            <v>1.147629</v>
          </cell>
          <cell r="B8">
            <v>0.49593999999999999</v>
          </cell>
        </row>
        <row r="9">
          <cell r="A9">
            <v>1.157295</v>
          </cell>
          <cell r="B9">
            <v>0.49268390000000001</v>
          </cell>
        </row>
        <row r="10">
          <cell r="A10">
            <v>1.1768400000000001</v>
          </cell>
          <cell r="B10">
            <v>0.49415619999999999</v>
          </cell>
        </row>
        <row r="11">
          <cell r="A11">
            <v>1.1965539999999999</v>
          </cell>
          <cell r="B11">
            <v>0.50201609999999997</v>
          </cell>
        </row>
        <row r="12">
          <cell r="A12">
            <v>1.2163520000000001</v>
          </cell>
          <cell r="B12">
            <v>0.51306969999999996</v>
          </cell>
        </row>
        <row r="13">
          <cell r="A13">
            <v>1.229481</v>
          </cell>
          <cell r="B13">
            <v>0.5177773</v>
          </cell>
        </row>
        <row r="14">
          <cell r="A14">
            <v>1.2393590000000001</v>
          </cell>
          <cell r="B14">
            <v>0.52250569999999996</v>
          </cell>
        </row>
        <row r="15">
          <cell r="A15">
            <v>1.26207</v>
          </cell>
          <cell r="B15">
            <v>0.52076350000000005</v>
          </cell>
        </row>
        <row r="16">
          <cell r="A16">
            <v>1.3138650000000001</v>
          </cell>
          <cell r="B16">
            <v>0.51244679999999998</v>
          </cell>
        </row>
        <row r="17">
          <cell r="A17">
            <v>1.3624099999999999</v>
          </cell>
          <cell r="B17">
            <v>0.50415080000000001</v>
          </cell>
        </row>
        <row r="18">
          <cell r="A18">
            <v>1.459627</v>
          </cell>
          <cell r="B18">
            <v>0.4923496</v>
          </cell>
        </row>
        <row r="19">
          <cell r="A19">
            <v>1.7223619999999999</v>
          </cell>
          <cell r="B19">
            <v>0.46990799999999999</v>
          </cell>
        </row>
        <row r="20">
          <cell r="A20">
            <v>2.1250770000000001</v>
          </cell>
          <cell r="B20">
            <v>0.45455790000000001</v>
          </cell>
        </row>
        <row r="21">
          <cell r="A21">
            <v>2.7489469999999998</v>
          </cell>
          <cell r="B21">
            <v>0.44258639999999999</v>
          </cell>
        </row>
        <row r="22">
          <cell r="A22">
            <v>3.2981850000000001</v>
          </cell>
          <cell r="B22">
            <v>0.43588320000000003</v>
          </cell>
        </row>
        <row r="23">
          <cell r="A23">
            <v>3.8768030000000002</v>
          </cell>
          <cell r="B23">
            <v>0.4337838</v>
          </cell>
        </row>
        <row r="24">
          <cell r="A24">
            <v>4.2961499999999999</v>
          </cell>
          <cell r="B24">
            <v>0.43270189999999997</v>
          </cell>
        </row>
        <row r="25">
          <cell r="A25">
            <v>4.8000499999999997</v>
          </cell>
          <cell r="B25">
            <v>0.43267699999999998</v>
          </cell>
        </row>
      </sheetData>
      <sheetData sheetId="12"/>
      <sheetData sheetId="13"/>
    </sheetDataSet>
  </externalBook>
</externalLink>
</file>

<file path=xl/theme/theme1.xml><?xml version="1.0" encoding="utf-8"?>
<a:theme xmlns:a="http://schemas.openxmlformats.org/drawingml/2006/main" name="Thème Office">
  <a:themeElements>
    <a:clrScheme name="Bureau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Bureau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Bureau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hyperlink" Target="mailto:alain.dufour@astrium.eads.net" TargetMode="External"/><Relationship Id="rId2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hyperlink" Target="mailto:fabrice.martin@astrium.eads.net" TargetMode="External"/><Relationship Id="rId2" Type="http://schemas.openxmlformats.org/officeDocument/2006/relationships/drawing" Target="../drawings/drawing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2" enableFormatConditionsCalculation="0"/>
  <dimension ref="A1:H45"/>
  <sheetViews>
    <sheetView topLeftCell="C1" workbookViewId="0">
      <selection activeCell="C30" sqref="C30"/>
    </sheetView>
  </sheetViews>
  <sheetFormatPr baseColWidth="10" defaultRowHeight="13" x14ac:dyDescent="0"/>
  <cols>
    <col min="2" max="2" width="46.140625" bestFit="1" customWidth="1"/>
    <col min="5" max="5" width="12.140625" customWidth="1"/>
  </cols>
  <sheetData>
    <row r="1" spans="1:6">
      <c r="A1" s="78" t="s">
        <v>238</v>
      </c>
      <c r="B1" t="s">
        <v>239</v>
      </c>
      <c r="C1" t="s">
        <v>240</v>
      </c>
    </row>
    <row r="2" spans="1:6">
      <c r="A2" s="78" t="s">
        <v>192</v>
      </c>
      <c r="B2" t="s">
        <v>241</v>
      </c>
    </row>
    <row r="3" spans="1:6">
      <c r="B3" t="s">
        <v>235</v>
      </c>
      <c r="C3" t="s">
        <v>236</v>
      </c>
      <c r="D3" t="s">
        <v>237</v>
      </c>
    </row>
    <row r="4" spans="1:6">
      <c r="A4" s="103"/>
      <c r="B4" t="s">
        <v>193</v>
      </c>
      <c r="C4" t="s">
        <v>194</v>
      </c>
      <c r="D4" s="78" t="s">
        <v>195</v>
      </c>
      <c r="E4" t="s">
        <v>196</v>
      </c>
      <c r="F4" t="s">
        <v>197</v>
      </c>
    </row>
    <row r="5" spans="1:6">
      <c r="B5" t="s">
        <v>198</v>
      </c>
      <c r="F5" t="s">
        <v>199</v>
      </c>
    </row>
    <row r="6" spans="1:6">
      <c r="B6" t="s">
        <v>200</v>
      </c>
      <c r="F6" t="s">
        <v>201</v>
      </c>
    </row>
    <row r="7" spans="1:6">
      <c r="E7" t="s">
        <v>202</v>
      </c>
      <c r="F7" t="s">
        <v>203</v>
      </c>
    </row>
    <row r="8" spans="1:6">
      <c r="E8" t="s">
        <v>204</v>
      </c>
    </row>
    <row r="9" spans="1:6">
      <c r="E9" t="s">
        <v>206</v>
      </c>
    </row>
    <row r="10" spans="1:6">
      <c r="B10" s="104" t="s">
        <v>242</v>
      </c>
    </row>
    <row r="11" spans="1:6">
      <c r="A11" s="78" t="s">
        <v>209</v>
      </c>
      <c r="B11" t="s">
        <v>210</v>
      </c>
    </row>
    <row r="12" spans="1:6">
      <c r="B12" t="s">
        <v>211</v>
      </c>
    </row>
    <row r="13" spans="1:6">
      <c r="B13" t="s">
        <v>212</v>
      </c>
    </row>
    <row r="14" spans="1:6">
      <c r="B14" t="s">
        <v>213</v>
      </c>
    </row>
    <row r="16" spans="1:6">
      <c r="A16" s="78" t="s">
        <v>192</v>
      </c>
      <c r="B16" s="159">
        <v>39134</v>
      </c>
      <c r="C16" t="s">
        <v>459</v>
      </c>
    </row>
    <row r="17" spans="2:8">
      <c r="B17" s="159">
        <v>39144</v>
      </c>
      <c r="C17" t="s">
        <v>460</v>
      </c>
    </row>
    <row r="18" spans="2:8">
      <c r="B18" s="159">
        <v>39157</v>
      </c>
      <c r="C18" t="s">
        <v>466</v>
      </c>
    </row>
    <row r="19" spans="2:8">
      <c r="B19" s="159">
        <v>39165</v>
      </c>
      <c r="C19" t="s">
        <v>461</v>
      </c>
      <c r="D19" t="s">
        <v>462</v>
      </c>
    </row>
    <row r="20" spans="2:8">
      <c r="D20" t="s">
        <v>463</v>
      </c>
    </row>
    <row r="21" spans="2:8">
      <c r="D21" t="s">
        <v>464</v>
      </c>
    </row>
    <row r="22" spans="2:8">
      <c r="D22" t="s">
        <v>465</v>
      </c>
    </row>
    <row r="24" spans="2:8">
      <c r="B24" t="s">
        <v>467</v>
      </c>
    </row>
    <row r="25" spans="2:8">
      <c r="B25" t="s">
        <v>468</v>
      </c>
    </row>
    <row r="26" spans="2:8">
      <c r="B26" t="s">
        <v>469</v>
      </c>
    </row>
    <row r="29" spans="2:8">
      <c r="B29" s="160"/>
      <c r="C29" s="160" t="s">
        <v>473</v>
      </c>
      <c r="D29" s="160" t="s">
        <v>474</v>
      </c>
      <c r="E29" s="160" t="s">
        <v>475</v>
      </c>
    </row>
    <row r="30" spans="2:8">
      <c r="B30" s="160" t="s">
        <v>476</v>
      </c>
      <c r="C30" s="188">
        <f ca="1">Etagement!C29</f>
        <v>74646.624593589659</v>
      </c>
      <c r="D30" s="188">
        <f ca="1">Etagement!B29</f>
        <v>76640.788553385384</v>
      </c>
      <c r="E30" s="188">
        <f ca="1">Etagement!A29</f>
        <v>19182.524439386096</v>
      </c>
      <c r="F30" t="s">
        <v>615</v>
      </c>
      <c r="G30">
        <f ca="1">C30+D30+E30+E31+D31+C31+Etagement!B4</f>
        <v>190151.83251229452</v>
      </c>
      <c r="H30" t="s">
        <v>76</v>
      </c>
    </row>
    <row r="31" spans="2:8">
      <c r="B31" s="160" t="s">
        <v>477</v>
      </c>
      <c r="C31" s="188">
        <f ca="1">Etagement!C32</f>
        <v>7436.0183814067896</v>
      </c>
      <c r="D31" s="188">
        <f ca="1">Etagement!B32</f>
        <v>6134.1687602394859</v>
      </c>
      <c r="E31" s="188">
        <f ca="1">Etagement!A32</f>
        <v>2728.1840409586398</v>
      </c>
    </row>
    <row r="32" spans="2:8">
      <c r="B32" s="160" t="s">
        <v>91</v>
      </c>
      <c r="C32" s="188">
        <f ca="1">'Moteur Etage 1'!B16</f>
        <v>1528.4606052606839</v>
      </c>
      <c r="D32" s="188">
        <f ca="1">'Moteur Etage 2'!B11</f>
        <v>284.55703607765298</v>
      </c>
      <c r="E32" s="188">
        <f ca="1">'Moteur Etage 3'!B11</f>
        <v>57.759502485653769</v>
      </c>
    </row>
    <row r="33" spans="2:5">
      <c r="B33" s="160" t="s">
        <v>478</v>
      </c>
      <c r="C33" s="188">
        <f>'Moteur Etage 1'!B18</f>
        <v>59.04</v>
      </c>
      <c r="D33" s="188">
        <f ca="1">'Moteur Etage 2'!B12</f>
        <v>269.33366192523465</v>
      </c>
      <c r="E33" s="188">
        <f ca="1">'Moteur Etage 3'!B12</f>
        <v>332.11027820315155</v>
      </c>
    </row>
    <row r="34" spans="2:5">
      <c r="B34" s="160" t="s">
        <v>617</v>
      </c>
      <c r="C34" s="188">
        <f>0</f>
        <v>0</v>
      </c>
      <c r="D34" s="188">
        <f>C34+C33</f>
        <v>59.04</v>
      </c>
      <c r="E34" s="188">
        <f ca="1">D34+D33</f>
        <v>328.37366192523467</v>
      </c>
    </row>
    <row r="35" spans="2:5">
      <c r="B35" s="160" t="s">
        <v>479</v>
      </c>
      <c r="C35" s="188">
        <f>Etagement!B10</f>
        <v>288</v>
      </c>
      <c r="D35" s="188">
        <f>Etagement!B11</f>
        <v>315.60000000000002</v>
      </c>
      <c r="E35" s="188">
        <f>Etagement!B12</f>
        <v>469.9</v>
      </c>
    </row>
    <row r="36" spans="2:5">
      <c r="B36" s="160" t="s">
        <v>480</v>
      </c>
      <c r="C36" s="188">
        <f ca="1">'Moteur Etage 1'!B29</f>
        <v>5.8280698626292162</v>
      </c>
      <c r="D36" s="188">
        <f ca="1">'Moteur Etage 2'!B24</f>
        <v>3.4906412172905696</v>
      </c>
      <c r="E36" s="188">
        <f ca="1">'Moteur Etage 3'!B26</f>
        <v>1.2734744405388294</v>
      </c>
    </row>
    <row r="37" spans="2:5">
      <c r="B37" s="170" t="s">
        <v>616</v>
      </c>
      <c r="C37">
        <f ca="1">C30/C33</f>
        <v>1264.3398474523995</v>
      </c>
      <c r="D37">
        <f ca="1">D30/D33</f>
        <v>284.55703607765298</v>
      </c>
      <c r="E37">
        <f ca="1">E30/E33</f>
        <v>57.759502485653769</v>
      </c>
    </row>
    <row r="38" spans="2:5">
      <c r="B38" t="s">
        <v>470</v>
      </c>
    </row>
    <row r="39" spans="2:5">
      <c r="B39" t="s">
        <v>471</v>
      </c>
    </row>
    <row r="40" spans="2:5">
      <c r="B40" t="s">
        <v>472</v>
      </c>
    </row>
    <row r="41" spans="2:5">
      <c r="B41" t="s">
        <v>482</v>
      </c>
    </row>
    <row r="42" spans="2:5">
      <c r="B42" t="s">
        <v>481</v>
      </c>
    </row>
    <row r="43" spans="2:5">
      <c r="B43" t="s">
        <v>484</v>
      </c>
    </row>
    <row r="45" spans="2:5">
      <c r="B45" t="s">
        <v>483</v>
      </c>
    </row>
  </sheetData>
  <pageMargins left="0.78740157499999996" right="0.78740157499999996" top="0.984251969" bottom="0.984251969" header="0.5" footer="0.5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3" enableFormatConditionsCalculation="0"/>
  <dimension ref="A1:P49"/>
  <sheetViews>
    <sheetView tabSelected="1" workbookViewId="0">
      <selection activeCell="D21" sqref="D21"/>
    </sheetView>
  </sheetViews>
  <sheetFormatPr baseColWidth="10" defaultColWidth="10.7109375" defaultRowHeight="13" x14ac:dyDescent="0"/>
  <cols>
    <col min="1" max="1" width="15.85546875" style="1" bestFit="1" customWidth="1"/>
    <col min="2" max="3" width="12.28515625" style="1" bestFit="1" customWidth="1"/>
    <col min="4" max="4" width="10.140625" style="1" customWidth="1"/>
    <col min="5" max="5" width="8.140625" style="1" customWidth="1"/>
    <col min="6" max="6" width="11.5703125" style="1" customWidth="1"/>
    <col min="7" max="7" width="11.140625" style="1" customWidth="1"/>
    <col min="8" max="8" width="10.42578125" style="1" customWidth="1"/>
    <col min="9" max="9" width="12.7109375" style="1" customWidth="1"/>
    <col min="10" max="16384" width="10.7109375" style="1"/>
  </cols>
  <sheetData>
    <row r="1" spans="1:16" ht="32">
      <c r="A1" s="173" t="s">
        <v>0</v>
      </c>
      <c r="B1" s="174"/>
      <c r="C1" s="174"/>
      <c r="D1" s="174"/>
      <c r="E1" s="174"/>
      <c r="F1" s="174"/>
      <c r="G1" s="174"/>
      <c r="H1" s="174"/>
      <c r="I1" s="174"/>
      <c r="J1" s="175"/>
    </row>
    <row r="2" spans="1:16" ht="12.75" customHeight="1">
      <c r="A2" s="47"/>
      <c r="B2" s="45"/>
      <c r="C2" s="45"/>
      <c r="D2" s="46"/>
      <c r="E2" s="46"/>
      <c r="F2" s="46"/>
      <c r="G2" s="46"/>
      <c r="H2" s="46"/>
      <c r="I2" s="46"/>
      <c r="J2" s="76"/>
    </row>
    <row r="3" spans="1:16" ht="26" customHeight="1" thickBot="1">
      <c r="A3" s="30" t="s">
        <v>29</v>
      </c>
      <c r="B3" s="31"/>
      <c r="C3" s="31"/>
      <c r="D3" s="31"/>
      <c r="E3" s="31"/>
      <c r="F3" s="44"/>
      <c r="G3" s="44"/>
      <c r="H3" s="32" t="s">
        <v>2</v>
      </c>
      <c r="I3" s="33"/>
      <c r="J3" s="34"/>
    </row>
    <row r="4" spans="1:16" ht="12.75" customHeight="1">
      <c r="A4" s="35" t="s">
        <v>1</v>
      </c>
      <c r="B4" s="163">
        <f ca="1">'Bilan Masse'!B16</f>
        <v>3383.5237433284778</v>
      </c>
      <c r="C4" s="31">
        <f ca="1">B4-'Bilan Masse'!B2</f>
        <v>2959.2326059090396</v>
      </c>
      <c r="D4" s="31"/>
      <c r="E4" s="31"/>
      <c r="F4" s="44"/>
      <c r="G4" s="44"/>
      <c r="H4" s="176" t="s">
        <v>4</v>
      </c>
      <c r="I4" s="177"/>
      <c r="J4" s="8">
        <f>2*PI()/(23*3600+56*60)</f>
        <v>7.2924620556866142E-5</v>
      </c>
    </row>
    <row r="5" spans="1:16" ht="12.75" customHeight="1">
      <c r="A5" s="29" t="s">
        <v>3</v>
      </c>
      <c r="B5" s="2">
        <v>35786</v>
      </c>
      <c r="C5" s="31"/>
      <c r="D5" s="31"/>
      <c r="E5" s="31"/>
      <c r="F5" s="44"/>
      <c r="G5" s="44"/>
      <c r="H5" s="178" t="s">
        <v>6</v>
      </c>
      <c r="I5" s="179"/>
      <c r="J5" s="9">
        <v>6378137</v>
      </c>
    </row>
    <row r="6" spans="1:16" ht="12.75" customHeight="1">
      <c r="A6" s="29" t="s">
        <v>5</v>
      </c>
      <c r="B6" s="2">
        <v>250</v>
      </c>
      <c r="C6" s="31"/>
      <c r="D6" s="31"/>
      <c r="E6" s="31"/>
      <c r="F6" s="44"/>
      <c r="G6" s="44"/>
      <c r="H6" s="178" t="s">
        <v>8</v>
      </c>
      <c r="I6" s="179"/>
      <c r="J6" s="9">
        <v>6356752</v>
      </c>
      <c r="L6"/>
      <c r="M6"/>
      <c r="N6"/>
      <c r="O6"/>
      <c r="P6"/>
    </row>
    <row r="7" spans="1:16" ht="12.75" customHeight="1" thickBot="1">
      <c r="A7" s="36" t="s">
        <v>7</v>
      </c>
      <c r="B7" s="3">
        <v>5</v>
      </c>
      <c r="C7" s="31"/>
      <c r="D7" s="31"/>
      <c r="E7" s="31"/>
      <c r="F7" s="44"/>
      <c r="G7" s="44"/>
      <c r="H7" s="178" t="s">
        <v>9</v>
      </c>
      <c r="I7" s="179"/>
      <c r="J7" s="9">
        <f>3.986005*100000000000000</f>
        <v>398600500000000</v>
      </c>
      <c r="L7"/>
      <c r="M7"/>
      <c r="N7"/>
      <c r="O7"/>
      <c r="P7"/>
    </row>
    <row r="8" spans="1:16" ht="14" thickBot="1">
      <c r="A8" s="37"/>
      <c r="B8" s="31"/>
      <c r="C8" s="31"/>
      <c r="D8" s="31"/>
      <c r="E8" s="31"/>
      <c r="F8" s="44"/>
      <c r="G8" s="44"/>
      <c r="H8" s="171" t="s">
        <v>12</v>
      </c>
      <c r="I8" s="172"/>
      <c r="J8" s="10">
        <v>9.81</v>
      </c>
      <c r="L8"/>
      <c r="M8"/>
      <c r="N8"/>
      <c r="O8"/>
      <c r="P8"/>
    </row>
    <row r="9" spans="1:16" ht="27" thickBot="1">
      <c r="A9" s="68" t="s">
        <v>43</v>
      </c>
      <c r="B9" s="69" t="s">
        <v>48</v>
      </c>
      <c r="C9" s="69" t="s">
        <v>47</v>
      </c>
      <c r="D9" s="70" t="s">
        <v>52</v>
      </c>
      <c r="E9" s="70" t="s">
        <v>10</v>
      </c>
      <c r="F9" s="71" t="s">
        <v>11</v>
      </c>
      <c r="G9" s="44"/>
      <c r="H9" s="31"/>
      <c r="I9" s="31"/>
      <c r="J9" s="34"/>
      <c r="O9"/>
      <c r="P9"/>
    </row>
    <row r="10" spans="1:16">
      <c r="A10" s="22" t="s">
        <v>44</v>
      </c>
      <c r="B10" s="64">
        <v>288</v>
      </c>
      <c r="C10" s="44">
        <v>264.8</v>
      </c>
      <c r="D10" s="41">
        <v>0.92</v>
      </c>
      <c r="E10" s="41">
        <f>(0.5*B10+0.5*C10)*D10</f>
        <v>254.28799999999998</v>
      </c>
      <c r="F10" s="66">
        <v>9.9616270955208919E-2</v>
      </c>
      <c r="G10" s="44"/>
      <c r="H10" s="53" t="s">
        <v>23</v>
      </c>
      <c r="I10" s="23">
        <f>F10/(1+F10)</f>
        <v>9.0591848798922181E-2</v>
      </c>
      <c r="J10" s="34"/>
      <c r="K10" s="1" t="s">
        <v>588</v>
      </c>
      <c r="L10" s="1">
        <f ca="1">(IF(C$29/1000&lt;10,15.79/POWER(C$29/1000,0.1092),IF(C$29/1000&lt;50,14.49/POWER(C$29/1000,0.1071),17.46/POWER(C$29/1000,0.0542))))/100</f>
        <v>0.13820606054254964</v>
      </c>
      <c r="O10"/>
      <c r="P10"/>
    </row>
    <row r="11" spans="1:16">
      <c r="A11" s="22" t="s">
        <v>45</v>
      </c>
      <c r="B11" s="64">
        <v>315.60000000000002</v>
      </c>
      <c r="C11" s="44">
        <v>186.3</v>
      </c>
      <c r="D11" s="41">
        <v>0.92</v>
      </c>
      <c r="E11" s="41">
        <f>B11*D11</f>
        <v>290.35200000000003</v>
      </c>
      <c r="F11" s="66">
        <v>8.0037912918479837E-2</v>
      </c>
      <c r="G11" s="44"/>
      <c r="H11" s="54" t="s">
        <v>22</v>
      </c>
      <c r="I11" s="24">
        <f>F11/(1+F11)</f>
        <v>7.4106577149871788E-2</v>
      </c>
      <c r="J11" s="34"/>
      <c r="K11" s="1" t="s">
        <v>589</v>
      </c>
      <c r="L11" s="1">
        <f ca="1">(IF(B$29/1000&lt;10,15.79/POWER(B$29/1000,0.1092),IF(B$29/1000&lt;50,14.49/POWER(B$29/1000,0.1071),17.46/POWER(B$29/1000,0.0542))))/100+0.02</f>
        <v>0.15800871408359793</v>
      </c>
      <c r="O11"/>
      <c r="P11"/>
    </row>
    <row r="12" spans="1:16" ht="14" thickBot="1">
      <c r="A12" s="6" t="s">
        <v>46</v>
      </c>
      <c r="B12" s="65">
        <v>469.9</v>
      </c>
      <c r="C12" s="62">
        <v>230.1</v>
      </c>
      <c r="D12" s="15">
        <v>0.95</v>
      </c>
      <c r="E12" s="15">
        <f>B12*D12</f>
        <v>446.40499999999997</v>
      </c>
      <c r="F12" s="67">
        <v>0.1422223675293256</v>
      </c>
      <c r="G12" s="44"/>
      <c r="H12" s="55" t="s">
        <v>21</v>
      </c>
      <c r="I12" s="25">
        <f>F12/(1+F12)</f>
        <v>0.1245137300514947</v>
      </c>
      <c r="J12" s="34"/>
      <c r="K12" s="1" t="s">
        <v>590</v>
      </c>
      <c r="L12" s="1">
        <f ca="1">(IF(B$29/1000&lt;10,15.79/POWER(B$29/1000,0.1092),IF(B$29/1000&lt;50,14.49/POWER(B$29/1000,0.1071),17.46/POWER(B$29/1000,0.0542))))/100+0.02</f>
        <v>0.15800871408359793</v>
      </c>
      <c r="O12"/>
      <c r="P12"/>
    </row>
    <row r="13" spans="1:16" ht="14" thickBot="1">
      <c r="A13" s="38"/>
      <c r="B13" s="39"/>
      <c r="C13" s="39"/>
      <c r="D13" s="31"/>
      <c r="E13" s="44"/>
      <c r="F13" s="59"/>
      <c r="G13" s="44"/>
      <c r="H13" s="39"/>
      <c r="I13" s="39"/>
      <c r="J13" s="34"/>
      <c r="K13" s="4"/>
    </row>
    <row r="14" spans="1:16" ht="14" thickBot="1">
      <c r="A14" s="40" t="s">
        <v>13</v>
      </c>
      <c r="B14" s="5"/>
      <c r="C14" s="39"/>
      <c r="D14" s="39"/>
      <c r="E14" s="39"/>
      <c r="F14" s="44"/>
      <c r="G14" s="44"/>
      <c r="H14" s="50" t="s">
        <v>25</v>
      </c>
      <c r="I14" s="26">
        <f>1/I10*(1-E11/E10*(1-I11*I15))</f>
        <v>1.6462619819370188</v>
      </c>
      <c r="J14" s="19"/>
      <c r="K14" s="58"/>
    </row>
    <row r="15" spans="1:16">
      <c r="A15" s="21" t="s">
        <v>14</v>
      </c>
      <c r="B15" s="18">
        <v>5</v>
      </c>
      <c r="C15" s="39"/>
      <c r="D15" s="39"/>
      <c r="E15" s="39"/>
      <c r="F15" s="44"/>
      <c r="G15" s="44"/>
      <c r="H15" s="56" t="s">
        <v>24</v>
      </c>
      <c r="I15" s="27">
        <f>1/I11*(1-E12/E11*(1-I12*I16))</f>
        <v>3.4385837699033943</v>
      </c>
      <c r="J15" s="19"/>
      <c r="K15" s="4"/>
    </row>
    <row r="16" spans="1:16" ht="14" thickBot="1">
      <c r="A16" s="22" t="s">
        <v>15</v>
      </c>
      <c r="B16" s="19">
        <f>J4*J5*COS(B15*PI()/180)*SIN(B18*PI()/180)</f>
        <v>463.35328630584405</v>
      </c>
      <c r="C16" s="39"/>
      <c r="D16" s="39"/>
      <c r="E16" s="39"/>
      <c r="F16" s="44"/>
      <c r="G16" s="44"/>
      <c r="H16" s="77" t="s">
        <v>20</v>
      </c>
      <c r="I16" s="28">
        <v>4.1386520947063872</v>
      </c>
      <c r="J16" s="19"/>
      <c r="K16" s="4"/>
    </row>
    <row r="17" spans="1:11" ht="14" thickBot="1">
      <c r="A17" s="22" t="s">
        <v>16</v>
      </c>
      <c r="B17" s="19">
        <f>SQRT(J7*(2/(1000*B6+J5)-2/(1000*B6+1000*B5+2*J5)))</f>
        <v>10194.930217458312</v>
      </c>
      <c r="C17" s="39"/>
      <c r="D17" s="39"/>
      <c r="E17" s="39"/>
      <c r="F17" s="44"/>
      <c r="G17" s="44"/>
      <c r="H17" s="57" t="s">
        <v>30</v>
      </c>
      <c r="I17" s="13">
        <f>J8*(E10*LN(I14)+E11*LN(I15)+E12*LN(I16))</f>
        <v>10981.576931083737</v>
      </c>
      <c r="J17" s="19"/>
      <c r="K17" s="4"/>
    </row>
    <row r="18" spans="1:11">
      <c r="A18" s="22" t="s">
        <v>17</v>
      </c>
      <c r="B18" s="19">
        <f>180/PI()*ASIN(COS(B7*PI()/180)/COS(B15*PI()/180))</f>
        <v>90</v>
      </c>
      <c r="C18" s="39"/>
      <c r="D18" s="39"/>
      <c r="E18" s="39"/>
      <c r="F18" s="39"/>
      <c r="G18" s="39"/>
      <c r="H18" s="39"/>
      <c r="I18" s="44"/>
      <c r="J18" s="42"/>
      <c r="K18" s="4"/>
    </row>
    <row r="19" spans="1:11">
      <c r="A19" s="22" t="s">
        <v>18</v>
      </c>
      <c r="B19" s="19">
        <v>1250</v>
      </c>
      <c r="C19" s="39"/>
      <c r="D19" s="39"/>
      <c r="E19" s="39"/>
      <c r="F19" s="39"/>
      <c r="G19" s="73"/>
      <c r="H19" s="73"/>
      <c r="I19" s="74"/>
      <c r="J19" s="42"/>
      <c r="K19" s="4"/>
    </row>
    <row r="20" spans="1:11" ht="14" thickBot="1">
      <c r="A20" s="6" t="s">
        <v>19</v>
      </c>
      <c r="B20" s="20">
        <f>B17-B16+B19</f>
        <v>10981.576931152467</v>
      </c>
      <c r="C20" s="39"/>
      <c r="D20" s="39"/>
      <c r="E20" s="39"/>
      <c r="F20" s="39"/>
      <c r="G20" s="73"/>
      <c r="H20" s="73"/>
      <c r="I20" s="74"/>
      <c r="J20" s="42"/>
      <c r="K20" s="4"/>
    </row>
    <row r="21" spans="1:11" ht="14" thickBot="1">
      <c r="A21" s="38"/>
      <c r="B21" s="39"/>
      <c r="C21" s="39"/>
      <c r="D21" s="39"/>
      <c r="E21" s="39"/>
      <c r="F21" s="41"/>
      <c r="G21" s="75"/>
      <c r="H21" s="73"/>
      <c r="I21" s="74"/>
      <c r="J21" s="42"/>
      <c r="K21" s="4"/>
    </row>
    <row r="22" spans="1:11">
      <c r="A22" s="11" t="s">
        <v>26</v>
      </c>
      <c r="B22" s="12" t="s">
        <v>27</v>
      </c>
      <c r="C22" s="14" t="s">
        <v>28</v>
      </c>
      <c r="D22" s="41"/>
      <c r="E22" s="41"/>
      <c r="F22" s="41"/>
      <c r="G22" s="75"/>
      <c r="H22" s="73"/>
      <c r="I22" s="74"/>
      <c r="J22" s="42"/>
      <c r="K22" s="4"/>
    </row>
    <row r="23" spans="1:11" ht="14" thickBot="1">
      <c r="A23" s="166">
        <f>(1+F12)/I16-F12</f>
        <v>0.13376661182709443</v>
      </c>
      <c r="B23" s="167">
        <f>(1+F11)/I15-F11</f>
        <v>0.23405590744199462</v>
      </c>
      <c r="C23" s="168">
        <f>(1+F10)/I14-F10</f>
        <v>0.56833104424755265</v>
      </c>
      <c r="D23" s="41"/>
      <c r="E23" s="41"/>
      <c r="F23" s="41"/>
      <c r="G23" s="75"/>
      <c r="H23" s="74"/>
      <c r="I23" s="74"/>
      <c r="J23" s="42"/>
      <c r="K23" s="4"/>
    </row>
    <row r="24" spans="1:11" ht="14" thickBot="1">
      <c r="A24" s="43"/>
      <c r="B24" s="41"/>
      <c r="C24" s="41"/>
      <c r="D24" s="41"/>
      <c r="E24" s="41"/>
      <c r="F24" s="44"/>
      <c r="G24" s="74"/>
      <c r="H24" s="74"/>
      <c r="I24" s="74"/>
      <c r="J24" s="42"/>
      <c r="K24" s="4"/>
    </row>
    <row r="25" spans="1:11">
      <c r="A25" s="50" t="s">
        <v>31</v>
      </c>
      <c r="B25" s="51" t="s">
        <v>32</v>
      </c>
      <c r="C25" s="52" t="s">
        <v>33</v>
      </c>
      <c r="D25" s="48" t="s">
        <v>40</v>
      </c>
      <c r="E25" s="60" t="s">
        <v>41</v>
      </c>
      <c r="F25" s="44"/>
      <c r="G25" s="74"/>
      <c r="H25" s="74"/>
      <c r="I25" s="74"/>
      <c r="J25" s="63"/>
    </row>
    <row r="26" spans="1:11" ht="14" thickBot="1">
      <c r="A26" s="16">
        <f ca="1">B4/A23</f>
        <v>25294.232223673211</v>
      </c>
      <c r="B26" s="17">
        <f ca="1">A26/B23</f>
        <v>108069.18953729808</v>
      </c>
      <c r="C26" s="7">
        <f ca="1">B26/C23</f>
        <v>190151.83251229452</v>
      </c>
      <c r="D26" s="49">
        <f ca="1">TRUNC(C26/1000)</f>
        <v>190</v>
      </c>
      <c r="E26" s="60"/>
      <c r="F26" s="44"/>
      <c r="G26" s="44"/>
      <c r="H26" s="44"/>
      <c r="I26" s="44"/>
      <c r="J26" s="19"/>
    </row>
    <row r="27" spans="1:11" ht="14" thickBot="1">
      <c r="A27" s="37"/>
      <c r="B27" s="44"/>
      <c r="C27" s="44"/>
      <c r="D27" s="44"/>
      <c r="E27" s="60"/>
      <c r="F27" s="44"/>
      <c r="G27" s="44"/>
      <c r="H27" s="44"/>
      <c r="I27" s="44"/>
      <c r="J27" s="63"/>
    </row>
    <row r="28" spans="1:11">
      <c r="A28" s="50" t="s">
        <v>34</v>
      </c>
      <c r="B28" s="51" t="s">
        <v>35</v>
      </c>
      <c r="C28" s="52" t="s">
        <v>36</v>
      </c>
      <c r="D28" s="48" t="s">
        <v>40</v>
      </c>
      <c r="E28" s="60" t="s">
        <v>42</v>
      </c>
      <c r="F28" s="44"/>
      <c r="G28" s="44"/>
      <c r="H28" s="44"/>
      <c r="I28" s="44"/>
      <c r="J28" s="63"/>
    </row>
    <row r="29" spans="1:11" ht="14" thickBot="1">
      <c r="A29" s="16">
        <f ca="1">(1-A23)/(1+F12)*A26</f>
        <v>19182.524439386096</v>
      </c>
      <c r="B29" s="17">
        <f ca="1">(1-B23)/(1+F11)*B26</f>
        <v>76640.788553385384</v>
      </c>
      <c r="C29" s="7">
        <f ca="1">(1-C23)/(1+F10)*C26</f>
        <v>74646.624593589659</v>
      </c>
      <c r="D29" s="49">
        <f ca="1">TRUNC(SUM(A29:C29)/1000)</f>
        <v>170</v>
      </c>
      <c r="E29" s="60"/>
      <c r="F29" s="44"/>
      <c r="G29" s="44"/>
      <c r="H29" s="44"/>
      <c r="I29" s="44"/>
      <c r="J29" s="42"/>
    </row>
    <row r="30" spans="1:11" ht="14" thickBot="1">
      <c r="A30" s="37"/>
      <c r="B30" s="44"/>
      <c r="C30" s="44"/>
      <c r="D30" s="44"/>
      <c r="E30" s="60"/>
      <c r="F30" s="44"/>
      <c r="G30" s="44"/>
      <c r="H30" s="44"/>
      <c r="I30" s="44"/>
      <c r="J30" s="42"/>
    </row>
    <row r="31" spans="1:11">
      <c r="A31" s="50" t="s">
        <v>37</v>
      </c>
      <c r="B31" s="51" t="s">
        <v>38</v>
      </c>
      <c r="C31" s="51" t="s">
        <v>39</v>
      </c>
      <c r="D31" s="48" t="s">
        <v>40</v>
      </c>
      <c r="E31" s="60" t="s">
        <v>51</v>
      </c>
      <c r="F31" s="44"/>
      <c r="G31" s="44"/>
      <c r="H31" s="44"/>
      <c r="I31" s="44"/>
      <c r="J31" s="42"/>
    </row>
    <row r="32" spans="1:11" ht="14" thickBot="1">
      <c r="A32" s="16">
        <f ca="1">F12*A29</f>
        <v>2728.1840409586398</v>
      </c>
      <c r="B32" s="17">
        <f ca="1">F11*B29</f>
        <v>6134.1687602394859</v>
      </c>
      <c r="C32" s="17">
        <f ca="1">F10*C29</f>
        <v>7436.0183814067896</v>
      </c>
      <c r="D32" s="49">
        <f ca="1">TRUNC(SUM(A32:C32)/1000)</f>
        <v>16</v>
      </c>
      <c r="E32" s="61"/>
      <c r="F32" s="17"/>
      <c r="G32" s="17"/>
      <c r="H32" s="17"/>
      <c r="I32" s="17"/>
      <c r="J32" s="7"/>
    </row>
    <row r="33" spans="1:11">
      <c r="A33" s="1" t="s">
        <v>54</v>
      </c>
      <c r="B33" s="72">
        <f ca="1">B4/C26</f>
        <v>1.7793800346939656E-2</v>
      </c>
      <c r="F33"/>
      <c r="G33"/>
      <c r="H33"/>
      <c r="I33"/>
      <c r="J33"/>
    </row>
    <row r="34" spans="1:11">
      <c r="F34"/>
      <c r="G34"/>
      <c r="H34"/>
      <c r="I34"/>
      <c r="J34"/>
    </row>
    <row r="35" spans="1:11">
      <c r="F35"/>
      <c r="G35"/>
      <c r="H35"/>
      <c r="I35"/>
      <c r="J35"/>
      <c r="K35" s="1" t="s">
        <v>53</v>
      </c>
    </row>
    <row r="36" spans="1:11">
      <c r="C36" s="1" t="s">
        <v>49</v>
      </c>
      <c r="F36"/>
      <c r="G36"/>
      <c r="H36"/>
      <c r="I36"/>
      <c r="J36"/>
    </row>
    <row r="37" spans="1:11">
      <c r="C37" s="99" t="s">
        <v>50</v>
      </c>
      <c r="F37"/>
      <c r="G37"/>
      <c r="H37"/>
      <c r="I37"/>
      <c r="J37"/>
    </row>
    <row r="38" spans="1:11">
      <c r="F38"/>
      <c r="G38"/>
      <c r="H38"/>
      <c r="I38"/>
      <c r="J38"/>
    </row>
    <row r="39" spans="1:11">
      <c r="F39"/>
      <c r="G39"/>
      <c r="H39"/>
      <c r="I39"/>
      <c r="J39"/>
    </row>
    <row r="40" spans="1:11">
      <c r="F40"/>
      <c r="G40"/>
      <c r="H40"/>
      <c r="I40"/>
      <c r="J40"/>
    </row>
    <row r="41" spans="1:11">
      <c r="F41"/>
      <c r="G41"/>
      <c r="H41"/>
      <c r="I41"/>
      <c r="J41"/>
    </row>
    <row r="42" spans="1:11">
      <c r="F42"/>
      <c r="G42"/>
      <c r="H42"/>
      <c r="I42"/>
      <c r="J42"/>
    </row>
    <row r="43" spans="1:11">
      <c r="F43"/>
      <c r="G43"/>
      <c r="H43"/>
      <c r="I43"/>
      <c r="J43"/>
    </row>
    <row r="44" spans="1:11">
      <c r="F44"/>
      <c r="G44"/>
      <c r="H44"/>
      <c r="I44"/>
      <c r="J44"/>
    </row>
    <row r="45" spans="1:11">
      <c r="F45"/>
      <c r="G45"/>
      <c r="H45"/>
      <c r="I45"/>
      <c r="J45"/>
    </row>
    <row r="46" spans="1:11">
      <c r="F46"/>
      <c r="G46"/>
      <c r="H46"/>
      <c r="I46"/>
      <c r="J46"/>
    </row>
    <row r="47" spans="1:11">
      <c r="F47"/>
      <c r="G47"/>
      <c r="H47"/>
      <c r="I47"/>
      <c r="J47"/>
    </row>
    <row r="48" spans="1:11">
      <c r="F48"/>
      <c r="G48"/>
      <c r="H48"/>
      <c r="I48"/>
      <c r="J48"/>
    </row>
    <row r="49" spans="9:9">
      <c r="I49" s="1" t="s">
        <v>53</v>
      </c>
    </row>
  </sheetData>
  <mergeCells count="6">
    <mergeCell ref="H8:I8"/>
    <mergeCell ref="A1:J1"/>
    <mergeCell ref="H4:I4"/>
    <mergeCell ref="H5:I5"/>
    <mergeCell ref="H6:I6"/>
    <mergeCell ref="H7:I7"/>
  </mergeCells>
  <phoneticPr fontId="4" type="noConversion"/>
  <hyperlinks>
    <hyperlink ref="C37" r:id="rId1"/>
  </hyperlinks>
  <pageMargins left="0.75000000000000011" right="0.75000000000000011" top="0.98" bottom="0.98" header="0.51" footer="0.51"/>
  <headerFooter alignWithMargins="0"/>
  <drawing r:id="rId2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3" enableFormatConditionsCalculation="0"/>
  <dimension ref="A1:L214"/>
  <sheetViews>
    <sheetView workbookViewId="0">
      <selection activeCell="B13" sqref="B13"/>
    </sheetView>
  </sheetViews>
  <sheetFormatPr baseColWidth="10" defaultRowHeight="13" x14ac:dyDescent="0"/>
  <cols>
    <col min="1" max="1" width="21.85546875" customWidth="1"/>
    <col min="2" max="2" width="12" bestFit="1" customWidth="1"/>
    <col min="3" max="3" width="11" customWidth="1"/>
    <col min="5" max="5" width="15" customWidth="1"/>
    <col min="6" max="6" width="12" bestFit="1" customWidth="1"/>
    <col min="9" max="9" width="11.85546875" bestFit="1" customWidth="1"/>
  </cols>
  <sheetData>
    <row r="1" spans="1:5">
      <c r="A1" s="78" t="s">
        <v>269</v>
      </c>
    </row>
    <row r="2" spans="1:5">
      <c r="A2" t="s">
        <v>419</v>
      </c>
      <c r="B2">
        <f>10*Géométrie!B10</f>
        <v>424.29113741943809</v>
      </c>
      <c r="C2" t="s">
        <v>76</v>
      </c>
    </row>
    <row r="3" spans="1:5">
      <c r="A3" s="143"/>
      <c r="B3" s="143"/>
      <c r="C3" s="143"/>
      <c r="D3" s="143"/>
      <c r="E3" s="143"/>
    </row>
    <row r="4" spans="1:5">
      <c r="A4" s="78" t="s">
        <v>420</v>
      </c>
    </row>
    <row r="5" spans="1:5">
      <c r="A5" t="s">
        <v>421</v>
      </c>
      <c r="B5">
        <f ca="1">29*Etagement!B4/1000</f>
        <v>98.122188556525856</v>
      </c>
      <c r="C5" t="s">
        <v>76</v>
      </c>
    </row>
    <row r="6" spans="1:5">
      <c r="A6" s="143"/>
      <c r="B6" s="143"/>
      <c r="C6" s="143"/>
      <c r="D6" s="143"/>
      <c r="E6" s="143"/>
    </row>
    <row r="7" spans="1:5">
      <c r="A7" s="78" t="s">
        <v>422</v>
      </c>
    </row>
    <row r="8" spans="1:5">
      <c r="A8" t="s">
        <v>341</v>
      </c>
      <c r="B8">
        <f>1.36</f>
        <v>1.36</v>
      </c>
      <c r="C8" t="s">
        <v>64</v>
      </c>
      <c r="D8" t="s">
        <v>342</v>
      </c>
    </row>
    <row r="9" spans="1:5">
      <c r="A9" t="s">
        <v>343</v>
      </c>
      <c r="B9">
        <f>1.2</f>
        <v>1.2</v>
      </c>
      <c r="C9" t="s">
        <v>64</v>
      </c>
      <c r="D9" t="s">
        <v>488</v>
      </c>
    </row>
    <row r="10" spans="1:5">
      <c r="A10" t="s">
        <v>344</v>
      </c>
      <c r="B10">
        <v>1</v>
      </c>
      <c r="D10" t="s">
        <v>345</v>
      </c>
    </row>
    <row r="11" spans="1:5">
      <c r="A11" t="s">
        <v>346</v>
      </c>
      <c r="B11">
        <v>1</v>
      </c>
      <c r="C11" t="s">
        <v>64</v>
      </c>
      <c r="D11" t="s">
        <v>347</v>
      </c>
    </row>
    <row r="12" spans="1:5">
      <c r="A12" t="s">
        <v>352</v>
      </c>
      <c r="B12">
        <v>1.1000000000000001</v>
      </c>
      <c r="C12" t="s">
        <v>64</v>
      </c>
      <c r="D12" t="s">
        <v>353</v>
      </c>
    </row>
    <row r="13" spans="1:5">
      <c r="A13" t="s">
        <v>424</v>
      </c>
      <c r="B13">
        <f>1*2*PI()*Géométrie!B3/2</f>
        <v>12.919799787888024</v>
      </c>
      <c r="C13" t="s">
        <v>350</v>
      </c>
      <c r="D13" t="s">
        <v>489</v>
      </c>
    </row>
    <row r="14" spans="1:5">
      <c r="A14" t="s">
        <v>423</v>
      </c>
      <c r="B14">
        <f>9*B8*B9*B10*B11*B12*B13</f>
        <v>208.74262121294925</v>
      </c>
      <c r="C14" t="s">
        <v>76</v>
      </c>
      <c r="D14" s="151"/>
    </row>
    <row r="15" spans="1:5">
      <c r="A15" s="143"/>
      <c r="B15" s="143"/>
      <c r="C15" s="143"/>
      <c r="D15" s="143"/>
      <c r="E15" s="143"/>
    </row>
    <row r="16" spans="1:5">
      <c r="A16" t="s">
        <v>490</v>
      </c>
      <c r="B16">
        <f ca="1">B14+B5+B2+2500+B106</f>
        <v>3383.5237433284778</v>
      </c>
      <c r="C16" t="s">
        <v>76</v>
      </c>
    </row>
    <row r="17" spans="1:5">
      <c r="A17" s="150"/>
      <c r="B17" s="150"/>
      <c r="C17" s="150"/>
      <c r="D17" s="150"/>
      <c r="E17" s="150"/>
    </row>
    <row r="18" spans="1:5">
      <c r="A18" s="78" t="s">
        <v>369</v>
      </c>
    </row>
    <row r="19" spans="1:5">
      <c r="A19" s="104" t="s">
        <v>368</v>
      </c>
    </row>
    <row r="20" spans="1:5">
      <c r="A20" s="154" t="s">
        <v>370</v>
      </c>
      <c r="B20">
        <f ca="1">Etagement!J8*Etagement!E12*'Moteur Etage 3'!B11/1000</f>
        <v>252.94232223673211</v>
      </c>
      <c r="C20" t="s">
        <v>371</v>
      </c>
      <c r="D20" t="s">
        <v>491</v>
      </c>
    </row>
    <row r="21" spans="1:5">
      <c r="A21" t="s">
        <v>372</v>
      </c>
      <c r="B21">
        <f ca="1">(B20-22)/1.5</f>
        <v>153.9615481578214</v>
      </c>
      <c r="C21" t="s">
        <v>371</v>
      </c>
    </row>
    <row r="22" spans="1:5">
      <c r="A22" t="s">
        <v>492</v>
      </c>
      <c r="B22">
        <f ca="1">B20*1000/B21/Etagement!J8</f>
        <v>167.47123561447773</v>
      </c>
      <c r="C22" t="s">
        <v>76</v>
      </c>
    </row>
    <row r="23" spans="1:5">
      <c r="A23" s="143"/>
      <c r="B23" s="143"/>
      <c r="C23" s="143"/>
      <c r="D23" s="143"/>
      <c r="E23" s="143"/>
    </row>
    <row r="24" spans="1:5">
      <c r="A24" s="104" t="s">
        <v>373</v>
      </c>
    </row>
    <row r="25" spans="1:5">
      <c r="A25" t="s">
        <v>341</v>
      </c>
      <c r="B25">
        <v>1.36</v>
      </c>
      <c r="C25" t="s">
        <v>64</v>
      </c>
      <c r="D25" t="s">
        <v>342</v>
      </c>
    </row>
    <row r="26" spans="1:5">
      <c r="A26" t="s">
        <v>344</v>
      </c>
      <c r="B26">
        <v>1</v>
      </c>
      <c r="C26" t="s">
        <v>64</v>
      </c>
      <c r="D26" t="s">
        <v>345</v>
      </c>
    </row>
    <row r="27" spans="1:5">
      <c r="A27" t="s">
        <v>346</v>
      </c>
      <c r="B27">
        <v>1</v>
      </c>
      <c r="C27" t="s">
        <v>64</v>
      </c>
      <c r="D27" t="s">
        <v>347</v>
      </c>
    </row>
    <row r="28" spans="1:5">
      <c r="A28" t="s">
        <v>374</v>
      </c>
      <c r="B28">
        <v>1</v>
      </c>
      <c r="C28" t="s">
        <v>64</v>
      </c>
      <c r="D28" t="s">
        <v>376</v>
      </c>
    </row>
    <row r="29" spans="1:5">
      <c r="A29" t="s">
        <v>493</v>
      </c>
      <c r="B29">
        <v>1</v>
      </c>
      <c r="C29" t="s">
        <v>64</v>
      </c>
      <c r="D29" t="s">
        <v>494</v>
      </c>
    </row>
    <row r="30" spans="1:5">
      <c r="A30" t="s">
        <v>495</v>
      </c>
      <c r="B30">
        <v>1.1000000000000001</v>
      </c>
      <c r="C30" t="s">
        <v>64</v>
      </c>
      <c r="D30" t="s">
        <v>496</v>
      </c>
    </row>
    <row r="31" spans="1:5">
      <c r="A31" t="s">
        <v>497</v>
      </c>
      <c r="B31">
        <f ca="1">'Moteur Etage 3'!G21</f>
        <v>15.408651481153957</v>
      </c>
      <c r="C31" t="s">
        <v>277</v>
      </c>
    </row>
    <row r="32" spans="1:5">
      <c r="A32" t="s">
        <v>498</v>
      </c>
      <c r="B32">
        <f ca="1">'Moteur Etage 3'!B21</f>
        <v>44.572237199991541</v>
      </c>
      <c r="C32" t="s">
        <v>277</v>
      </c>
    </row>
    <row r="33" spans="1:8">
      <c r="A33" t="s">
        <v>352</v>
      </c>
      <c r="B33">
        <v>1.1000000000000001</v>
      </c>
      <c r="C33" t="s">
        <v>64</v>
      </c>
      <c r="D33" t="s">
        <v>377</v>
      </c>
    </row>
    <row r="34" spans="1:8">
      <c r="A34" t="s">
        <v>499</v>
      </c>
      <c r="B34">
        <f ca="1">9*B25*B26*B27*B28*B30*B31*B33</f>
        <v>228.20829189648259</v>
      </c>
      <c r="C34" t="s">
        <v>76</v>
      </c>
    </row>
    <row r="35" spans="1:8">
      <c r="A35" t="s">
        <v>500</v>
      </c>
      <c r="B35">
        <f ca="1">9*B25*B26*B27*B28*B30*B32*B33</f>
        <v>660.13266182675488</v>
      </c>
      <c r="C35" t="s">
        <v>76</v>
      </c>
    </row>
    <row r="36" spans="1:8">
      <c r="A36" t="s">
        <v>375</v>
      </c>
      <c r="B36">
        <f ca="1">B34+B35</f>
        <v>888.34095372323748</v>
      </c>
      <c r="C36" t="s">
        <v>76</v>
      </c>
    </row>
    <row r="37" spans="1:8">
      <c r="A37" s="143"/>
      <c r="B37" s="143"/>
      <c r="C37" s="143"/>
      <c r="D37" s="143"/>
      <c r="E37" s="143"/>
    </row>
    <row r="38" spans="1:8">
      <c r="A38" s="104" t="s">
        <v>378</v>
      </c>
    </row>
    <row r="39" spans="1:8">
      <c r="A39" s="104" t="s">
        <v>446</v>
      </c>
      <c r="C39" s="94"/>
      <c r="D39" s="94"/>
      <c r="E39" s="161" t="s">
        <v>447</v>
      </c>
      <c r="F39" s="94"/>
      <c r="G39" s="94"/>
      <c r="H39" s="94"/>
    </row>
    <row r="40" spans="1:8">
      <c r="A40" s="154" t="s">
        <v>379</v>
      </c>
      <c r="B40" s="143">
        <f>'Moteur Etage 3'!B40</f>
        <v>303900</v>
      </c>
      <c r="C40" s="143" t="s">
        <v>71</v>
      </c>
      <c r="D40" s="94" t="s">
        <v>501</v>
      </c>
      <c r="E40" s="157" t="s">
        <v>379</v>
      </c>
      <c r="F40" s="94">
        <f>'Moteur Etage 3'!B41</f>
        <v>405200</v>
      </c>
      <c r="G40" s="94" t="s">
        <v>71</v>
      </c>
      <c r="H40" s="94"/>
    </row>
    <row r="41" spans="1:8">
      <c r="A41" s="154" t="s">
        <v>380</v>
      </c>
      <c r="B41" s="143">
        <f ca="1">'Moteur Etage 3'!B21</f>
        <v>44.572237199991541</v>
      </c>
      <c r="C41" s="143" t="s">
        <v>277</v>
      </c>
      <c r="D41" s="94" t="s">
        <v>502</v>
      </c>
      <c r="E41" s="157" t="s">
        <v>380</v>
      </c>
      <c r="F41" s="94">
        <f ca="1">'Moteur Etage 3'!G21</f>
        <v>15.408651481153957</v>
      </c>
      <c r="G41" s="94" t="s">
        <v>277</v>
      </c>
      <c r="H41" s="94"/>
    </row>
    <row r="42" spans="1:8">
      <c r="A42" s="154" t="s">
        <v>381</v>
      </c>
      <c r="B42" s="143">
        <v>4</v>
      </c>
      <c r="C42" s="143" t="s">
        <v>448</v>
      </c>
      <c r="D42" s="94"/>
      <c r="E42" s="157"/>
      <c r="F42" s="94"/>
      <c r="G42" s="94"/>
      <c r="H42" s="94"/>
    </row>
    <row r="43" spans="1:8" ht="15">
      <c r="A43" s="154" t="s">
        <v>247</v>
      </c>
      <c r="B43" s="143">
        <v>8.32</v>
      </c>
      <c r="C43" s="143" t="s">
        <v>454</v>
      </c>
      <c r="D43" s="94"/>
      <c r="E43" s="157"/>
      <c r="F43" s="94"/>
      <c r="G43" s="94"/>
      <c r="H43" s="94"/>
    </row>
    <row r="44" spans="1:8">
      <c r="A44" s="154" t="s">
        <v>382</v>
      </c>
      <c r="B44" s="143">
        <f>'Moteur Etage 3'!E44</f>
        <v>152.19999999999999</v>
      </c>
      <c r="C44" s="143" t="s">
        <v>432</v>
      </c>
      <c r="D44" s="94"/>
      <c r="E44" s="157" t="s">
        <v>382</v>
      </c>
      <c r="F44" s="94">
        <f>'Moteur Etage 3'!E45</f>
        <v>195</v>
      </c>
      <c r="G44" s="94" t="s">
        <v>432</v>
      </c>
      <c r="H44" s="94"/>
    </row>
    <row r="45" spans="1:8">
      <c r="A45" s="154" t="s">
        <v>449</v>
      </c>
      <c r="B45" s="143">
        <f ca="1">B40*B41*B42/(B43*B44)*10^(-3)</f>
        <v>42.787523012096408</v>
      </c>
      <c r="C45" s="143" t="s">
        <v>76</v>
      </c>
      <c r="D45" s="94"/>
      <c r="E45" s="157" t="s">
        <v>449</v>
      </c>
      <c r="F45" s="94">
        <f ca="1">F40*F41*B42/(B43*F44)*10^(-3)</f>
        <v>15.393455572395423</v>
      </c>
      <c r="G45" s="94" t="s">
        <v>76</v>
      </c>
      <c r="H45" s="94"/>
    </row>
    <row r="46" spans="1:8">
      <c r="A46" s="154" t="s">
        <v>450</v>
      </c>
      <c r="B46" s="143">
        <f ca="1">(B45+30/100*B45)</f>
        <v>55.623779915725329</v>
      </c>
      <c r="C46" s="143" t="s">
        <v>76</v>
      </c>
      <c r="D46" s="94"/>
      <c r="E46" s="157" t="s">
        <v>450</v>
      </c>
      <c r="F46" s="94">
        <f ca="1">(F45+30/100*F45)</f>
        <v>20.011492244114049</v>
      </c>
      <c r="G46" s="94" t="s">
        <v>76</v>
      </c>
      <c r="H46" s="94"/>
    </row>
    <row r="47" spans="1:8">
      <c r="A47" s="94" t="s">
        <v>456</v>
      </c>
      <c r="B47" s="94">
        <f ca="1">F46</f>
        <v>20.011492244114049</v>
      </c>
      <c r="C47" s="94" t="s">
        <v>76</v>
      </c>
      <c r="D47" s="94"/>
      <c r="E47" s="157"/>
      <c r="F47" s="94"/>
      <c r="G47" s="94"/>
      <c r="H47" s="94"/>
    </row>
    <row r="48" spans="1:8">
      <c r="A48" s="154" t="s">
        <v>360</v>
      </c>
      <c r="B48">
        <v>40000</v>
      </c>
      <c r="C48" s="94" t="s">
        <v>85</v>
      </c>
      <c r="D48" s="94"/>
      <c r="E48" s="158"/>
      <c r="F48" s="94"/>
      <c r="G48" s="94"/>
      <c r="H48" s="94"/>
    </row>
    <row r="49" spans="1:7">
      <c r="A49" s="154" t="s">
        <v>383</v>
      </c>
      <c r="B49">
        <f>400*101300</f>
        <v>40520000</v>
      </c>
      <c r="C49" t="s">
        <v>71</v>
      </c>
      <c r="D49" s="94" t="s">
        <v>503</v>
      </c>
      <c r="E49" s="158"/>
      <c r="F49" s="94"/>
      <c r="G49" s="94"/>
    </row>
    <row r="50" spans="1:7">
      <c r="A50" s="154" t="s">
        <v>384</v>
      </c>
      <c r="B50">
        <f>300</f>
        <v>300</v>
      </c>
      <c r="C50" t="s">
        <v>432</v>
      </c>
      <c r="D50" t="s">
        <v>504</v>
      </c>
      <c r="E50" s="157"/>
      <c r="F50" s="94"/>
      <c r="G50" s="94"/>
    </row>
    <row r="51" spans="1:7">
      <c r="A51" s="154" t="s">
        <v>457</v>
      </c>
      <c r="B51">
        <v>2</v>
      </c>
      <c r="C51" t="s">
        <v>64</v>
      </c>
      <c r="E51" s="158"/>
      <c r="F51" s="94"/>
      <c r="G51" s="94"/>
    </row>
    <row r="52" spans="1:7">
      <c r="A52" t="s">
        <v>458</v>
      </c>
      <c r="B52">
        <f ca="1">'Moteur Etage 3'!B56</f>
        <v>0.11647682583351375</v>
      </c>
      <c r="C52" t="s">
        <v>277</v>
      </c>
      <c r="D52" t="s">
        <v>455</v>
      </c>
      <c r="E52" s="157"/>
      <c r="F52" s="94"/>
      <c r="G52" s="94"/>
    </row>
    <row r="53" spans="1:7">
      <c r="A53" t="s">
        <v>385</v>
      </c>
      <c r="B53">
        <f ca="1">B49*B51*B52/(B48*Etagement!J8)</f>
        <v>24.05525475419968</v>
      </c>
      <c r="C53" t="s">
        <v>76</v>
      </c>
      <c r="D53" s="94"/>
      <c r="E53" s="94"/>
      <c r="F53" s="94"/>
      <c r="G53" s="94"/>
    </row>
    <row r="54" spans="1:7">
      <c r="A54" s="143"/>
      <c r="B54" s="143"/>
      <c r="C54" s="143"/>
      <c r="D54" s="143"/>
      <c r="E54" s="143"/>
    </row>
    <row r="55" spans="1:7">
      <c r="A55" s="104" t="s">
        <v>386</v>
      </c>
    </row>
    <row r="56" spans="1:7">
      <c r="A56" t="s">
        <v>387</v>
      </c>
      <c r="B56">
        <f ca="1">Etagement!A29</f>
        <v>19182.524439386096</v>
      </c>
      <c r="C56" t="s">
        <v>76</v>
      </c>
    </row>
    <row r="57" spans="1:7">
      <c r="A57" s="143"/>
      <c r="B57" s="143"/>
      <c r="C57" s="143"/>
      <c r="D57" s="143"/>
      <c r="E57" s="143"/>
    </row>
    <row r="58" spans="1:7">
      <c r="A58" s="104" t="s">
        <v>388</v>
      </c>
    </row>
    <row r="59" spans="1:7">
      <c r="A59" t="s">
        <v>390</v>
      </c>
      <c r="B59">
        <v>8.1999999999999993</v>
      </c>
      <c r="C59" t="s">
        <v>389</v>
      </c>
    </row>
    <row r="60" spans="1:7">
      <c r="A60" t="s">
        <v>391</v>
      </c>
      <c r="B60">
        <v>6.9</v>
      </c>
      <c r="C60" t="s">
        <v>389</v>
      </c>
    </row>
    <row r="61" spans="1:7">
      <c r="A61" t="s">
        <v>392</v>
      </c>
      <c r="B61">
        <v>17</v>
      </c>
      <c r="C61" t="s">
        <v>389</v>
      </c>
    </row>
    <row r="62" spans="1:7">
      <c r="A62" t="s">
        <v>393</v>
      </c>
      <c r="B62">
        <v>45</v>
      </c>
      <c r="C62" t="s">
        <v>389</v>
      </c>
    </row>
    <row r="63" spans="1:7">
      <c r="A63" s="154" t="s">
        <v>505</v>
      </c>
      <c r="B63">
        <f ca="1">B59*Géométrie!B55*Géométrie!B54</f>
        <v>45.00073251538312</v>
      </c>
      <c r="C63" t="s">
        <v>76</v>
      </c>
    </row>
    <row r="64" spans="1:7">
      <c r="A64" s="154" t="s">
        <v>506</v>
      </c>
      <c r="B64">
        <f ca="1">'Bilan Masse'!B60*Géométrie!B56*Géométrie!B57</f>
        <v>66.870563307259971</v>
      </c>
      <c r="C64" t="s">
        <v>76</v>
      </c>
    </row>
    <row r="65" spans="1:5">
      <c r="A65" s="154" t="s">
        <v>507</v>
      </c>
      <c r="B65">
        <f>B61*Géométrie!B50</f>
        <v>7.7513327939884036</v>
      </c>
      <c r="C65" t="s">
        <v>76</v>
      </c>
    </row>
    <row r="66" spans="1:5">
      <c r="A66" s="154" t="s">
        <v>508</v>
      </c>
      <c r="B66">
        <f ca="1">B62*Géométrie!B51</f>
        <v>299.41759249231518</v>
      </c>
      <c r="C66" t="s">
        <v>76</v>
      </c>
    </row>
    <row r="67" spans="1:5">
      <c r="A67" t="s">
        <v>509</v>
      </c>
      <c r="B67">
        <f>2+Géométrie!B54+Géométrie!B56</f>
        <v>4</v>
      </c>
      <c r="C67" t="s">
        <v>64</v>
      </c>
    </row>
    <row r="68" spans="1:5">
      <c r="A68" t="s">
        <v>394</v>
      </c>
      <c r="B68">
        <f>28*B67</f>
        <v>112</v>
      </c>
      <c r="C68" t="s">
        <v>76</v>
      </c>
    </row>
    <row r="69" spans="1:5">
      <c r="A69" t="s">
        <v>395</v>
      </c>
      <c r="B69">
        <f>31*B67</f>
        <v>124</v>
      </c>
      <c r="C69" t="s">
        <v>76</v>
      </c>
    </row>
    <row r="70" spans="1:5">
      <c r="A70" t="s">
        <v>396</v>
      </c>
      <c r="B70">
        <f ca="1">10/100*B36</f>
        <v>88.834095372323759</v>
      </c>
      <c r="C70" t="s">
        <v>76</v>
      </c>
      <c r="D70" t="s">
        <v>510</v>
      </c>
    </row>
    <row r="71" spans="1:5">
      <c r="A71" s="143"/>
      <c r="B71" s="143"/>
      <c r="C71" s="143"/>
      <c r="D71" s="143"/>
      <c r="E71" s="143"/>
    </row>
    <row r="72" spans="1:5">
      <c r="A72" s="104" t="s">
        <v>340</v>
      </c>
    </row>
    <row r="73" spans="1:5">
      <c r="A73" t="s">
        <v>341</v>
      </c>
      <c r="B73">
        <f>1.36</f>
        <v>1.36</v>
      </c>
      <c r="C73" t="s">
        <v>64</v>
      </c>
      <c r="D73" t="s">
        <v>342</v>
      </c>
    </row>
    <row r="74" spans="1:5">
      <c r="A74" t="s">
        <v>343</v>
      </c>
      <c r="B74">
        <f>1.2</f>
        <v>1.2</v>
      </c>
      <c r="C74" t="s">
        <v>64</v>
      </c>
      <c r="D74" t="s">
        <v>511</v>
      </c>
    </row>
    <row r="75" spans="1:5">
      <c r="A75" t="s">
        <v>344</v>
      </c>
      <c r="B75">
        <v>1</v>
      </c>
      <c r="C75" t="s">
        <v>64</v>
      </c>
      <c r="D75" t="s">
        <v>345</v>
      </c>
    </row>
    <row r="76" spans="1:5">
      <c r="A76" t="s">
        <v>346</v>
      </c>
      <c r="B76">
        <v>1</v>
      </c>
      <c r="C76" t="s">
        <v>64</v>
      </c>
      <c r="D76" t="s">
        <v>347</v>
      </c>
    </row>
    <row r="77" spans="1:5">
      <c r="A77" t="s">
        <v>352</v>
      </c>
      <c r="B77">
        <v>1.1000000000000001</v>
      </c>
      <c r="C77" t="s">
        <v>64</v>
      </c>
      <c r="D77" t="s">
        <v>353</v>
      </c>
    </row>
    <row r="78" spans="1:5">
      <c r="A78" t="s">
        <v>348</v>
      </c>
      <c r="B78">
        <f>PI()*(Géométrie!B79+Géométrie!B3)/2*Géométrie!H42</f>
        <v>17.812327722291457</v>
      </c>
      <c r="C78" t="s">
        <v>350</v>
      </c>
      <c r="D78" t="s">
        <v>512</v>
      </c>
    </row>
    <row r="79" spans="1:5">
      <c r="A79" t="s">
        <v>349</v>
      </c>
      <c r="B79">
        <f>9*B73*B74*B75*B76*B78*B77</f>
        <v>287.79021654351862</v>
      </c>
      <c r="C79" t="s">
        <v>76</v>
      </c>
      <c r="D79" t="s">
        <v>512</v>
      </c>
    </row>
    <row r="80" spans="1:5">
      <c r="A80" t="s">
        <v>351</v>
      </c>
      <c r="B80">
        <f ca="1">2*PI()*Géométrie!B79/2*Géométrie!B70</f>
        <v>62.142462996807552</v>
      </c>
      <c r="C80" t="s">
        <v>350</v>
      </c>
    </row>
    <row r="81" spans="1:10">
      <c r="A81" t="s">
        <v>332</v>
      </c>
      <c r="B81">
        <f ca="1">9*B75*B76*B77*B80*B74*B73</f>
        <v>1004.0233461468204</v>
      </c>
      <c r="C81" t="s">
        <v>76</v>
      </c>
    </row>
    <row r="82" spans="1:10">
      <c r="A82" s="143"/>
      <c r="B82" s="143"/>
      <c r="C82" s="143"/>
      <c r="D82" s="143"/>
      <c r="E82" s="143"/>
    </row>
    <row r="83" spans="1:10">
      <c r="A83" s="104" t="s">
        <v>398</v>
      </c>
    </row>
    <row r="84" spans="1:10">
      <c r="A84" t="s">
        <v>399</v>
      </c>
      <c r="B84">
        <v>1.25</v>
      </c>
      <c r="C84" t="s">
        <v>64</v>
      </c>
      <c r="D84" t="s">
        <v>342</v>
      </c>
    </row>
    <row r="85" spans="1:10">
      <c r="A85" t="s">
        <v>401</v>
      </c>
      <c r="B85" s="80">
        <f>Géométrie!B79</f>
        <v>3.6</v>
      </c>
      <c r="C85" t="s">
        <v>85</v>
      </c>
      <c r="D85" t="s">
        <v>317</v>
      </c>
    </row>
    <row r="86" spans="1:10">
      <c r="A86" s="154" t="s">
        <v>400</v>
      </c>
      <c r="B86">
        <f ca="1">Etagement!J8*'Moteur Etage 3'!B11*Etagement!B12</f>
        <v>266255.07603866537</v>
      </c>
      <c r="C86" t="s">
        <v>61</v>
      </c>
      <c r="D86" t="s">
        <v>513</v>
      </c>
      <c r="J86" s="151"/>
    </row>
    <row r="87" spans="1:10">
      <c r="A87" t="s">
        <v>352</v>
      </c>
      <c r="B87">
        <v>1.1000000000000001</v>
      </c>
      <c r="C87" t="s">
        <v>64</v>
      </c>
      <c r="D87" t="s">
        <v>402</v>
      </c>
    </row>
    <row r="88" spans="1:10">
      <c r="A88" t="s">
        <v>403</v>
      </c>
      <c r="B88">
        <f ca="1">0.0007*B84*B85*B86/Etagement!J8*'Bilan Masse'!B87</f>
        <v>94.044224105400161</v>
      </c>
      <c r="C88" t="s">
        <v>76</v>
      </c>
      <c r="D88" s="151" t="s">
        <v>404</v>
      </c>
    </row>
    <row r="89" spans="1:10">
      <c r="A89" t="s">
        <v>405</v>
      </c>
      <c r="B89">
        <f ca="1">2.5*B88</f>
        <v>235.11056026350042</v>
      </c>
      <c r="C89" t="s">
        <v>76</v>
      </c>
    </row>
    <row r="91" spans="1:10">
      <c r="A91" s="104" t="s">
        <v>406</v>
      </c>
    </row>
    <row r="92" spans="1:10">
      <c r="A92" t="s">
        <v>341</v>
      </c>
      <c r="B92">
        <f>1.36</f>
        <v>1.36</v>
      </c>
      <c r="C92" t="s">
        <v>64</v>
      </c>
      <c r="D92" t="s">
        <v>342</v>
      </c>
    </row>
    <row r="93" spans="1:10">
      <c r="A93" t="s">
        <v>343</v>
      </c>
      <c r="B93">
        <f>1.2</f>
        <v>1.2</v>
      </c>
      <c r="C93" t="s">
        <v>64</v>
      </c>
      <c r="D93" t="s">
        <v>514</v>
      </c>
    </row>
    <row r="94" spans="1:10">
      <c r="A94" t="s">
        <v>344</v>
      </c>
      <c r="B94">
        <v>1</v>
      </c>
      <c r="D94" t="s">
        <v>345</v>
      </c>
    </row>
    <row r="95" spans="1:10">
      <c r="A95" t="s">
        <v>346</v>
      </c>
      <c r="B95">
        <v>1</v>
      </c>
      <c r="C95" t="s">
        <v>64</v>
      </c>
      <c r="D95" t="s">
        <v>347</v>
      </c>
    </row>
    <row r="96" spans="1:10">
      <c r="A96" t="s">
        <v>352</v>
      </c>
      <c r="B96">
        <v>1.1000000000000001</v>
      </c>
      <c r="C96" t="s">
        <v>64</v>
      </c>
      <c r="D96" t="s">
        <v>353</v>
      </c>
    </row>
    <row r="97" spans="1:9">
      <c r="A97" t="s">
        <v>407</v>
      </c>
      <c r="B97">
        <v>0</v>
      </c>
      <c r="C97" t="s">
        <v>350</v>
      </c>
      <c r="D97" t="s">
        <v>512</v>
      </c>
    </row>
    <row r="98" spans="1:9">
      <c r="A98" t="s">
        <v>408</v>
      </c>
      <c r="B98">
        <f>9*B92*B93*B94*B95*B97*B96</f>
        <v>0</v>
      </c>
      <c r="C98" t="s">
        <v>76</v>
      </c>
    </row>
    <row r="99" spans="1:9">
      <c r="A99" s="143"/>
      <c r="B99" s="143"/>
      <c r="C99" s="143"/>
      <c r="D99" s="143"/>
      <c r="E99" s="143"/>
      <c r="I99" s="151"/>
    </row>
    <row r="100" spans="1:9">
      <c r="A100" s="104" t="s">
        <v>411</v>
      </c>
    </row>
    <row r="101" spans="1:9">
      <c r="A101" t="s">
        <v>412</v>
      </c>
      <c r="B101">
        <f ca="1">20/100*B36</f>
        <v>177.66819074464752</v>
      </c>
      <c r="C101" t="s">
        <v>76</v>
      </c>
      <c r="D101" t="s">
        <v>515</v>
      </c>
    </row>
    <row r="102" spans="1:9">
      <c r="A102" t="s">
        <v>413</v>
      </c>
      <c r="B102">
        <f ca="1">20/100*B53</f>
        <v>4.8110509508399364</v>
      </c>
      <c r="C102" t="s">
        <v>76</v>
      </c>
    </row>
    <row r="103" spans="1:9">
      <c r="A103" t="s">
        <v>410</v>
      </c>
      <c r="B103">
        <f ca="1">20/100*B106</f>
        <v>30.473559227912901</v>
      </c>
      <c r="C103" t="s">
        <v>76</v>
      </c>
    </row>
    <row r="104" spans="1:9">
      <c r="A104" s="143"/>
      <c r="B104" s="143"/>
      <c r="C104" s="143"/>
      <c r="D104" s="143"/>
      <c r="E104" s="143"/>
    </row>
    <row r="105" spans="1:9">
      <c r="A105" s="104" t="s">
        <v>356</v>
      </c>
    </row>
    <row r="106" spans="1:9">
      <c r="A106" t="s">
        <v>357</v>
      </c>
      <c r="B106">
        <f ca="1">70*(1+0.03*Géométrie!B133)</f>
        <v>152.36779613956449</v>
      </c>
      <c r="C106" t="s">
        <v>76</v>
      </c>
      <c r="D106" t="s">
        <v>516</v>
      </c>
      <c r="G106" t="s">
        <v>517</v>
      </c>
    </row>
    <row r="107" spans="1:9">
      <c r="A107" s="143"/>
      <c r="B107" s="143"/>
      <c r="C107" s="143"/>
      <c r="D107" s="143"/>
      <c r="E107" s="143"/>
    </row>
    <row r="108" spans="1:9">
      <c r="A108" s="104" t="s">
        <v>414</v>
      </c>
    </row>
    <row r="109" spans="1:9">
      <c r="A109" t="s">
        <v>416</v>
      </c>
      <c r="B109">
        <v>1</v>
      </c>
      <c r="C109" t="s">
        <v>64</v>
      </c>
    </row>
    <row r="110" spans="1:9">
      <c r="A110" t="s">
        <v>415</v>
      </c>
      <c r="B110">
        <f ca="1">0.056*B109*B20</f>
        <v>14.164770045256999</v>
      </c>
      <c r="C110" t="s">
        <v>76</v>
      </c>
      <c r="D110" s="151"/>
    </row>
    <row r="111" spans="1:9">
      <c r="A111" t="s">
        <v>417</v>
      </c>
      <c r="B111">
        <f ca="1">0.041*B109*B20</f>
        <v>10.370635211706016</v>
      </c>
      <c r="C111" t="s">
        <v>76</v>
      </c>
      <c r="F111" s="151"/>
    </row>
    <row r="112" spans="1:9">
      <c r="A112" t="s">
        <v>418</v>
      </c>
      <c r="B112">
        <f ca="1">0.02*B109*B20+67</f>
        <v>72.058846444734641</v>
      </c>
      <c r="C112" t="s">
        <v>76</v>
      </c>
    </row>
    <row r="113" spans="1:12">
      <c r="A113" s="143"/>
      <c r="B113" s="143"/>
      <c r="C113" s="143"/>
      <c r="D113" s="143"/>
      <c r="E113" s="143"/>
      <c r="G113" t="s">
        <v>518</v>
      </c>
      <c r="I113">
        <f ca="1">B56</f>
        <v>19182.524439386096</v>
      </c>
      <c r="K113" t="s">
        <v>591</v>
      </c>
      <c r="L113">
        <f ca="1">I114/I113</f>
        <v>0.16206503064657179</v>
      </c>
    </row>
    <row r="114" spans="1:12">
      <c r="A114" t="s">
        <v>519</v>
      </c>
      <c r="B114">
        <f ca="1">B103+B102+B101+B98+B89+B81+B79+B70+B69+B68+B56+B53+B47+B36+B22+B112+B111+B110</f>
        <v>22443.708646673382</v>
      </c>
      <c r="C114" t="s">
        <v>76</v>
      </c>
      <c r="D114" s="151"/>
      <c r="G114" t="s">
        <v>520</v>
      </c>
      <c r="I114">
        <f ca="1">(B114-B106-B56)</f>
        <v>3108.8164111477199</v>
      </c>
    </row>
    <row r="115" spans="1:12">
      <c r="A115" s="150"/>
      <c r="B115" s="150"/>
      <c r="C115" s="150"/>
      <c r="D115" s="150"/>
      <c r="E115" s="150"/>
    </row>
    <row r="116" spans="1:12">
      <c r="A116" s="78" t="s">
        <v>320</v>
      </c>
    </row>
    <row r="117" spans="1:12">
      <c r="A117" s="104" t="s">
        <v>327</v>
      </c>
    </row>
    <row r="118" spans="1:12">
      <c r="A118" t="s">
        <v>330</v>
      </c>
      <c r="B118">
        <f ca="1">Etagement!B29</f>
        <v>76640.788553385384</v>
      </c>
      <c r="C118" t="s">
        <v>76</v>
      </c>
    </row>
    <row r="119" spans="1:12">
      <c r="A119" s="143"/>
      <c r="B119" s="143"/>
      <c r="C119" s="143"/>
      <c r="D119" s="143"/>
      <c r="E119" s="143"/>
    </row>
    <row r="120" spans="1:12">
      <c r="A120" s="104" t="s">
        <v>328</v>
      </c>
    </row>
    <row r="121" spans="1:12">
      <c r="A121" t="s">
        <v>360</v>
      </c>
      <c r="B121">
        <v>10</v>
      </c>
      <c r="C121" t="s">
        <v>361</v>
      </c>
      <c r="D121" t="s">
        <v>521</v>
      </c>
    </row>
    <row r="122" spans="1:12">
      <c r="A122" t="s">
        <v>522</v>
      </c>
      <c r="B122">
        <f ca="1">'Moteur Etage 2'!B9*'Moteur Etage 2'!B20/Etagement!J8/(B121*10^3)</f>
        <v>2442.6170953228439</v>
      </c>
      <c r="C122" t="s">
        <v>76</v>
      </c>
      <c r="D122" s="151" t="s">
        <v>523</v>
      </c>
    </row>
    <row r="123" spans="1:12">
      <c r="A123" t="s">
        <v>363</v>
      </c>
      <c r="B123">
        <f>4*10^(-3)</f>
        <v>4.0000000000000001E-3</v>
      </c>
      <c r="C123" t="s">
        <v>85</v>
      </c>
      <c r="D123" t="s">
        <v>329</v>
      </c>
    </row>
    <row r="124" spans="1:12">
      <c r="A124" t="s">
        <v>364</v>
      </c>
      <c r="B124">
        <f>0.18*Géométrie!B104</f>
        <v>0.55799999999999994</v>
      </c>
      <c r="C124" t="s">
        <v>85</v>
      </c>
    </row>
    <row r="125" spans="1:12">
      <c r="A125" t="s">
        <v>524</v>
      </c>
      <c r="B125">
        <f>1550</f>
        <v>1550</v>
      </c>
      <c r="C125" t="s">
        <v>525</v>
      </c>
      <c r="D125" t="s">
        <v>526</v>
      </c>
    </row>
    <row r="126" spans="1:12">
      <c r="A126" t="s">
        <v>527</v>
      </c>
      <c r="B126">
        <f>PI()*Géométrie!B104*B123*B124*B125</f>
        <v>33.692827227513668</v>
      </c>
      <c r="C126" t="s">
        <v>331</v>
      </c>
      <c r="D126" s="151"/>
      <c r="E126" t="s">
        <v>528</v>
      </c>
    </row>
    <row r="127" spans="1:12">
      <c r="A127" s="154" t="s">
        <v>355</v>
      </c>
      <c r="B127">
        <f ca="1">10/100*(B126+B122)</f>
        <v>247.63099225503575</v>
      </c>
      <c r="C127" t="s">
        <v>76</v>
      </c>
      <c r="D127" s="151"/>
    </row>
    <row r="128" spans="1:12">
      <c r="A128" s="143"/>
      <c r="B128" s="143"/>
      <c r="C128" s="143"/>
      <c r="D128" s="155"/>
      <c r="E128" s="143"/>
    </row>
    <row r="129" spans="1:8">
      <c r="A129" s="104" t="s">
        <v>333</v>
      </c>
    </row>
    <row r="130" spans="1:8">
      <c r="A130" t="s">
        <v>335</v>
      </c>
      <c r="B130">
        <f ca="1">0.256*10^(-4)*((B118*'Moteur Etage 2'!B7)^(1.2)*'Moteur Etage 2'!B6^0.3/(('Moteur Etage 2'!B9/10^6)^0.8*'Moteur Etage 2'!B12^0.6*TAN('Moteur Etage 2'!B27*PI()/180)^0.4))^0.917</f>
        <v>1065.6562566287901</v>
      </c>
      <c r="C130" t="s">
        <v>76</v>
      </c>
      <c r="D130" s="151" t="s">
        <v>365</v>
      </c>
    </row>
    <row r="131" spans="1:8">
      <c r="A131" s="143"/>
      <c r="B131" s="143"/>
      <c r="C131" s="143"/>
      <c r="D131" s="143"/>
      <c r="E131" s="143"/>
    </row>
    <row r="132" spans="1:8">
      <c r="A132" s="104" t="s">
        <v>336</v>
      </c>
    </row>
    <row r="133" spans="1:8">
      <c r="A133" t="s">
        <v>337</v>
      </c>
      <c r="B133" s="80">
        <f ca="1">72.2*Géométrie!B104*(Géométrie!B84+2*Géométrie!B86)</f>
        <v>1551.9703872647885</v>
      </c>
      <c r="C133" t="s">
        <v>76</v>
      </c>
      <c r="D133" t="s">
        <v>529</v>
      </c>
      <c r="E133" s="151"/>
      <c r="F133" t="s">
        <v>366</v>
      </c>
      <c r="G133" s="151"/>
      <c r="H133" t="s">
        <v>530</v>
      </c>
    </row>
    <row r="134" spans="1:8">
      <c r="A134" s="143"/>
      <c r="B134" s="143"/>
      <c r="C134" s="143"/>
      <c r="D134" s="143"/>
      <c r="E134" s="143"/>
    </row>
    <row r="135" spans="1:8">
      <c r="A135" s="104" t="s">
        <v>338</v>
      </c>
    </row>
    <row r="136" spans="1:8">
      <c r="A136" t="s">
        <v>339</v>
      </c>
      <c r="B136">
        <f ca="1">B118*0.00136+3</f>
        <v>107.23147243260414</v>
      </c>
      <c r="C136" t="s">
        <v>76</v>
      </c>
    </row>
    <row r="137" spans="1:8">
      <c r="A137" s="143"/>
      <c r="B137" s="143"/>
      <c r="C137" s="143"/>
      <c r="D137" s="143"/>
      <c r="E137" s="143"/>
    </row>
    <row r="138" spans="1:8">
      <c r="A138" s="104" t="s">
        <v>340</v>
      </c>
    </row>
    <row r="139" spans="1:8">
      <c r="A139" t="s">
        <v>341</v>
      </c>
      <c r="B139">
        <f>1.36</f>
        <v>1.36</v>
      </c>
      <c r="C139" t="s">
        <v>64</v>
      </c>
      <c r="D139" t="s">
        <v>342</v>
      </c>
    </row>
    <row r="140" spans="1:8">
      <c r="A140" t="s">
        <v>343</v>
      </c>
      <c r="B140">
        <f>1.1</f>
        <v>1.1000000000000001</v>
      </c>
      <c r="C140" t="s">
        <v>64</v>
      </c>
      <c r="D140" t="s">
        <v>531</v>
      </c>
    </row>
    <row r="141" spans="1:8">
      <c r="A141" t="s">
        <v>344</v>
      </c>
      <c r="B141">
        <v>1</v>
      </c>
      <c r="D141" t="s">
        <v>345</v>
      </c>
    </row>
    <row r="142" spans="1:8">
      <c r="A142" t="s">
        <v>346</v>
      </c>
      <c r="B142">
        <v>1</v>
      </c>
      <c r="C142" t="s">
        <v>64</v>
      </c>
      <c r="D142" t="s">
        <v>347</v>
      </c>
    </row>
    <row r="143" spans="1:8">
      <c r="A143" t="s">
        <v>352</v>
      </c>
      <c r="B143">
        <v>1.1000000000000001</v>
      </c>
      <c r="C143" t="s">
        <v>64</v>
      </c>
      <c r="D143" t="s">
        <v>353</v>
      </c>
    </row>
    <row r="144" spans="1:8">
      <c r="A144" t="s">
        <v>348</v>
      </c>
      <c r="B144">
        <f>2*PI()*Géométrie!B104/2*Géométrie!B102</f>
        <v>21.375924339112284</v>
      </c>
      <c r="C144" t="s">
        <v>350</v>
      </c>
      <c r="D144" t="s">
        <v>512</v>
      </c>
    </row>
    <row r="145" spans="1:12">
      <c r="A145" t="s">
        <v>349</v>
      </c>
      <c r="B145">
        <f>9*B139*B140*B141*B142*B144*B143</f>
        <v>316.58598983198863</v>
      </c>
      <c r="C145" t="s">
        <v>76</v>
      </c>
    </row>
    <row r="146" spans="1:12">
      <c r="A146" t="s">
        <v>351</v>
      </c>
      <c r="B146">
        <f ca="1">PI()*(Géométrie!B98+Géométrie!B104)/2*Géométrie!I111</f>
        <v>6.9793387371846194</v>
      </c>
      <c r="C146" t="s">
        <v>350</v>
      </c>
    </row>
    <row r="147" spans="1:12">
      <c r="A147" t="s">
        <v>332</v>
      </c>
      <c r="B147">
        <f ca="1">9*B141*B142*B143*B146*B140*B139</f>
        <v>103.36679843319911</v>
      </c>
      <c r="C147" t="s">
        <v>76</v>
      </c>
    </row>
    <row r="148" spans="1:12">
      <c r="A148" s="143"/>
      <c r="B148" s="143"/>
      <c r="C148" s="143"/>
      <c r="D148" s="143"/>
      <c r="E148" s="143"/>
    </row>
    <row r="149" spans="1:12">
      <c r="A149" s="144" t="s">
        <v>354</v>
      </c>
      <c r="B149" s="143"/>
      <c r="C149" s="143"/>
      <c r="D149" s="143" t="s">
        <v>532</v>
      </c>
      <c r="E149" s="143"/>
    </row>
    <row r="150" spans="1:12">
      <c r="A150" s="143" t="s">
        <v>533</v>
      </c>
      <c r="B150" s="146">
        <f ca="1">B118+B122+B136+B130+B133+B127</f>
        <v>82055.894757289454</v>
      </c>
      <c r="C150" s="143" t="s">
        <v>76</v>
      </c>
      <c r="D150" s="143" t="s">
        <v>534</v>
      </c>
      <c r="E150" s="143"/>
    </row>
    <row r="151" spans="1:12">
      <c r="A151" s="143" t="s">
        <v>535</v>
      </c>
      <c r="B151" s="143">
        <f ca="1">20/100*B150</f>
        <v>16411.178951457892</v>
      </c>
      <c r="C151" s="143" t="s">
        <v>76</v>
      </c>
      <c r="D151" s="155"/>
      <c r="E151" s="143"/>
    </row>
    <row r="152" spans="1:12">
      <c r="A152" s="143"/>
      <c r="B152" s="143"/>
      <c r="C152" s="143"/>
      <c r="D152" s="143"/>
      <c r="E152" s="143"/>
    </row>
    <row r="153" spans="1:12">
      <c r="A153" s="144" t="s">
        <v>356</v>
      </c>
      <c r="B153" s="143"/>
      <c r="C153" s="143"/>
      <c r="D153" s="143"/>
      <c r="E153" s="143"/>
    </row>
    <row r="154" spans="1:12">
      <c r="A154" s="143" t="s">
        <v>357</v>
      </c>
      <c r="B154" s="143">
        <f ca="1">70*(1+0.03*Géométrie!B133)</f>
        <v>152.36779613956449</v>
      </c>
      <c r="C154" s="143" t="s">
        <v>76</v>
      </c>
      <c r="D154" s="155"/>
      <c r="E154" s="143"/>
    </row>
    <row r="155" spans="1:12">
      <c r="A155" s="143"/>
      <c r="B155" s="143"/>
      <c r="C155" s="143"/>
      <c r="D155" s="143"/>
      <c r="E155" s="143"/>
      <c r="F155" s="151"/>
    </row>
    <row r="156" spans="1:12">
      <c r="A156" s="104" t="s">
        <v>358</v>
      </c>
    </row>
    <row r="157" spans="1:12">
      <c r="A157" t="s">
        <v>536</v>
      </c>
      <c r="B157" s="80">
        <f ca="1">B150+B147+B145+B126</f>
        <v>82509.540372782154</v>
      </c>
      <c r="C157" t="s">
        <v>76</v>
      </c>
    </row>
    <row r="158" spans="1:12">
      <c r="A158" t="s">
        <v>359</v>
      </c>
      <c r="B158">
        <f ca="1">3*B157/1000</f>
        <v>247.52862111834645</v>
      </c>
      <c r="C158" t="s">
        <v>76</v>
      </c>
      <c r="D158" s="151"/>
      <c r="H158" s="151"/>
    </row>
    <row r="159" spans="1:12">
      <c r="A159" s="143"/>
      <c r="B159" s="143"/>
      <c r="C159" s="143"/>
      <c r="D159" s="155"/>
      <c r="E159" s="143"/>
      <c r="G159" t="s">
        <v>518</v>
      </c>
      <c r="H159" s="151"/>
      <c r="I159">
        <f ca="1">B118</f>
        <v>76640.788553385384</v>
      </c>
      <c r="K159" t="s">
        <v>593</v>
      </c>
      <c r="L159">
        <f ca="1">I160/I159</f>
        <v>7.9804508225469473E-2</v>
      </c>
    </row>
    <row r="160" spans="1:12">
      <c r="A160" t="s">
        <v>425</v>
      </c>
      <c r="B160" s="80">
        <f ca="1">B158+B157</f>
        <v>82757.068993900495</v>
      </c>
      <c r="C160" t="s">
        <v>76</v>
      </c>
      <c r="D160" s="151"/>
      <c r="G160" t="s">
        <v>537</v>
      </c>
      <c r="H160" s="151"/>
      <c r="I160" s="80">
        <f ca="1">(B160-B118)</f>
        <v>6116.280440515111</v>
      </c>
    </row>
    <row r="161" spans="1:9">
      <c r="A161" s="150"/>
      <c r="B161" s="150"/>
      <c r="C161" s="150"/>
      <c r="D161" s="150"/>
      <c r="E161" s="150"/>
    </row>
    <row r="162" spans="1:9">
      <c r="A162" s="78" t="s">
        <v>319</v>
      </c>
    </row>
    <row r="163" spans="1:9">
      <c r="A163" s="104" t="s">
        <v>327</v>
      </c>
    </row>
    <row r="164" spans="1:9">
      <c r="A164" t="s">
        <v>334</v>
      </c>
      <c r="B164">
        <f ca="1">Etagement!C29</f>
        <v>74646.624593589659</v>
      </c>
      <c r="C164" t="s">
        <v>76</v>
      </c>
      <c r="D164" t="s">
        <v>330</v>
      </c>
    </row>
    <row r="165" spans="1:9">
      <c r="A165" s="143"/>
      <c r="B165" s="143"/>
      <c r="C165" s="143"/>
      <c r="D165" s="143"/>
      <c r="E165" s="143"/>
    </row>
    <row r="166" spans="1:9">
      <c r="A166" s="104" t="s">
        <v>328</v>
      </c>
    </row>
    <row r="167" spans="1:9">
      <c r="A167" t="s">
        <v>360</v>
      </c>
      <c r="B167">
        <v>10</v>
      </c>
      <c r="C167" t="s">
        <v>361</v>
      </c>
      <c r="D167" t="s">
        <v>521</v>
      </c>
    </row>
    <row r="168" spans="1:9">
      <c r="A168" t="s">
        <v>522</v>
      </c>
      <c r="B168">
        <f ca="1">'Moteur Etage 1'!B13*'Moteur Etage 1'!B25/Etagement!J8/(B167*10^3)</f>
        <v>2998.3568160957243</v>
      </c>
      <c r="C168" t="s">
        <v>76</v>
      </c>
      <c r="D168" s="151" t="s">
        <v>362</v>
      </c>
    </row>
    <row r="169" spans="1:9">
      <c r="A169" t="s">
        <v>363</v>
      </c>
      <c r="B169">
        <f>4*10^(-3)</f>
        <v>4.0000000000000001E-3</v>
      </c>
      <c r="C169" t="s">
        <v>85</v>
      </c>
      <c r="D169" t="s">
        <v>329</v>
      </c>
    </row>
    <row r="170" spans="1:9">
      <c r="A170" t="s">
        <v>364</v>
      </c>
      <c r="B170">
        <f>0.18*Géométrie!B129</f>
        <v>0.55799999999999994</v>
      </c>
      <c r="C170" t="s">
        <v>85</v>
      </c>
      <c r="I170">
        <f ca="1">(B164*'Moteur Etage 1'!B10)^1.2</f>
        <v>4882393816.9004326</v>
      </c>
    </row>
    <row r="171" spans="1:9">
      <c r="A171" t="s">
        <v>538</v>
      </c>
      <c r="B171">
        <f>1550</f>
        <v>1550</v>
      </c>
      <c r="C171" t="s">
        <v>525</v>
      </c>
      <c r="D171" t="s">
        <v>526</v>
      </c>
      <c r="I171" s="80">
        <f>'Moteur Etage 1'!B9^0.3</f>
        <v>1.9952623149688797</v>
      </c>
    </row>
    <row r="172" spans="1:9">
      <c r="A172" t="s">
        <v>367</v>
      </c>
      <c r="B172">
        <f>PI()*Géométrie!B129*B169*B170*B171</f>
        <v>33.692827227513668</v>
      </c>
      <c r="C172" t="s">
        <v>331</v>
      </c>
      <c r="D172" t="s">
        <v>539</v>
      </c>
      <c r="I172">
        <f>('Moteur Etage 1'!B13/10^6)^0.8*'Moteur Etage 1'!B18^0.6*TAN('Moteur Etage 1'!B32*PI()/180)^0.4</f>
        <v>36.151662352357683</v>
      </c>
    </row>
    <row r="173" spans="1:9">
      <c r="A173" s="156" t="s">
        <v>540</v>
      </c>
      <c r="B173" s="156">
        <f ca="1">10/100*(B172+B168)</f>
        <v>303.20496433232381</v>
      </c>
      <c r="C173" s="94" t="s">
        <v>76</v>
      </c>
      <c r="D173" s="94" t="s">
        <v>541</v>
      </c>
      <c r="E173" s="94"/>
      <c r="F173" s="94"/>
      <c r="I173">
        <f ca="1">0.256*10^(-4)*(I170*I171/I172)^0.917</f>
        <v>1377.2495011441356</v>
      </c>
    </row>
    <row r="174" spans="1:9">
      <c r="A174" s="143"/>
      <c r="B174" s="143"/>
      <c r="C174" s="143"/>
      <c r="D174" s="155"/>
      <c r="E174" s="143"/>
    </row>
    <row r="175" spans="1:9">
      <c r="A175" s="104" t="s">
        <v>333</v>
      </c>
    </row>
    <row r="176" spans="1:9">
      <c r="A176" t="s">
        <v>335</v>
      </c>
      <c r="B176">
        <f ca="1">0.256*10^(-4)*((B164*'Moteur Etage 1'!B10)^(1.2)*'Moteur Etage 1'!B9^(0.3)/(('Moteur Etage 1'!B13/(10^6))^0.8*'Moteur Etage 1'!B18^0.6*TAN('Moteur Etage 1'!B32*PI()/180)^0.4))^0.917</f>
        <v>1377.2495011441356</v>
      </c>
      <c r="C176" t="s">
        <v>76</v>
      </c>
      <c r="D176" s="151" t="s">
        <v>365</v>
      </c>
      <c r="I176" t="s">
        <v>587</v>
      </c>
    </row>
    <row r="177" spans="1:7">
      <c r="A177" s="143"/>
      <c r="B177" s="143"/>
      <c r="C177" s="143"/>
      <c r="D177" s="143"/>
      <c r="E177" s="143"/>
    </row>
    <row r="178" spans="1:7">
      <c r="A178" s="104" t="s">
        <v>336</v>
      </c>
      <c r="F178" s="151"/>
      <c r="G178" s="151"/>
    </row>
    <row r="179" spans="1:7">
      <c r="A179" t="s">
        <v>337</v>
      </c>
      <c r="B179" s="80">
        <f ca="1">72.2*(Géométrie!B111+2*Géométrie!B113)*Géométrie!B129</f>
        <v>1513.8178091567024</v>
      </c>
      <c r="C179" t="s">
        <v>76</v>
      </c>
      <c r="D179" t="s">
        <v>529</v>
      </c>
      <c r="F179" t="s">
        <v>366</v>
      </c>
    </row>
    <row r="180" spans="1:7">
      <c r="A180" s="143"/>
      <c r="B180" s="143"/>
      <c r="C180" s="143"/>
      <c r="D180" s="143"/>
      <c r="E180" s="143"/>
    </row>
    <row r="181" spans="1:7">
      <c r="A181" s="104" t="s">
        <v>338</v>
      </c>
    </row>
    <row r="182" spans="1:7">
      <c r="A182" t="s">
        <v>339</v>
      </c>
      <c r="B182">
        <f ca="1">B164*0.00136+3</f>
        <v>104.51940944728194</v>
      </c>
      <c r="C182" t="s">
        <v>76</v>
      </c>
    </row>
    <row r="183" spans="1:7">
      <c r="A183" s="143"/>
      <c r="B183" s="143"/>
      <c r="C183" s="143"/>
      <c r="D183" s="143"/>
      <c r="E183" s="143"/>
    </row>
    <row r="184" spans="1:7">
      <c r="A184" s="104" t="s">
        <v>340</v>
      </c>
    </row>
    <row r="185" spans="1:7">
      <c r="A185" t="s">
        <v>341</v>
      </c>
      <c r="B185">
        <f>1.36</f>
        <v>1.36</v>
      </c>
      <c r="C185" t="s">
        <v>64</v>
      </c>
      <c r="D185" t="s">
        <v>342</v>
      </c>
    </row>
    <row r="186" spans="1:7">
      <c r="A186" t="s">
        <v>542</v>
      </c>
      <c r="B186">
        <f>1.1</f>
        <v>1.1000000000000001</v>
      </c>
      <c r="C186" t="s">
        <v>64</v>
      </c>
      <c r="D186" t="s">
        <v>496</v>
      </c>
    </row>
    <row r="187" spans="1:7">
      <c r="A187" t="s">
        <v>344</v>
      </c>
      <c r="B187">
        <v>1</v>
      </c>
      <c r="D187" t="s">
        <v>345</v>
      </c>
    </row>
    <row r="188" spans="1:7">
      <c r="A188" t="s">
        <v>346</v>
      </c>
      <c r="B188">
        <v>1</v>
      </c>
      <c r="C188" t="s">
        <v>64</v>
      </c>
      <c r="D188" t="s">
        <v>347</v>
      </c>
    </row>
    <row r="189" spans="1:7">
      <c r="A189" t="s">
        <v>352</v>
      </c>
      <c r="B189">
        <v>1.1000000000000001</v>
      </c>
      <c r="C189" t="s">
        <v>64</v>
      </c>
      <c r="D189" t="s">
        <v>353</v>
      </c>
    </row>
    <row r="190" spans="1:7">
      <c r="A190" t="s">
        <v>348</v>
      </c>
      <c r="B190">
        <f ca="1">PI()*(Géométrie!B98+Géométrie!B129)/2*Géométrie!I112</f>
        <v>30.635331173006609</v>
      </c>
      <c r="C190" t="s">
        <v>350</v>
      </c>
      <c r="D190" t="s">
        <v>512</v>
      </c>
    </row>
    <row r="191" spans="1:7">
      <c r="A191" t="s">
        <v>349</v>
      </c>
      <c r="B191">
        <f ca="1">9*B185*B186*B187*B188*B190*B189</f>
        <v>453.72150880469718</v>
      </c>
      <c r="C191" t="s">
        <v>76</v>
      </c>
    </row>
    <row r="192" spans="1:7">
      <c r="A192" t="s">
        <v>543</v>
      </c>
      <c r="B192">
        <v>1</v>
      </c>
      <c r="C192" t="s">
        <v>64</v>
      </c>
      <c r="D192" t="s">
        <v>409</v>
      </c>
    </row>
    <row r="193" spans="1:12">
      <c r="A193" t="s">
        <v>351</v>
      </c>
      <c r="B193">
        <f ca="1">2*PI()*Géométrie!B129/2*Géométrie!B124</f>
        <v>22.956504687648962</v>
      </c>
      <c r="C193" t="s">
        <v>350</v>
      </c>
    </row>
    <row r="194" spans="1:12">
      <c r="A194" t="s">
        <v>332</v>
      </c>
      <c r="B194">
        <f ca="1">9*B187*B188*B189*B193*B192*B185</f>
        <v>309.08637911450569</v>
      </c>
      <c r="C194" t="s">
        <v>76</v>
      </c>
    </row>
    <row r="195" spans="1:12">
      <c r="A195" s="143"/>
      <c r="B195" s="143"/>
      <c r="C195" s="143"/>
      <c r="D195" s="143"/>
      <c r="E195" s="143"/>
    </row>
    <row r="196" spans="1:12">
      <c r="A196" s="144" t="s">
        <v>354</v>
      </c>
      <c r="B196" s="143"/>
      <c r="C196" s="143"/>
      <c r="D196" s="155"/>
      <c r="E196" s="143"/>
    </row>
    <row r="197" spans="1:12">
      <c r="A197" s="143" t="s">
        <v>544</v>
      </c>
      <c r="B197" s="146">
        <f ca="1">B176+B168+B164+B179+B173</f>
        <v>80839.253684318552</v>
      </c>
      <c r="C197" s="143" t="s">
        <v>76</v>
      </c>
      <c r="D197" s="143" t="s">
        <v>534</v>
      </c>
      <c r="E197" s="143"/>
    </row>
    <row r="198" spans="1:12">
      <c r="A198" s="143" t="s">
        <v>535</v>
      </c>
      <c r="B198" s="143">
        <f ca="1">20/100*B197</f>
        <v>16167.850736863711</v>
      </c>
      <c r="C198" s="143" t="s">
        <v>76</v>
      </c>
      <c r="D198" s="155"/>
      <c r="E198" s="143"/>
    </row>
    <row r="199" spans="1:12">
      <c r="A199" s="143"/>
      <c r="B199" s="143"/>
      <c r="C199" s="143"/>
      <c r="D199" s="155"/>
      <c r="E199" s="143"/>
    </row>
    <row r="200" spans="1:12">
      <c r="A200" s="144" t="s">
        <v>356</v>
      </c>
      <c r="B200" s="143"/>
      <c r="C200" s="143"/>
      <c r="D200" s="143"/>
      <c r="E200" s="143"/>
    </row>
    <row r="201" spans="1:12">
      <c r="A201" s="143" t="s">
        <v>357</v>
      </c>
      <c r="B201" s="143">
        <f ca="1">70*(1+0.03*Géométrie!B133)</f>
        <v>152.36779613956449</v>
      </c>
      <c r="C201" s="143" t="s">
        <v>76</v>
      </c>
      <c r="D201" s="155"/>
      <c r="E201" s="143"/>
      <c r="F201" s="151"/>
    </row>
    <row r="202" spans="1:12">
      <c r="A202" s="143"/>
      <c r="B202" s="143"/>
      <c r="C202" s="143"/>
      <c r="D202" s="143"/>
      <c r="E202" s="143"/>
    </row>
    <row r="203" spans="1:12">
      <c r="A203" s="104" t="s">
        <v>358</v>
      </c>
    </row>
    <row r="204" spans="1:12">
      <c r="A204" t="s">
        <v>536</v>
      </c>
      <c r="B204" s="80">
        <f ca="1">B197+B194+B191+B172</f>
        <v>81635.754399465266</v>
      </c>
      <c r="C204" t="s">
        <v>76</v>
      </c>
    </row>
    <row r="205" spans="1:12">
      <c r="A205" t="s">
        <v>359</v>
      </c>
      <c r="B205">
        <f ca="1">3*B204/1000</f>
        <v>244.90726319839578</v>
      </c>
      <c r="C205" t="s">
        <v>76</v>
      </c>
      <c r="D205" s="151"/>
    </row>
    <row r="206" spans="1:12">
      <c r="A206" s="143"/>
      <c r="B206" s="143"/>
      <c r="C206" s="143"/>
      <c r="D206" s="143"/>
      <c r="E206" s="143"/>
      <c r="G206" t="s">
        <v>518</v>
      </c>
      <c r="I206">
        <f ca="1">B164</f>
        <v>74646.624593589659</v>
      </c>
      <c r="K206" t="s">
        <v>592</v>
      </c>
      <c r="L206">
        <f ca="1">I207/I206</f>
        <v>9.6910437792189705E-2</v>
      </c>
    </row>
    <row r="207" spans="1:12">
      <c r="A207" t="s">
        <v>426</v>
      </c>
      <c r="B207" s="80">
        <f ca="1">B204+B205</f>
        <v>81880.661662663668</v>
      </c>
      <c r="C207" t="s">
        <v>76</v>
      </c>
      <c r="G207" t="s">
        <v>545</v>
      </c>
      <c r="I207" s="80">
        <f ca="1">(B207-B164)</f>
        <v>7234.0370690740092</v>
      </c>
    </row>
    <row r="208" spans="1:12">
      <c r="A208" s="150"/>
      <c r="B208" s="150"/>
      <c r="C208" s="150"/>
      <c r="D208" s="150"/>
      <c r="E208" s="150"/>
    </row>
    <row r="210" spans="1:9">
      <c r="A210" t="s">
        <v>427</v>
      </c>
      <c r="B210" s="80">
        <f ca="1">B207+B160+B114+B16</f>
        <v>190464.96304656603</v>
      </c>
      <c r="C210" t="s">
        <v>76</v>
      </c>
    </row>
    <row r="211" spans="1:9">
      <c r="B211" s="80">
        <f ca="1">B210/1000</f>
        <v>190.46496304656603</v>
      </c>
      <c r="C211" t="s">
        <v>546</v>
      </c>
      <c r="I211" s="80">
        <f ca="1">I207+I206+'Bilan Masse'!I160+'Bilan Masse'!I159+'Bilan Masse'!I114+'Bilan Masse'!I113+'Bilan Masse'!I16</f>
        <v>186929.07150709798</v>
      </c>
    </row>
    <row r="213" spans="1:9">
      <c r="A213" s="162" t="s">
        <v>428</v>
      </c>
      <c r="B213" s="162">
        <f ca="1">1.25*B210</f>
        <v>238081.20380820753</v>
      </c>
      <c r="C213" s="162" t="s">
        <v>76</v>
      </c>
      <c r="D213" s="162"/>
      <c r="E213" s="162"/>
    </row>
    <row r="214" spans="1:9">
      <c r="B214">
        <f ca="1">B213/1000</f>
        <v>238.08120380820753</v>
      </c>
      <c r="C214" t="s">
        <v>546</v>
      </c>
    </row>
  </sheetData>
  <pageMargins left="0.7" right="0.7" top="0.75" bottom="0.75" header="0.3" footer="0.3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4" enableFormatConditionsCalculation="0"/>
  <dimension ref="A1:F41"/>
  <sheetViews>
    <sheetView workbookViewId="0">
      <selection activeCell="B18" sqref="B18"/>
    </sheetView>
  </sheetViews>
  <sheetFormatPr baseColWidth="10" defaultRowHeight="13" x14ac:dyDescent="0"/>
  <cols>
    <col min="1" max="1" width="22.140625" bestFit="1" customWidth="1"/>
    <col min="2" max="2" width="15" style="80" customWidth="1"/>
    <col min="3" max="3" width="6" bestFit="1" customWidth="1"/>
    <col min="4" max="4" width="22.85546875" customWidth="1"/>
    <col min="5" max="5" width="9.140625" customWidth="1"/>
    <col min="6" max="6" width="12.7109375" customWidth="1"/>
  </cols>
  <sheetData>
    <row r="1" spans="1:6">
      <c r="A1" s="78" t="s">
        <v>55</v>
      </c>
      <c r="F1" s="79" t="s">
        <v>78</v>
      </c>
    </row>
    <row r="2" spans="1:6">
      <c r="A2" t="s">
        <v>165</v>
      </c>
      <c r="E2" t="s">
        <v>99</v>
      </c>
    </row>
    <row r="3" spans="1:6">
      <c r="A3" s="96"/>
      <c r="B3" s="97"/>
      <c r="C3" s="96"/>
      <c r="D3" s="96"/>
      <c r="E3" s="96"/>
      <c r="F3" s="96"/>
    </row>
    <row r="4" spans="1:6">
      <c r="A4" s="96"/>
      <c r="B4" s="97"/>
      <c r="C4" s="96"/>
      <c r="D4" s="96"/>
      <c r="E4" s="96"/>
      <c r="F4" s="96"/>
    </row>
    <row r="5" spans="1:6">
      <c r="A5" s="94" t="s">
        <v>56</v>
      </c>
      <c r="B5" s="95">
        <f>B6*Etagement!J8</f>
        <v>19.62</v>
      </c>
      <c r="C5" s="94" t="s">
        <v>57</v>
      </c>
      <c r="D5" t="s">
        <v>272</v>
      </c>
    </row>
    <row r="6" spans="1:6">
      <c r="A6" s="81" t="s">
        <v>56</v>
      </c>
      <c r="B6" s="82">
        <v>2</v>
      </c>
      <c r="C6" s="81" t="s">
        <v>59</v>
      </c>
    </row>
    <row r="7" spans="1:6">
      <c r="A7" s="94" t="s">
        <v>58</v>
      </c>
      <c r="B7" s="95">
        <f ca="1">B8/(Etagement!C26-B15*B18*B16)/Etagement!J8</f>
        <v>2.3739357675514872</v>
      </c>
      <c r="C7" s="94" t="s">
        <v>59</v>
      </c>
      <c r="D7" t="s">
        <v>170</v>
      </c>
    </row>
    <row r="8" spans="1:6">
      <c r="A8" t="s">
        <v>60</v>
      </c>
      <c r="B8" s="80">
        <f ca="1">B5*Etagement!D26*1000</f>
        <v>3727800</v>
      </c>
      <c r="C8" t="s">
        <v>61</v>
      </c>
    </row>
    <row r="9" spans="1:6">
      <c r="A9" t="s">
        <v>62</v>
      </c>
      <c r="B9" s="80">
        <v>10</v>
      </c>
      <c r="C9" t="s">
        <v>64</v>
      </c>
      <c r="D9" t="s">
        <v>65</v>
      </c>
      <c r="E9" t="s">
        <v>63</v>
      </c>
    </row>
    <row r="10" spans="1:6">
      <c r="A10" t="s">
        <v>66</v>
      </c>
      <c r="B10" s="80">
        <v>1588</v>
      </c>
      <c r="C10" t="s">
        <v>67</v>
      </c>
      <c r="E10" t="s">
        <v>63</v>
      </c>
    </row>
    <row r="11" spans="1:6">
      <c r="A11" t="s">
        <v>72</v>
      </c>
      <c r="B11" s="80">
        <v>0.98</v>
      </c>
      <c r="C11" t="s">
        <v>64</v>
      </c>
    </row>
    <row r="12" spans="1:6">
      <c r="A12" t="s">
        <v>613</v>
      </c>
      <c r="B12" s="80">
        <v>101325</v>
      </c>
      <c r="C12" t="s">
        <v>71</v>
      </c>
    </row>
    <row r="13" spans="1:6">
      <c r="A13" t="s">
        <v>70</v>
      </c>
      <c r="B13" s="80">
        <f>70*B12</f>
        <v>7092750</v>
      </c>
      <c r="C13" t="s">
        <v>71</v>
      </c>
      <c r="D13" t="s">
        <v>274</v>
      </c>
      <c r="E13" t="s">
        <v>63</v>
      </c>
    </row>
    <row r="14" spans="1:6">
      <c r="A14" t="s">
        <v>71</v>
      </c>
      <c r="B14" s="80">
        <f>40.28*B12</f>
        <v>4081371</v>
      </c>
      <c r="C14" t="s">
        <v>71</v>
      </c>
      <c r="D14" t="s">
        <v>275</v>
      </c>
    </row>
    <row r="15" spans="1:6">
      <c r="A15" s="81" t="s">
        <v>273</v>
      </c>
      <c r="B15" s="82">
        <v>0.33333333333333331</v>
      </c>
      <c r="C15" s="81" t="s">
        <v>64</v>
      </c>
    </row>
    <row r="16" spans="1:6">
      <c r="A16" t="s">
        <v>594</v>
      </c>
      <c r="B16" s="187">
        <f ca="1">B14*B8/(Etagement!J8*Etagement!B10*B14-B10*B11*B12*B9)</f>
        <v>1528.4606052606839</v>
      </c>
      <c r="C16" t="s">
        <v>69</v>
      </c>
      <c r="D16" t="s">
        <v>75</v>
      </c>
    </row>
    <row r="17" spans="1:6">
      <c r="A17" s="81" t="s">
        <v>595</v>
      </c>
      <c r="B17" s="82">
        <v>19.68</v>
      </c>
      <c r="C17" s="81" t="s">
        <v>74</v>
      </c>
    </row>
    <row r="18" spans="1:6">
      <c r="A18" s="94" t="s">
        <v>73</v>
      </c>
      <c r="B18" s="189">
        <f>B17/B15</f>
        <v>59.04</v>
      </c>
      <c r="C18" s="94" t="s">
        <v>74</v>
      </c>
      <c r="E18" s="83" t="s">
        <v>597</v>
      </c>
      <c r="F18" s="86">
        <f ca="1">(B19*Etagement!J8*Etagement!B10-B12*B29)</f>
        <v>2608477.3580691144</v>
      </c>
    </row>
    <row r="19" spans="1:6">
      <c r="A19" t="s">
        <v>77</v>
      </c>
      <c r="B19" s="187">
        <f ca="1">(Etagement!C29-B17*B16)/((1-B15)/B15*B17)</f>
        <v>1132.279468548257</v>
      </c>
      <c r="C19" t="s">
        <v>69</v>
      </c>
      <c r="E19" s="87" t="s">
        <v>598</v>
      </c>
      <c r="F19" s="89">
        <f ca="1">(B16*Etagement!J8*Etagement!B10-B12*B29)</f>
        <v>3727799.9999999995</v>
      </c>
    </row>
    <row r="20" spans="1:6">
      <c r="A20" t="s">
        <v>596</v>
      </c>
      <c r="B20" s="80">
        <f>B18-B17</f>
        <v>39.36</v>
      </c>
      <c r="C20" t="s">
        <v>74</v>
      </c>
      <c r="D20" s="80">
        <f ca="1">B16*B17</f>
        <v>30080.104711530257</v>
      </c>
      <c r="E20" s="105" t="s">
        <v>614</v>
      </c>
      <c r="F20" s="169">
        <f ca="1">1-F18/F19</f>
        <v>0.30026359835047089</v>
      </c>
    </row>
    <row r="21" spans="1:6">
      <c r="A21" s="164"/>
      <c r="B21" s="165"/>
      <c r="C21" s="164"/>
      <c r="D21" s="164"/>
      <c r="E21" s="164"/>
      <c r="F21" s="164"/>
    </row>
    <row r="22" spans="1:6">
      <c r="A22" s="81" t="s">
        <v>100</v>
      </c>
      <c r="B22" s="82">
        <v>0.75</v>
      </c>
      <c r="C22" s="81" t="s">
        <v>64</v>
      </c>
      <c r="D22" t="s">
        <v>102</v>
      </c>
      <c r="E22" t="s">
        <v>99</v>
      </c>
    </row>
    <row r="23" spans="1:6">
      <c r="A23" s="81" t="s">
        <v>101</v>
      </c>
      <c r="B23" s="82">
        <v>0.9</v>
      </c>
      <c r="C23" s="81" t="s">
        <v>64</v>
      </c>
      <c r="D23" t="s">
        <v>183</v>
      </c>
      <c r="E23" t="s">
        <v>99</v>
      </c>
    </row>
    <row r="24" spans="1:6">
      <c r="A24" s="81" t="s">
        <v>80</v>
      </c>
      <c r="B24" s="82">
        <v>1800</v>
      </c>
      <c r="C24" s="81" t="s">
        <v>81</v>
      </c>
      <c r="D24" t="s">
        <v>104</v>
      </c>
      <c r="E24" t="s">
        <v>105</v>
      </c>
    </row>
    <row r="25" spans="1:6">
      <c r="A25" t="s">
        <v>82</v>
      </c>
      <c r="B25" s="80">
        <f ca="1">Etagement!C29/B24</f>
        <v>41.4703469964387</v>
      </c>
      <c r="C25" t="s">
        <v>83</v>
      </c>
    </row>
    <row r="26" spans="1:6">
      <c r="A26" t="s">
        <v>106</v>
      </c>
      <c r="B26" s="80">
        <f ca="1">B25/B23</f>
        <v>46.078163329376331</v>
      </c>
      <c r="C26" t="s">
        <v>83</v>
      </c>
    </row>
    <row r="27" spans="1:6">
      <c r="A27" s="96"/>
      <c r="B27" s="97"/>
      <c r="C27" s="96"/>
      <c r="D27" s="96"/>
      <c r="E27" s="96"/>
      <c r="F27" s="96"/>
    </row>
    <row r="28" spans="1:6">
      <c r="A28" s="83" t="s">
        <v>111</v>
      </c>
      <c r="B28" s="84">
        <f ca="1">B16*B10*B11/B14</f>
        <v>0.5828069862629216</v>
      </c>
      <c r="C28" s="85" t="s">
        <v>112</v>
      </c>
      <c r="D28" s="85"/>
      <c r="E28" s="86"/>
    </row>
    <row r="29" spans="1:6">
      <c r="A29" s="87" t="s">
        <v>113</v>
      </c>
      <c r="B29" s="88">
        <f ca="1">B28*B9</f>
        <v>5.8280698626292162</v>
      </c>
      <c r="C29" s="41" t="s">
        <v>112</v>
      </c>
      <c r="D29" s="41"/>
      <c r="E29" s="89"/>
    </row>
    <row r="30" spans="1:6">
      <c r="A30" s="87" t="s">
        <v>107</v>
      </c>
      <c r="B30" s="88">
        <f ca="1">2*SQRT(B28/(PI()))</f>
        <v>0.86142492525923264</v>
      </c>
      <c r="C30" s="41" t="s">
        <v>85</v>
      </c>
      <c r="D30" s="41"/>
      <c r="E30" s="89"/>
    </row>
    <row r="31" spans="1:6">
      <c r="A31" s="87" t="s">
        <v>110</v>
      </c>
      <c r="B31" s="88">
        <f ca="1">2*SQRT(B29/PI())</f>
        <v>2.7240647970594871</v>
      </c>
      <c r="C31" s="41" t="s">
        <v>85</v>
      </c>
      <c r="D31" s="41"/>
      <c r="E31" s="89"/>
    </row>
    <row r="32" spans="1:6">
      <c r="A32" s="87" t="s">
        <v>97</v>
      </c>
      <c r="B32" s="88">
        <v>19</v>
      </c>
      <c r="C32" s="41" t="s">
        <v>98</v>
      </c>
      <c r="D32" s="41" t="s">
        <v>109</v>
      </c>
      <c r="E32" s="89" t="s">
        <v>108</v>
      </c>
    </row>
    <row r="33" spans="1:6">
      <c r="A33" s="90" t="s">
        <v>114</v>
      </c>
      <c r="B33" s="91">
        <f ca="1">(B31-B30)/(2*TAN(B32*PI()/180))</f>
        <v>2.7047494884374994</v>
      </c>
      <c r="C33" s="92" t="s">
        <v>85</v>
      </c>
      <c r="D33" s="92"/>
      <c r="E33" s="93"/>
    </row>
    <row r="34" spans="1:6">
      <c r="A34" s="96"/>
      <c r="B34" s="97"/>
      <c r="C34" s="96"/>
      <c r="D34" s="96"/>
      <c r="E34" s="96"/>
      <c r="F34" s="96"/>
    </row>
    <row r="35" spans="1:6">
      <c r="A35" t="s">
        <v>84</v>
      </c>
      <c r="B35" s="80">
        <f ca="1">B25/(PI()*B36)*2</f>
        <v>8.5164009241540057</v>
      </c>
      <c r="C35" t="s">
        <v>85</v>
      </c>
      <c r="D35" t="s">
        <v>166</v>
      </c>
    </row>
    <row r="36" spans="1:6">
      <c r="A36" s="81" t="s">
        <v>86</v>
      </c>
      <c r="B36" s="82">
        <f>Géométrie!B129</f>
        <v>3.1</v>
      </c>
      <c r="C36" s="81" t="s">
        <v>85</v>
      </c>
      <c r="D36" t="s">
        <v>182</v>
      </c>
    </row>
    <row r="37" spans="1:6">
      <c r="A37" t="s">
        <v>79</v>
      </c>
      <c r="B37" s="80">
        <f>B36*0.85/2/B18*1000</f>
        <v>22.315379403794037</v>
      </c>
      <c r="C37" t="s">
        <v>87</v>
      </c>
      <c r="D37" t="s">
        <v>88</v>
      </c>
      <c r="E37" t="s">
        <v>89</v>
      </c>
    </row>
    <row r="38" spans="1:6">
      <c r="A38" s="96"/>
      <c r="B38" s="97"/>
      <c r="C38" s="96"/>
      <c r="D38" s="96"/>
      <c r="E38" s="96"/>
      <c r="F38" s="96"/>
    </row>
    <row r="39" spans="1:6">
      <c r="A39" s="96"/>
      <c r="B39" s="97"/>
      <c r="C39" s="96"/>
      <c r="D39" s="96"/>
      <c r="E39" s="96"/>
      <c r="F39" s="96"/>
    </row>
    <row r="41" spans="1:6">
      <c r="A41" s="81"/>
      <c r="B41" s="98" t="s">
        <v>164</v>
      </c>
    </row>
  </sheetData>
  <hyperlinks>
    <hyperlink ref="F1" r:id="rId1"/>
  </hyperlinks>
  <pageMargins left="0.78740157499999996" right="0.78740157499999996" top="0.984251969" bottom="0.984251969" header="0.5" footer="0.5"/>
  <headerFooter alignWithMargins="0"/>
  <drawing r:id="rId2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6" enableFormatConditionsCalculation="0"/>
  <dimension ref="A1:G38"/>
  <sheetViews>
    <sheetView workbookViewId="0">
      <selection activeCell="B12" sqref="B12"/>
    </sheetView>
  </sheetViews>
  <sheetFormatPr baseColWidth="10" defaultRowHeight="13" x14ac:dyDescent="0"/>
  <cols>
    <col min="1" max="1" width="25.140625" customWidth="1"/>
    <col min="4" max="4" width="30.7109375" customWidth="1"/>
    <col min="6" max="6" width="51.28515625" customWidth="1"/>
  </cols>
  <sheetData>
    <row r="1" spans="1:7">
      <c r="A1" s="78" t="s">
        <v>55</v>
      </c>
      <c r="B1" s="80"/>
      <c r="G1" s="96"/>
    </row>
    <row r="2" spans="1:7">
      <c r="A2" t="s">
        <v>173</v>
      </c>
      <c r="B2" s="80"/>
      <c r="E2" t="s">
        <v>99</v>
      </c>
      <c r="G2" s="96"/>
    </row>
    <row r="3" spans="1:7">
      <c r="A3" s="96"/>
      <c r="B3" s="97"/>
      <c r="C3" s="96"/>
      <c r="D3" s="96"/>
      <c r="E3" s="96"/>
      <c r="F3" s="96"/>
      <c r="G3" s="96"/>
    </row>
    <row r="4" spans="1:7">
      <c r="A4" s="96"/>
      <c r="B4" s="97"/>
      <c r="C4" s="96"/>
      <c r="D4" s="96"/>
      <c r="E4" s="96"/>
      <c r="F4" s="96"/>
      <c r="G4" s="96"/>
    </row>
    <row r="5" spans="1:7">
      <c r="A5" s="81" t="s">
        <v>123</v>
      </c>
      <c r="B5" s="82">
        <v>7.5</v>
      </c>
      <c r="C5" s="81" t="s">
        <v>125</v>
      </c>
      <c r="D5" t="s">
        <v>124</v>
      </c>
      <c r="G5" s="96"/>
    </row>
    <row r="6" spans="1:7">
      <c r="A6" t="s">
        <v>62</v>
      </c>
      <c r="B6" s="80">
        <v>40</v>
      </c>
      <c r="C6" t="s">
        <v>64</v>
      </c>
      <c r="D6" t="s">
        <v>65</v>
      </c>
      <c r="E6" t="s">
        <v>63</v>
      </c>
      <c r="G6" s="96"/>
    </row>
    <row r="7" spans="1:7">
      <c r="A7" t="s">
        <v>66</v>
      </c>
      <c r="B7" s="80">
        <v>1585</v>
      </c>
      <c r="C7" t="s">
        <v>67</v>
      </c>
      <c r="E7" t="s">
        <v>63</v>
      </c>
      <c r="G7" s="96"/>
    </row>
    <row r="8" spans="1:7">
      <c r="A8" t="s">
        <v>72</v>
      </c>
      <c r="B8" s="80">
        <v>0.98</v>
      </c>
      <c r="C8" t="s">
        <v>64</v>
      </c>
      <c r="G8" s="96"/>
    </row>
    <row r="9" spans="1:7">
      <c r="A9" t="s">
        <v>70</v>
      </c>
      <c r="B9" s="80">
        <f>50*101300</f>
        <v>5065000</v>
      </c>
      <c r="C9" t="s">
        <v>71</v>
      </c>
      <c r="D9" t="s">
        <v>274</v>
      </c>
      <c r="E9" t="s">
        <v>63</v>
      </c>
      <c r="G9" s="96"/>
    </row>
    <row r="10" spans="1:7">
      <c r="A10" t="s">
        <v>71</v>
      </c>
      <c r="B10" s="80">
        <f>28.79*101300</f>
        <v>2916427</v>
      </c>
      <c r="C10" t="s">
        <v>71</v>
      </c>
      <c r="D10" t="s">
        <v>275</v>
      </c>
      <c r="G10" s="96"/>
    </row>
    <row r="11" spans="1:7">
      <c r="A11" t="s">
        <v>68</v>
      </c>
      <c r="B11" s="187">
        <f ca="1">B5*Etagement!B26/(Etagement!J8*Etagement!E11)</f>
        <v>284.55703607765298</v>
      </c>
      <c r="C11" t="s">
        <v>69</v>
      </c>
      <c r="F11" t="s">
        <v>122</v>
      </c>
      <c r="G11" s="96"/>
    </row>
    <row r="12" spans="1:7">
      <c r="A12" s="94" t="s">
        <v>73</v>
      </c>
      <c r="B12" s="189">
        <f ca="1">Etagement!B29/B11</f>
        <v>269.33366192523465</v>
      </c>
      <c r="C12" s="94" t="s">
        <v>74</v>
      </c>
      <c r="D12" t="s">
        <v>151</v>
      </c>
      <c r="G12" s="96"/>
    </row>
    <row r="13" spans="1:7">
      <c r="A13" s="96"/>
      <c r="B13" s="97"/>
      <c r="C13" s="96"/>
      <c r="D13" s="96"/>
      <c r="E13" s="96"/>
      <c r="F13" s="96"/>
      <c r="G13" s="96"/>
    </row>
    <row r="14" spans="1:7">
      <c r="A14" t="s">
        <v>148</v>
      </c>
      <c r="B14" s="80">
        <f ca="1">B11*Etagement!E11/Etagement!B26</f>
        <v>0.76452599388379205</v>
      </c>
      <c r="C14" t="s">
        <v>59</v>
      </c>
      <c r="G14" s="96"/>
    </row>
    <row r="15" spans="1:7">
      <c r="A15" s="96"/>
      <c r="B15" s="97"/>
      <c r="C15" s="96"/>
      <c r="D15" s="96"/>
      <c r="E15" s="96"/>
      <c r="F15" s="96"/>
      <c r="G15" s="96"/>
    </row>
    <row r="16" spans="1:7">
      <c r="A16" s="81" t="s">
        <v>100</v>
      </c>
      <c r="B16" s="82">
        <v>0.75</v>
      </c>
      <c r="C16" s="81" t="s">
        <v>64</v>
      </c>
      <c r="D16" t="s">
        <v>102</v>
      </c>
      <c r="E16" t="s">
        <v>99</v>
      </c>
      <c r="F16" t="s">
        <v>174</v>
      </c>
      <c r="G16" s="96"/>
    </row>
    <row r="17" spans="1:7">
      <c r="A17" s="81" t="s">
        <v>101</v>
      </c>
      <c r="B17" s="82">
        <v>0.9</v>
      </c>
      <c r="C17" s="81" t="s">
        <v>64</v>
      </c>
      <c r="D17" t="s">
        <v>103</v>
      </c>
      <c r="E17" t="s">
        <v>99</v>
      </c>
      <c r="F17" t="s">
        <v>175</v>
      </c>
      <c r="G17" s="96"/>
    </row>
    <row r="18" spans="1:7">
      <c r="A18" s="81" t="s">
        <v>80</v>
      </c>
      <c r="B18" s="82">
        <v>1800</v>
      </c>
      <c r="C18" s="81" t="s">
        <v>81</v>
      </c>
      <c r="D18" t="s">
        <v>104</v>
      </c>
      <c r="E18" t="s">
        <v>105</v>
      </c>
      <c r="G18" s="96"/>
    </row>
    <row r="19" spans="1:7">
      <c r="A19" t="s">
        <v>82</v>
      </c>
      <c r="B19" s="80">
        <f ca="1">Etagement!B29/B18</f>
        <v>42.578215862991883</v>
      </c>
      <c r="C19" t="s">
        <v>83</v>
      </c>
      <c r="G19" s="96"/>
    </row>
    <row r="20" spans="1:7">
      <c r="A20" t="s">
        <v>106</v>
      </c>
      <c r="B20" s="80">
        <f ca="1">B19/B17</f>
        <v>47.309128736657648</v>
      </c>
      <c r="C20" t="s">
        <v>83</v>
      </c>
      <c r="G20" s="96"/>
    </row>
    <row r="21" spans="1:7">
      <c r="A21" s="94" t="s">
        <v>232</v>
      </c>
      <c r="B21" s="80">
        <f ca="1">B19/(PI()*B31)*2</f>
        <v>8.7439142227469784</v>
      </c>
      <c r="C21" s="94" t="s">
        <v>85</v>
      </c>
      <c r="G21" s="96"/>
    </row>
    <row r="22" spans="1:7">
      <c r="A22" s="96"/>
      <c r="B22" s="96"/>
      <c r="C22" s="96"/>
      <c r="D22" s="96"/>
      <c r="E22" s="96"/>
      <c r="F22" s="96"/>
      <c r="G22" s="96"/>
    </row>
    <row r="23" spans="1:7">
      <c r="A23" s="83" t="s">
        <v>111</v>
      </c>
      <c r="B23" s="84">
        <f ca="1">B11/B9*B8*B7</f>
        <v>8.7266030432264247E-2</v>
      </c>
      <c r="C23" s="85" t="s">
        <v>112</v>
      </c>
      <c r="D23" s="85"/>
      <c r="E23" s="86"/>
      <c r="G23" s="96"/>
    </row>
    <row r="24" spans="1:7">
      <c r="A24" s="87" t="s">
        <v>113</v>
      </c>
      <c r="B24" s="88">
        <f ca="1">B6*B23</f>
        <v>3.4906412172905696</v>
      </c>
      <c r="C24" s="41" t="s">
        <v>112</v>
      </c>
      <c r="D24" s="41"/>
      <c r="E24" s="89"/>
      <c r="G24" s="96"/>
    </row>
    <row r="25" spans="1:7">
      <c r="A25" s="87" t="s">
        <v>107</v>
      </c>
      <c r="B25" s="88">
        <f ca="1">2*SQRT(B23/(PI()))</f>
        <v>0.33333250795327629</v>
      </c>
      <c r="C25" s="41" t="s">
        <v>85</v>
      </c>
      <c r="D25" s="41"/>
      <c r="E25" s="89"/>
      <c r="G25" s="96"/>
    </row>
    <row r="26" spans="1:7">
      <c r="A26" s="87" t="s">
        <v>110</v>
      </c>
      <c r="B26" s="88">
        <f ca="1">2*SQRT(B24/PI())</f>
        <v>2.108179886617088</v>
      </c>
      <c r="C26" s="41" t="s">
        <v>85</v>
      </c>
      <c r="D26" s="41"/>
      <c r="E26" s="89"/>
      <c r="G26" s="96"/>
    </row>
    <row r="27" spans="1:7">
      <c r="A27" s="100" t="s">
        <v>97</v>
      </c>
      <c r="B27" s="101">
        <v>23</v>
      </c>
      <c r="C27" s="102" t="s">
        <v>98</v>
      </c>
      <c r="D27" s="41" t="s">
        <v>128</v>
      </c>
      <c r="E27" s="89" t="s">
        <v>108</v>
      </c>
      <c r="G27" s="96"/>
    </row>
    <row r="28" spans="1:7">
      <c r="A28" s="90" t="s">
        <v>114</v>
      </c>
      <c r="B28" s="91">
        <f ca="1">(B26-B25)/(2*TAN(B27*PI()/180))</f>
        <v>2.0906391980006136</v>
      </c>
      <c r="C28" s="92" t="s">
        <v>85</v>
      </c>
      <c r="D28" s="92"/>
      <c r="E28" s="93"/>
      <c r="G28" s="96"/>
    </row>
    <row r="29" spans="1:7">
      <c r="A29" s="96"/>
      <c r="B29" s="96"/>
      <c r="C29" s="96"/>
      <c r="D29" s="96"/>
      <c r="E29" s="96"/>
      <c r="F29" s="96"/>
      <c r="G29" s="96"/>
    </row>
    <row r="30" spans="1:7">
      <c r="A30" t="s">
        <v>84</v>
      </c>
      <c r="B30" s="80">
        <f ca="1">B19/(PI()*B31)*2</f>
        <v>8.7439142227469784</v>
      </c>
      <c r="C30" t="s">
        <v>85</v>
      </c>
      <c r="D30" t="s">
        <v>166</v>
      </c>
      <c r="F30" t="s">
        <v>167</v>
      </c>
      <c r="G30" s="96"/>
    </row>
    <row r="31" spans="1:7">
      <c r="A31" s="81" t="s">
        <v>86</v>
      </c>
      <c r="B31" s="82">
        <f>Géométrie!B104</f>
        <v>3.1</v>
      </c>
      <c r="C31" s="81" t="s">
        <v>85</v>
      </c>
      <c r="G31" s="96"/>
    </row>
    <row r="32" spans="1:7">
      <c r="A32" t="s">
        <v>79</v>
      </c>
      <c r="B32" s="80">
        <f ca="1">B31*0.85/2/B12*1000</f>
        <v>4.8917019528206236</v>
      </c>
      <c r="C32" t="s">
        <v>87</v>
      </c>
      <c r="D32" t="s">
        <v>88</v>
      </c>
      <c r="E32" t="s">
        <v>89</v>
      </c>
      <c r="G32" s="96"/>
    </row>
    <row r="33" spans="1:7">
      <c r="A33" s="96"/>
      <c r="B33" s="96"/>
      <c r="C33" s="96"/>
      <c r="D33" s="96"/>
      <c r="E33" s="96"/>
      <c r="F33" s="96"/>
      <c r="G33" s="96"/>
    </row>
    <row r="38" spans="1:7">
      <c r="A38" s="81"/>
      <c r="B38" s="98" t="s">
        <v>164</v>
      </c>
    </row>
  </sheetData>
  <pageMargins left="0.7" right="0.7" top="0.75" bottom="0.75" header="0.3" footer="0.3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7" enableFormatConditionsCalculation="0"/>
  <dimension ref="A1:I61"/>
  <sheetViews>
    <sheetView workbookViewId="0">
      <selection activeCell="B17" sqref="B17"/>
    </sheetView>
  </sheetViews>
  <sheetFormatPr baseColWidth="10" defaultRowHeight="13" x14ac:dyDescent="0"/>
  <cols>
    <col min="1" max="1" width="38.140625" customWidth="1"/>
    <col min="2" max="2" width="12" bestFit="1" customWidth="1"/>
    <col min="4" max="4" width="30.42578125" customWidth="1"/>
    <col min="6" max="6" width="25.7109375" customWidth="1"/>
  </cols>
  <sheetData>
    <row r="1" spans="1:9">
      <c r="A1" s="78" t="s">
        <v>55</v>
      </c>
      <c r="B1" s="80"/>
      <c r="I1" s="96"/>
    </row>
    <row r="2" spans="1:9">
      <c r="A2" t="s">
        <v>142</v>
      </c>
      <c r="B2" s="80"/>
      <c r="E2" t="s">
        <v>99</v>
      </c>
      <c r="I2" s="96"/>
    </row>
    <row r="3" spans="1:9">
      <c r="A3" s="96"/>
      <c r="B3" s="97"/>
      <c r="C3" s="96"/>
      <c r="D3" s="96"/>
      <c r="E3" s="96"/>
      <c r="F3" s="96"/>
      <c r="G3" s="96"/>
      <c r="H3" s="96"/>
      <c r="I3" s="96"/>
    </row>
    <row r="4" spans="1:9">
      <c r="A4" s="96"/>
      <c r="B4" s="97"/>
      <c r="C4" s="96"/>
      <c r="D4" s="96"/>
      <c r="E4" s="96"/>
      <c r="F4" s="96"/>
      <c r="G4" s="96"/>
      <c r="H4" s="96"/>
      <c r="I4" s="96"/>
    </row>
    <row r="5" spans="1:9">
      <c r="A5" s="81" t="s">
        <v>123</v>
      </c>
      <c r="B5" s="82">
        <v>10</v>
      </c>
      <c r="C5" s="81" t="s">
        <v>125</v>
      </c>
      <c r="D5" t="s">
        <v>124</v>
      </c>
      <c r="I5" s="96"/>
    </row>
    <row r="6" spans="1:9">
      <c r="A6" t="s">
        <v>62</v>
      </c>
      <c r="B6" s="80">
        <v>100</v>
      </c>
      <c r="C6" t="s">
        <v>64</v>
      </c>
      <c r="D6" t="s">
        <v>65</v>
      </c>
      <c r="E6" t="s">
        <v>127</v>
      </c>
      <c r="F6" s="151"/>
      <c r="G6" s="151"/>
      <c r="H6" s="151"/>
      <c r="I6" s="96"/>
    </row>
    <row r="7" spans="1:9">
      <c r="A7" t="s">
        <v>66</v>
      </c>
      <c r="B7" s="80">
        <v>2351</v>
      </c>
      <c r="C7" t="s">
        <v>67</v>
      </c>
      <c r="I7" s="96"/>
    </row>
    <row r="8" spans="1:9">
      <c r="A8" t="s">
        <v>72</v>
      </c>
      <c r="B8" s="80">
        <v>0.95</v>
      </c>
      <c r="C8" t="s">
        <v>64</v>
      </c>
      <c r="E8" t="s">
        <v>149</v>
      </c>
      <c r="I8" s="96"/>
    </row>
    <row r="9" spans="1:9">
      <c r="A9" t="s">
        <v>71</v>
      </c>
      <c r="B9" s="80">
        <f>57.342*101300</f>
        <v>5808744.5999999996</v>
      </c>
      <c r="C9" t="s">
        <v>71</v>
      </c>
      <c r="D9" t="s">
        <v>126</v>
      </c>
      <c r="E9" t="s">
        <v>150</v>
      </c>
      <c r="I9" s="96"/>
    </row>
    <row r="10" spans="1:9">
      <c r="A10" t="s">
        <v>70</v>
      </c>
      <c r="B10" s="80">
        <f>100*101300</f>
        <v>10130000</v>
      </c>
      <c r="C10" t="s">
        <v>71</v>
      </c>
      <c r="D10" t="s">
        <v>274</v>
      </c>
      <c r="I10" s="96"/>
    </row>
    <row r="11" spans="1:9">
      <c r="A11" t="s">
        <v>68</v>
      </c>
      <c r="B11" s="187">
        <f ca="1">B5*Etagement!A26/(Etagement!J8*Etagement!E12)</f>
        <v>57.759502485653769</v>
      </c>
      <c r="C11" t="s">
        <v>69</v>
      </c>
      <c r="D11" t="s">
        <v>75</v>
      </c>
      <c r="F11" t="s">
        <v>169</v>
      </c>
      <c r="I11" s="96"/>
    </row>
    <row r="12" spans="1:9">
      <c r="A12" s="94" t="s">
        <v>73</v>
      </c>
      <c r="B12" s="189">
        <f ca="1">Etagement!A29/B11</f>
        <v>332.11027820315155</v>
      </c>
      <c r="C12" s="94" t="s">
        <v>74</v>
      </c>
      <c r="D12" t="s">
        <v>151</v>
      </c>
      <c r="F12" t="s">
        <v>168</v>
      </c>
      <c r="I12" s="96"/>
    </row>
    <row r="13" spans="1:9">
      <c r="A13" s="94"/>
      <c r="I13" s="96"/>
    </row>
    <row r="14" spans="1:9">
      <c r="A14" s="143"/>
      <c r="B14" s="146"/>
      <c r="C14" s="143"/>
      <c r="D14" s="143"/>
      <c r="E14" s="143"/>
      <c r="F14" s="143"/>
      <c r="G14" s="143"/>
      <c r="H14" s="143"/>
      <c r="I14" s="96"/>
    </row>
    <row r="15" spans="1:9">
      <c r="A15" s="94" t="s">
        <v>158</v>
      </c>
      <c r="B15" s="95">
        <v>0.18</v>
      </c>
      <c r="C15" s="94"/>
      <c r="D15" s="94" t="s">
        <v>276</v>
      </c>
      <c r="E15" s="143"/>
      <c r="F15" s="94"/>
      <c r="G15" s="94"/>
      <c r="H15" s="94"/>
      <c r="I15" s="96"/>
    </row>
    <row r="16" spans="1:9">
      <c r="A16" s="152" t="s">
        <v>154</v>
      </c>
      <c r="B16" s="95"/>
      <c r="C16" s="94" t="s">
        <v>64</v>
      </c>
      <c r="D16" s="94"/>
      <c r="E16" s="143"/>
      <c r="F16" s="153" t="s">
        <v>153</v>
      </c>
      <c r="I16" s="96"/>
    </row>
    <row r="17" spans="1:9">
      <c r="A17" s="94" t="s">
        <v>157</v>
      </c>
      <c r="B17" s="95">
        <v>71</v>
      </c>
      <c r="C17" s="94" t="s">
        <v>81</v>
      </c>
      <c r="D17" t="s">
        <v>445</v>
      </c>
      <c r="E17" s="143"/>
      <c r="F17" s="94" t="s">
        <v>156</v>
      </c>
      <c r="G17" s="95">
        <v>1141</v>
      </c>
      <c r="H17" s="94" t="s">
        <v>81</v>
      </c>
      <c r="I17" s="96"/>
    </row>
    <row r="18" spans="1:9">
      <c r="A18" t="s">
        <v>159</v>
      </c>
      <c r="B18" s="80">
        <f ca="1">B19/B17</f>
        <v>41.213349237162774</v>
      </c>
      <c r="C18" t="s">
        <v>83</v>
      </c>
      <c r="E18" s="143"/>
      <c r="F18" t="s">
        <v>159</v>
      </c>
      <c r="G18" s="80">
        <f ca="1">G19/G17</f>
        <v>14.247481720900559</v>
      </c>
      <c r="H18" t="s">
        <v>83</v>
      </c>
      <c r="I18" s="96"/>
    </row>
    <row r="19" spans="1:9">
      <c r="A19" t="s">
        <v>155</v>
      </c>
      <c r="B19" s="80">
        <f ca="1">Etagement!A29/(1+1/B15)</f>
        <v>2926.1477958385572</v>
      </c>
      <c r="C19" t="s">
        <v>76</v>
      </c>
      <c r="E19" s="143"/>
      <c r="F19" t="s">
        <v>155</v>
      </c>
      <c r="G19" s="80">
        <f ca="1">Etagement!A29-B19</f>
        <v>16256.376643547539</v>
      </c>
      <c r="H19" t="s">
        <v>76</v>
      </c>
      <c r="I19" s="96"/>
    </row>
    <row r="20" spans="1:9">
      <c r="A20" t="s">
        <v>161</v>
      </c>
      <c r="B20">
        <v>0</v>
      </c>
      <c r="C20" t="s">
        <v>83</v>
      </c>
      <c r="D20" t="s">
        <v>162</v>
      </c>
      <c r="E20" s="143"/>
      <c r="F20" t="s">
        <v>161</v>
      </c>
      <c r="G20">
        <v>0</v>
      </c>
      <c r="H20" t="s">
        <v>83</v>
      </c>
      <c r="I20" s="96"/>
    </row>
    <row r="21" spans="1:9">
      <c r="A21" s="148" t="s">
        <v>160</v>
      </c>
      <c r="B21" s="148">
        <f ca="1">Etagement!A29*1.03*1.05/((1+1/B15)*B17)+B20</f>
        <v>44.572237199991541</v>
      </c>
      <c r="C21" s="148" t="s">
        <v>83</v>
      </c>
      <c r="E21" s="143"/>
      <c r="F21" s="148" t="s">
        <v>163</v>
      </c>
      <c r="G21" s="148">
        <f ca="1">1/B15*Etagement!A29*1.03*1.05/((1+1/B15)*G17)+G20</f>
        <v>15.408651481153957</v>
      </c>
      <c r="H21" s="148" t="s">
        <v>83</v>
      </c>
      <c r="I21" s="96"/>
    </row>
    <row r="22" spans="1:9">
      <c r="A22" t="s">
        <v>608</v>
      </c>
      <c r="B22">
        <f>5.5/(1+5.5)</f>
        <v>0.84615384615384615</v>
      </c>
      <c r="C22" t="s">
        <v>81</v>
      </c>
      <c r="D22" t="s">
        <v>172</v>
      </c>
      <c r="E22" s="143"/>
      <c r="F22" t="s">
        <v>609</v>
      </c>
      <c r="G22">
        <f ca="1">1/(1+5.5)*B11</f>
        <v>8.8860773054851965</v>
      </c>
      <c r="H22" t="s">
        <v>81</v>
      </c>
      <c r="I22" s="96"/>
    </row>
    <row r="23" spans="1:9">
      <c r="A23" t="s">
        <v>84</v>
      </c>
      <c r="B23">
        <f ca="1">(B21+G21)/(PI()*B36^2/4)</f>
        <v>5.8927499534870496</v>
      </c>
      <c r="C23" t="s">
        <v>610</v>
      </c>
      <c r="D23">
        <f>SQRT(4*B22/(B17*25*PI()))</f>
        <v>2.4636587218530133E-2</v>
      </c>
      <c r="E23" s="143"/>
      <c r="F23" t="s">
        <v>610</v>
      </c>
      <c r="G23">
        <f ca="1">SQRT(4*G22/(G17*12*PI()))</f>
        <v>2.8745949457346362E-2</v>
      </c>
      <c r="I23" s="96"/>
    </row>
    <row r="24" spans="1:9" ht="13.5" customHeight="1">
      <c r="A24" s="143"/>
      <c r="B24" s="143"/>
      <c r="C24" s="143"/>
      <c r="D24" s="143"/>
      <c r="E24" s="143"/>
      <c r="F24" s="143"/>
      <c r="G24" s="143"/>
      <c r="H24" s="143"/>
      <c r="I24" s="96"/>
    </row>
    <row r="25" spans="1:9" ht="13.5" customHeight="1">
      <c r="A25" s="83" t="s">
        <v>129</v>
      </c>
      <c r="B25" s="84">
        <f ca="1">B11/B10*B8*B7</f>
        <v>1.2734744405388293E-2</v>
      </c>
      <c r="C25" s="85" t="s">
        <v>112</v>
      </c>
      <c r="D25" s="85"/>
      <c r="E25" s="86"/>
      <c r="F25" t="s">
        <v>147</v>
      </c>
      <c r="I25" s="96"/>
    </row>
    <row r="26" spans="1:9" ht="13.5" customHeight="1">
      <c r="A26" s="87" t="s">
        <v>152</v>
      </c>
      <c r="B26" s="88">
        <f ca="1">B6*B25</f>
        <v>1.2734744405388294</v>
      </c>
      <c r="C26" s="41" t="s">
        <v>112</v>
      </c>
      <c r="D26" s="41"/>
      <c r="E26" s="89"/>
      <c r="I26" s="96"/>
    </row>
    <row r="27" spans="1:9">
      <c r="A27" s="87" t="s">
        <v>130</v>
      </c>
      <c r="B27" s="88">
        <f ca="1">2*SQRT(B25/(PI()))</f>
        <v>0.12733569872206008</v>
      </c>
      <c r="C27" s="41" t="s">
        <v>85</v>
      </c>
      <c r="D27" s="41"/>
      <c r="E27" s="89"/>
      <c r="I27" s="96"/>
    </row>
    <row r="28" spans="1:9">
      <c r="A28" s="87" t="s">
        <v>110</v>
      </c>
      <c r="B28" s="88">
        <f ca="1">2*SQRT(B26/PI())</f>
        <v>1.2733569872206008</v>
      </c>
      <c r="C28" s="41" t="s">
        <v>85</v>
      </c>
      <c r="D28" s="41"/>
      <c r="E28" s="89"/>
      <c r="I28" s="96"/>
    </row>
    <row r="29" spans="1:9">
      <c r="A29" s="87" t="s">
        <v>131</v>
      </c>
      <c r="B29" s="88">
        <v>0.89</v>
      </c>
      <c r="C29" s="75" t="s">
        <v>85</v>
      </c>
      <c r="D29" s="41" t="s">
        <v>133</v>
      </c>
      <c r="E29" s="89" t="s">
        <v>134</v>
      </c>
      <c r="I29" s="96"/>
    </row>
    <row r="30" spans="1:9">
      <c r="A30" s="87" t="s">
        <v>97</v>
      </c>
      <c r="B30" s="88">
        <v>28</v>
      </c>
      <c r="C30" s="41" t="s">
        <v>98</v>
      </c>
      <c r="D30" s="41" t="s">
        <v>135</v>
      </c>
      <c r="E30" s="89" t="s">
        <v>136</v>
      </c>
      <c r="F30" s="75" t="s">
        <v>137</v>
      </c>
      <c r="I30" s="96"/>
    </row>
    <row r="31" spans="1:9">
      <c r="A31" s="87" t="s">
        <v>114</v>
      </c>
      <c r="B31" s="88">
        <f ca="1">(B28/2-B27/2)/TAN(B30*PI()/180)</f>
        <v>1.0776762835647549</v>
      </c>
      <c r="C31" s="75" t="s">
        <v>85</v>
      </c>
      <c r="D31" s="41"/>
      <c r="E31" s="89"/>
      <c r="F31" s="75"/>
      <c r="I31" s="96"/>
    </row>
    <row r="32" spans="1:9">
      <c r="A32" s="87" t="s">
        <v>310</v>
      </c>
      <c r="B32" s="88">
        <f ca="1">SQRT(B33/(PI()))</f>
        <v>0.18198560935356917</v>
      </c>
      <c r="C32" s="75" t="s">
        <v>85</v>
      </c>
      <c r="D32" s="41"/>
      <c r="E32" s="89"/>
      <c r="F32" s="75"/>
      <c r="I32" s="96"/>
    </row>
    <row r="33" spans="1:9">
      <c r="A33" s="87" t="s">
        <v>146</v>
      </c>
      <c r="B33" s="88">
        <f ca="1">B25*(8*B28^(-0.6)+1.25)</f>
        <v>0.10404565943222782</v>
      </c>
      <c r="C33" s="75" t="s">
        <v>112</v>
      </c>
      <c r="D33" s="41"/>
      <c r="E33" s="89" t="s">
        <v>134</v>
      </c>
      <c r="F33" s="75"/>
      <c r="I33" s="96"/>
    </row>
    <row r="34" spans="1:9">
      <c r="A34" s="90" t="s">
        <v>132</v>
      </c>
      <c r="B34" s="91">
        <f ca="1">B29*B25/B33</f>
        <v>0.10893219940787779</v>
      </c>
      <c r="C34" s="92" t="s">
        <v>85</v>
      </c>
      <c r="D34" s="92" t="s">
        <v>141</v>
      </c>
      <c r="E34" s="93" t="s">
        <v>134</v>
      </c>
      <c r="I34" s="96"/>
    </row>
    <row r="35" spans="1:9">
      <c r="A35" s="143"/>
      <c r="B35" s="143"/>
      <c r="C35" s="143"/>
      <c r="D35" s="143"/>
      <c r="E35" s="143"/>
      <c r="F35" s="143"/>
      <c r="G35" s="143"/>
      <c r="H35" s="143"/>
      <c r="I35" s="96"/>
    </row>
    <row r="36" spans="1:9">
      <c r="A36" s="94" t="s">
        <v>86</v>
      </c>
      <c r="B36" s="95">
        <f>Géométrie!B79</f>
        <v>3.6</v>
      </c>
      <c r="C36" s="94" t="s">
        <v>85</v>
      </c>
      <c r="D36" s="75" t="s">
        <v>171</v>
      </c>
      <c r="I36" s="96"/>
    </row>
    <row r="37" spans="1:9">
      <c r="A37" s="143"/>
      <c r="B37" s="146"/>
      <c r="C37" s="143"/>
      <c r="D37" s="143"/>
      <c r="E37" s="143"/>
      <c r="F37" s="143"/>
      <c r="G37" s="143"/>
      <c r="H37" s="143"/>
      <c r="I37" s="96"/>
    </row>
    <row r="38" spans="1:9">
      <c r="A38" t="s">
        <v>444</v>
      </c>
      <c r="I38" s="96"/>
    </row>
    <row r="39" spans="1:9">
      <c r="A39" t="s">
        <v>138</v>
      </c>
      <c r="D39" t="s">
        <v>139</v>
      </c>
      <c r="E39" t="s">
        <v>140</v>
      </c>
      <c r="I39" s="96"/>
    </row>
    <row r="40" spans="1:9">
      <c r="A40" t="s">
        <v>429</v>
      </c>
      <c r="B40">
        <f>3*101300</f>
        <v>303900</v>
      </c>
      <c r="C40" t="s">
        <v>71</v>
      </c>
      <c r="E40" t="s">
        <v>140</v>
      </c>
      <c r="I40" s="96"/>
    </row>
    <row r="41" spans="1:9">
      <c r="A41" t="s">
        <v>430</v>
      </c>
      <c r="B41">
        <f>4*101300</f>
        <v>405200</v>
      </c>
      <c r="C41" t="s">
        <v>71</v>
      </c>
      <c r="E41" t="s">
        <v>140</v>
      </c>
      <c r="I41" s="96"/>
    </row>
    <row r="42" spans="1:9">
      <c r="A42" t="s">
        <v>143</v>
      </c>
      <c r="B42">
        <v>1.4</v>
      </c>
      <c r="D42" t="s">
        <v>144</v>
      </c>
      <c r="E42" t="s">
        <v>145</v>
      </c>
      <c r="I42" s="96"/>
    </row>
    <row r="43" spans="1:9">
      <c r="A43" t="s">
        <v>431</v>
      </c>
      <c r="B43">
        <v>300</v>
      </c>
      <c r="C43" t="s">
        <v>432</v>
      </c>
      <c r="I43" s="96"/>
    </row>
    <row r="44" spans="1:9">
      <c r="A44" t="s">
        <v>433</v>
      </c>
      <c r="B44">
        <v>300</v>
      </c>
      <c r="C44" t="s">
        <v>432</v>
      </c>
      <c r="D44" t="s">
        <v>436</v>
      </c>
      <c r="E44">
        <f>(B43+B45)/2</f>
        <v>152.19999999999999</v>
      </c>
      <c r="F44" t="s">
        <v>432</v>
      </c>
      <c r="I44" s="96"/>
    </row>
    <row r="45" spans="1:9">
      <c r="A45" t="s">
        <v>434</v>
      </c>
      <c r="B45">
        <v>4.4000000000000004</v>
      </c>
      <c r="C45" t="s">
        <v>432</v>
      </c>
      <c r="D45" t="s">
        <v>437</v>
      </c>
      <c r="E45">
        <f>(B44+B46)/2</f>
        <v>195</v>
      </c>
      <c r="F45" t="s">
        <v>432</v>
      </c>
      <c r="I45" s="96"/>
    </row>
    <row r="46" spans="1:9" ht="15">
      <c r="A46" t="s">
        <v>435</v>
      </c>
      <c r="B46">
        <v>90</v>
      </c>
      <c r="C46" t="s">
        <v>432</v>
      </c>
      <c r="D46" t="s">
        <v>247</v>
      </c>
      <c r="E46">
        <v>8.32</v>
      </c>
      <c r="F46" t="s">
        <v>454</v>
      </c>
      <c r="I46" s="96"/>
    </row>
    <row r="47" spans="1:9">
      <c r="A47" t="s">
        <v>547</v>
      </c>
      <c r="B47">
        <v>300</v>
      </c>
      <c r="C47" t="s">
        <v>432</v>
      </c>
      <c r="I47" s="96"/>
    </row>
    <row r="48" spans="1:9">
      <c r="A48" t="s">
        <v>548</v>
      </c>
      <c r="B48">
        <f>4*101300</f>
        <v>405200</v>
      </c>
      <c r="C48" t="s">
        <v>71</v>
      </c>
      <c r="I48" s="96"/>
    </row>
    <row r="49" spans="1:9">
      <c r="F49" s="96"/>
      <c r="G49" s="96"/>
      <c r="H49" s="96"/>
      <c r="I49" s="96"/>
    </row>
    <row r="50" spans="1:9">
      <c r="A50" t="s">
        <v>438</v>
      </c>
      <c r="B50">
        <f ca="1">'Bilan Masse'!B46</f>
        <v>55.623779915725329</v>
      </c>
      <c r="C50" t="s">
        <v>76</v>
      </c>
      <c r="D50" t="s">
        <v>451</v>
      </c>
    </row>
    <row r="51" spans="1:9">
      <c r="A51" t="s">
        <v>440</v>
      </c>
      <c r="B51">
        <f ca="1">B50/'Bilan Masse'!B42*E46*B47/B48</f>
        <v>8.5659522871205832E-2</v>
      </c>
      <c r="C51" t="s">
        <v>277</v>
      </c>
    </row>
    <row r="53" spans="1:9">
      <c r="A53" t="s">
        <v>439</v>
      </c>
      <c r="B53">
        <f ca="1">'Bilan Masse'!F46</f>
        <v>20.011492244114049</v>
      </c>
      <c r="C53" t="s">
        <v>76</v>
      </c>
    </row>
    <row r="54" spans="1:9">
      <c r="A54" t="s">
        <v>441</v>
      </c>
      <c r="B54">
        <f ca="1">B53/'Bilan Masse'!B42*E46*B47/B48</f>
        <v>3.0817302962307915E-2</v>
      </c>
      <c r="C54" t="s">
        <v>277</v>
      </c>
    </row>
    <row r="56" spans="1:9">
      <c r="A56" s="148" t="s">
        <v>442</v>
      </c>
      <c r="B56" s="148">
        <f ca="1">B54+B51</f>
        <v>0.11647682583351375</v>
      </c>
      <c r="C56" s="148" t="s">
        <v>277</v>
      </c>
    </row>
    <row r="57" spans="1:9">
      <c r="A57" s="148" t="s">
        <v>443</v>
      </c>
      <c r="B57" s="148">
        <f ca="1">B53+B50</f>
        <v>75.635272159839374</v>
      </c>
      <c r="C57" s="148" t="s">
        <v>76</v>
      </c>
    </row>
    <row r="58" spans="1:9">
      <c r="A58" s="143"/>
      <c r="B58" s="143"/>
      <c r="C58" s="143"/>
      <c r="D58" s="143"/>
      <c r="E58" s="143"/>
      <c r="F58" s="143"/>
      <c r="G58" s="143"/>
      <c r="H58" s="143"/>
      <c r="I58" s="143"/>
    </row>
    <row r="59" spans="1:9">
      <c r="A59" t="s">
        <v>231</v>
      </c>
      <c r="B59">
        <f ca="1">(B23+Géométrie!B2)/B36</f>
        <v>4.0073447093019583</v>
      </c>
    </row>
    <row r="61" spans="1:9">
      <c r="A61" s="81"/>
      <c r="B61" s="98" t="s">
        <v>164</v>
      </c>
    </row>
  </sheetData>
  <pageMargins left="0.7" right="0.7" top="0.75" bottom="0.75" header="0.3" footer="0.3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8" enableFormatConditionsCalculation="0"/>
  <dimension ref="A1:C6"/>
  <sheetViews>
    <sheetView workbookViewId="0">
      <selection activeCell="C12" sqref="C12"/>
    </sheetView>
  </sheetViews>
  <sheetFormatPr baseColWidth="10" defaultRowHeight="13" x14ac:dyDescent="0"/>
  <cols>
    <col min="1" max="1" width="16.85546875" customWidth="1"/>
  </cols>
  <sheetData>
    <row r="1" spans="1:3">
      <c r="A1" s="78" t="s">
        <v>215</v>
      </c>
    </row>
    <row r="2" spans="1:3">
      <c r="B2" s="104" t="s">
        <v>220</v>
      </c>
      <c r="C2" s="104" t="s">
        <v>219</v>
      </c>
    </row>
    <row r="3" spans="1:3">
      <c r="A3" t="s">
        <v>216</v>
      </c>
      <c r="B3">
        <v>3.15</v>
      </c>
      <c r="C3">
        <f>2.167</f>
        <v>2.1669999999999998</v>
      </c>
    </row>
    <row r="4" spans="1:3">
      <c r="A4" t="s">
        <v>217</v>
      </c>
      <c r="B4">
        <v>4.0999999999999996</v>
      </c>
      <c r="C4">
        <f>MAX(3.05,2.3)</f>
        <v>3.05</v>
      </c>
    </row>
    <row r="5" spans="1:3">
      <c r="A5" t="s">
        <v>218</v>
      </c>
      <c r="B5">
        <v>3.94</v>
      </c>
      <c r="C5">
        <f>MAX(3.29,2.3)</f>
        <v>3.29</v>
      </c>
    </row>
    <row r="6" spans="1:3">
      <c r="A6" s="105" t="s">
        <v>221</v>
      </c>
      <c r="B6" s="106">
        <f>MAX(B3:B5)</f>
        <v>4.0999999999999996</v>
      </c>
      <c r="C6" s="107">
        <f>MAX(C3:C5)</f>
        <v>3.29</v>
      </c>
    </row>
  </sheetData>
  <pageMargins left="0.78740157499999996" right="0.78740157499999996" top="0.984251969" bottom="0.984251969" header="0.5" footer="0.5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9" enableFormatConditionsCalculation="0"/>
  <dimension ref="A1:O134"/>
  <sheetViews>
    <sheetView workbookViewId="0">
      <selection activeCell="C18" sqref="C18"/>
    </sheetView>
  </sheetViews>
  <sheetFormatPr baseColWidth="10" defaultRowHeight="13" x14ac:dyDescent="0"/>
  <cols>
    <col min="1" max="1" width="37.28515625" customWidth="1"/>
    <col min="4" max="4" width="11.28515625" customWidth="1"/>
    <col min="5" max="5" width="21.7109375" customWidth="1"/>
    <col min="6" max="6" width="17.140625" customWidth="1"/>
    <col min="9" max="9" width="15.85546875" customWidth="1"/>
    <col min="12" max="12" width="14.5703125" customWidth="1"/>
  </cols>
  <sheetData>
    <row r="1" spans="1:7">
      <c r="A1" s="78" t="s">
        <v>269</v>
      </c>
      <c r="E1" s="109" t="s">
        <v>222</v>
      </c>
      <c r="F1" s="85">
        <f>B3/2</f>
        <v>2.0562499999999999</v>
      </c>
      <c r="G1" s="86" t="s">
        <v>85</v>
      </c>
    </row>
    <row r="2" spans="1:7">
      <c r="A2" s="148" t="s">
        <v>84</v>
      </c>
      <c r="B2" s="148">
        <f>8.533691</f>
        <v>8.5336909999999992</v>
      </c>
      <c r="C2" s="148" t="s">
        <v>85</v>
      </c>
      <c r="E2" s="110" t="s">
        <v>205</v>
      </c>
      <c r="F2" s="41">
        <f>B4</f>
        <v>14.9</v>
      </c>
      <c r="G2" s="89" t="s">
        <v>98</v>
      </c>
    </row>
    <row r="3" spans="1:7">
      <c r="A3" s="148" t="s">
        <v>86</v>
      </c>
      <c r="B3" s="148">
        <f>B6/0.8</f>
        <v>4.1124999999999998</v>
      </c>
      <c r="C3" s="148" t="s">
        <v>85</v>
      </c>
      <c r="E3" s="110" t="s">
        <v>223</v>
      </c>
      <c r="F3" s="41">
        <f>F8-F9</f>
        <v>3.4786229010685945</v>
      </c>
      <c r="G3" s="89" t="s">
        <v>85</v>
      </c>
    </row>
    <row r="4" spans="1:7">
      <c r="A4" t="s">
        <v>180</v>
      </c>
      <c r="B4">
        <v>14.9</v>
      </c>
      <c r="C4" t="s">
        <v>98</v>
      </c>
      <c r="E4" s="110" t="s">
        <v>224</v>
      </c>
      <c r="F4" s="41">
        <f>F9+F10</f>
        <v>4.5501780836491932</v>
      </c>
      <c r="G4" s="89" t="s">
        <v>85</v>
      </c>
    </row>
    <row r="5" spans="1:7">
      <c r="A5" t="s">
        <v>177</v>
      </c>
      <c r="B5">
        <v>1.17</v>
      </c>
      <c r="C5" t="s">
        <v>85</v>
      </c>
      <c r="E5" s="110" t="s">
        <v>225</v>
      </c>
      <c r="F5" s="41">
        <f>TAN(B4*PI()/180)</f>
        <v>0.26607942669201468</v>
      </c>
      <c r="G5" s="89" t="s">
        <v>64</v>
      </c>
    </row>
    <row r="6" spans="1:7">
      <c r="A6" t="s">
        <v>178</v>
      </c>
      <c r="B6">
        <f>Satellites!C6</f>
        <v>3.29</v>
      </c>
      <c r="C6" t="s">
        <v>85</v>
      </c>
      <c r="E6" s="110" t="s">
        <v>191</v>
      </c>
      <c r="F6" s="41">
        <f>B5/SQRT(1+F5^2)</f>
        <v>1.1306600128059554</v>
      </c>
      <c r="G6" s="89" t="s">
        <v>85</v>
      </c>
    </row>
    <row r="7" spans="1:7">
      <c r="A7" t="s">
        <v>179</v>
      </c>
      <c r="B7">
        <f>Satellites!B6</f>
        <v>4.0999999999999996</v>
      </c>
      <c r="C7" t="s">
        <v>85</v>
      </c>
      <c r="E7" s="110" t="s">
        <v>226</v>
      </c>
      <c r="F7" s="41">
        <f>SQRT(F4^2-B5^2)</f>
        <v>4.3971832566907469</v>
      </c>
      <c r="G7" s="89" t="s">
        <v>85</v>
      </c>
    </row>
    <row r="8" spans="1:7">
      <c r="A8" t="s">
        <v>259</v>
      </c>
      <c r="B8">
        <f>F6/B3</f>
        <v>0.27493252591026274</v>
      </c>
      <c r="C8" t="s">
        <v>64</v>
      </c>
      <c r="E8" s="110" t="s">
        <v>227</v>
      </c>
      <c r="F8" s="41">
        <f>F1/F5</f>
        <v>7.7279556167267938</v>
      </c>
      <c r="G8" s="89" t="s">
        <v>85</v>
      </c>
    </row>
    <row r="9" spans="1:7">
      <c r="A9" t="s">
        <v>258</v>
      </c>
      <c r="B9">
        <f>B2/B3</f>
        <v>2.0750616413373861</v>
      </c>
      <c r="C9" t="s">
        <v>64</v>
      </c>
      <c r="E9" s="110" t="s">
        <v>228</v>
      </c>
      <c r="F9" s="41">
        <f>F6/F5</f>
        <v>4.2493327156581993</v>
      </c>
      <c r="G9" s="89" t="s">
        <v>85</v>
      </c>
    </row>
    <row r="10" spans="1:7">
      <c r="A10" t="s">
        <v>294</v>
      </c>
      <c r="B10">
        <f>SQRT(1-F6^2/B5^2)*PI()*B5^2*(F3^2/F6^2-2)+2*PI()*B5*(B5+F3)</f>
        <v>42.429113741943809</v>
      </c>
      <c r="C10" t="s">
        <v>112</v>
      </c>
      <c r="E10" s="110" t="s">
        <v>229</v>
      </c>
      <c r="F10" s="41">
        <f>SQRT(B5^2-F6^2)</f>
        <v>0.30084536799099382</v>
      </c>
      <c r="G10" s="89" t="s">
        <v>85</v>
      </c>
    </row>
    <row r="11" spans="1:7">
      <c r="E11" s="110"/>
      <c r="F11" s="41"/>
      <c r="G11" s="89"/>
    </row>
    <row r="12" spans="1:7">
      <c r="A12" s="104" t="s">
        <v>549</v>
      </c>
      <c r="E12" s="110" t="s">
        <v>550</v>
      </c>
      <c r="F12" s="41"/>
      <c r="G12" s="89"/>
    </row>
    <row r="13" spans="1:7">
      <c r="A13" t="s">
        <v>397</v>
      </c>
      <c r="B13">
        <v>0.3</v>
      </c>
      <c r="C13" t="s">
        <v>85</v>
      </c>
      <c r="E13" s="110" t="s">
        <v>551</v>
      </c>
      <c r="F13" s="41">
        <v>4.3230000000000004</v>
      </c>
      <c r="G13" s="89" t="s">
        <v>85</v>
      </c>
    </row>
    <row r="14" spans="1:7">
      <c r="E14" s="110" t="s">
        <v>121</v>
      </c>
      <c r="F14" s="41">
        <v>4.21</v>
      </c>
      <c r="G14" s="89" t="s">
        <v>85</v>
      </c>
    </row>
    <row r="15" spans="1:7">
      <c r="A15" s="78" t="s">
        <v>422</v>
      </c>
      <c r="E15" s="110"/>
      <c r="F15" s="41"/>
      <c r="G15" s="89"/>
    </row>
    <row r="16" spans="1:7">
      <c r="A16" t="s">
        <v>397</v>
      </c>
      <c r="B16">
        <v>1</v>
      </c>
      <c r="C16" t="s">
        <v>85</v>
      </c>
      <c r="E16" s="110" t="s">
        <v>230</v>
      </c>
      <c r="F16" s="41">
        <f>F3-F10</f>
        <v>3.1777775330776006</v>
      </c>
      <c r="G16" s="89" t="s">
        <v>85</v>
      </c>
    </row>
    <row r="17" spans="1:15">
      <c r="A17" s="150"/>
      <c r="B17" s="150"/>
      <c r="C17" s="150"/>
      <c r="D17" s="150"/>
      <c r="E17" s="110" t="s">
        <v>265</v>
      </c>
      <c r="F17" s="41">
        <f>F16+B5</f>
        <v>4.3477775330776005</v>
      </c>
      <c r="G17" s="89" t="s">
        <v>85</v>
      </c>
    </row>
    <row r="18" spans="1:15">
      <c r="A18" s="78" t="s">
        <v>314</v>
      </c>
      <c r="E18" s="111" t="s">
        <v>121</v>
      </c>
      <c r="F18" s="92">
        <f>B7-(F1-B6/2)/F5</f>
        <v>2.5544088766546413</v>
      </c>
      <c r="G18" s="93" t="s">
        <v>85</v>
      </c>
    </row>
    <row r="19" spans="1:15">
      <c r="A19" s="104" t="s">
        <v>552</v>
      </c>
      <c r="O19" s="94"/>
    </row>
    <row r="20" spans="1:15">
      <c r="A20" t="s">
        <v>282</v>
      </c>
      <c r="B20" s="80">
        <f>'Moteur Etage 3'!B36/2</f>
        <v>1.8</v>
      </c>
      <c r="C20" t="s">
        <v>85</v>
      </c>
      <c r="D20" s="143" t="s">
        <v>326</v>
      </c>
      <c r="E20" s="143"/>
      <c r="F20" s="144" t="s">
        <v>291</v>
      </c>
      <c r="G20" s="143"/>
      <c r="H20" s="143"/>
      <c r="I20" s="143"/>
      <c r="J20" s="143"/>
      <c r="K20" s="143"/>
      <c r="L20" s="144" t="s">
        <v>452</v>
      </c>
      <c r="M20" s="143"/>
      <c r="N20" s="143"/>
      <c r="O20" s="94"/>
    </row>
    <row r="21" spans="1:15">
      <c r="A21" t="s">
        <v>283</v>
      </c>
      <c r="B21">
        <f ca="1">B22/(PI()*B20^2)</f>
        <v>3.2128001123315046</v>
      </c>
      <c r="C21" t="s">
        <v>85</v>
      </c>
      <c r="F21" s="143" t="s">
        <v>289</v>
      </c>
      <c r="G21" s="143">
        <v>5</v>
      </c>
      <c r="H21" s="145" t="s">
        <v>64</v>
      </c>
      <c r="I21" s="143"/>
      <c r="J21" s="143"/>
      <c r="K21" s="143"/>
      <c r="L21" s="143" t="s">
        <v>453</v>
      </c>
      <c r="M21" s="143">
        <v>5</v>
      </c>
      <c r="N21" s="143" t="s">
        <v>64</v>
      </c>
      <c r="O21" s="94"/>
    </row>
    <row r="22" spans="1:15">
      <c r="A22" t="s">
        <v>284</v>
      </c>
      <c r="B22">
        <f ca="1">'Moteur Etage 3'!B21-2*B25</f>
        <v>32.702321906344103</v>
      </c>
      <c r="C22" t="s">
        <v>277</v>
      </c>
      <c r="F22" s="143" t="s">
        <v>290</v>
      </c>
      <c r="G22" s="143">
        <f ca="1">('Moteur Etage 3'!B21/G21*3/(PI()*4))^(1/3)</f>
        <v>1.2862792778114136</v>
      </c>
      <c r="H22" s="145" t="s">
        <v>85</v>
      </c>
      <c r="I22" s="143"/>
      <c r="J22" s="143"/>
      <c r="K22" s="143"/>
      <c r="L22" s="143" t="s">
        <v>282</v>
      </c>
      <c r="M22" s="146">
        <f>B79/2</f>
        <v>1.8</v>
      </c>
      <c r="N22" s="143" t="s">
        <v>85</v>
      </c>
      <c r="O22" s="94"/>
    </row>
    <row r="23" spans="1:15" ht="12.75" customHeight="1">
      <c r="A23" t="s">
        <v>285</v>
      </c>
      <c r="B23">
        <f xml:space="preserve"> 1.15*B20</f>
        <v>2.0699999999999998</v>
      </c>
      <c r="C23" t="s">
        <v>85</v>
      </c>
      <c r="F23" s="143"/>
      <c r="G23" s="143"/>
      <c r="H23" s="143"/>
      <c r="I23" s="143"/>
      <c r="J23" s="143"/>
      <c r="K23" s="143"/>
      <c r="L23" s="143" t="s">
        <v>283</v>
      </c>
      <c r="M23" s="143">
        <f ca="1">M24/(PI()*M22^2)</f>
        <v>-0.29035636917126717</v>
      </c>
      <c r="N23" s="143" t="s">
        <v>85</v>
      </c>
      <c r="O23" s="94"/>
    </row>
    <row r="24" spans="1:15" ht="12.75" customHeight="1">
      <c r="A24" t="s">
        <v>286</v>
      </c>
      <c r="B24" s="80">
        <f>B23-SQRT(B23^2-B20^2)</f>
        <v>1.0477964977559509</v>
      </c>
      <c r="C24" t="s">
        <v>85</v>
      </c>
      <c r="F24" s="144" t="s">
        <v>325</v>
      </c>
      <c r="G24" s="143"/>
      <c r="H24" s="143"/>
      <c r="I24" s="143"/>
      <c r="J24" s="143"/>
      <c r="K24" s="143"/>
      <c r="L24" s="143" t="s">
        <v>284</v>
      </c>
      <c r="M24" s="143">
        <f ca="1">'Moteur Etage 3'!B21/M21-2*M27</f>
        <v>-2.955467853649127</v>
      </c>
      <c r="N24" s="143" t="s">
        <v>277</v>
      </c>
      <c r="O24" s="94"/>
    </row>
    <row r="25" spans="1:15">
      <c r="A25" t="s">
        <v>287</v>
      </c>
      <c r="B25">
        <f>PI()*B24^2*(B23-B24/3)</f>
        <v>5.934957646823718</v>
      </c>
      <c r="C25" t="s">
        <v>277</v>
      </c>
      <c r="F25" s="143" t="s">
        <v>280</v>
      </c>
      <c r="G25" s="146">
        <f>'Moteur Etage 3'!B36/(2*SQRT(2)+2)</f>
        <v>0.74558441227157113</v>
      </c>
      <c r="H25" s="143" t="s">
        <v>85</v>
      </c>
      <c r="I25" s="143"/>
      <c r="J25" s="143"/>
      <c r="K25" s="143"/>
      <c r="L25" s="143" t="s">
        <v>285</v>
      </c>
      <c r="M25" s="143">
        <f xml:space="preserve"> 1.15*M22</f>
        <v>2.0699999999999998</v>
      </c>
      <c r="N25" s="143" t="s">
        <v>85</v>
      </c>
      <c r="O25" s="94"/>
    </row>
    <row r="26" spans="1:15">
      <c r="B26" s="80">
        <f ca="1">2*B24+B21</f>
        <v>5.3083931078434059</v>
      </c>
      <c r="F26" s="143" t="s">
        <v>278</v>
      </c>
      <c r="G26" s="147">
        <v>0.05</v>
      </c>
      <c r="H26" s="143" t="s">
        <v>64</v>
      </c>
      <c r="I26" s="143"/>
      <c r="J26" s="143"/>
      <c r="K26" s="143"/>
      <c r="L26" s="143" t="s">
        <v>286</v>
      </c>
      <c r="M26" s="146">
        <f>M25-SQRT(M25^2-M22^2)</f>
        <v>1.0477964977559509</v>
      </c>
      <c r="N26" s="143" t="s">
        <v>85</v>
      </c>
      <c r="O26" s="94"/>
    </row>
    <row r="27" spans="1:15">
      <c r="F27" s="143" t="s">
        <v>279</v>
      </c>
      <c r="G27" s="143">
        <f>G25-G25*G26</f>
        <v>0.70830519165799255</v>
      </c>
      <c r="H27" s="143" t="s">
        <v>85</v>
      </c>
      <c r="I27" s="143"/>
      <c r="J27" s="143"/>
      <c r="K27" s="143"/>
      <c r="L27" s="143" t="s">
        <v>287</v>
      </c>
      <c r="M27" s="143">
        <f>PI()*M26^2*(M25-M26/3)</f>
        <v>5.934957646823718</v>
      </c>
      <c r="N27" s="143" t="s">
        <v>277</v>
      </c>
      <c r="O27" s="94"/>
    </row>
    <row r="28" spans="1:15">
      <c r="F28" s="143"/>
      <c r="G28" s="143"/>
      <c r="H28" s="143"/>
      <c r="I28" s="143"/>
      <c r="J28" s="143"/>
      <c r="K28" s="143"/>
      <c r="L28" s="143"/>
      <c r="M28" s="143"/>
      <c r="N28" s="143"/>
      <c r="O28" s="94"/>
    </row>
    <row r="29" spans="1:15">
      <c r="I29" s="144" t="s">
        <v>293</v>
      </c>
      <c r="J29" s="143"/>
      <c r="K29" s="143"/>
      <c r="L29" s="143"/>
      <c r="M29" s="143"/>
      <c r="N29" s="143"/>
      <c r="O29" s="94"/>
    </row>
    <row r="30" spans="1:15">
      <c r="I30" s="143" t="s">
        <v>554</v>
      </c>
      <c r="J30" s="146">
        <f>'Moteur Etage 3'!B36/2</f>
        <v>1.8</v>
      </c>
      <c r="K30" s="143" t="s">
        <v>85</v>
      </c>
      <c r="L30" s="143"/>
      <c r="M30" s="143"/>
      <c r="N30" s="143"/>
      <c r="O30" s="94"/>
    </row>
    <row r="31" spans="1:15">
      <c r="A31" s="161" t="s">
        <v>292</v>
      </c>
      <c r="B31" s="94"/>
      <c r="C31" s="94"/>
      <c r="I31" s="143" t="s">
        <v>283</v>
      </c>
      <c r="J31" s="143">
        <f ca="1">J32/(PI()*J30^2)</f>
        <v>0.347658862061624</v>
      </c>
      <c r="K31" s="143" t="s">
        <v>85</v>
      </c>
      <c r="L31" s="143"/>
      <c r="M31" s="143"/>
      <c r="N31" s="143"/>
      <c r="O31" s="94"/>
    </row>
    <row r="32" spans="1:15">
      <c r="A32" s="94" t="s">
        <v>554</v>
      </c>
      <c r="B32" s="95">
        <f>B20-0.3</f>
        <v>1.5</v>
      </c>
      <c r="C32" s="94" t="s">
        <v>85</v>
      </c>
      <c r="I32" s="143" t="s">
        <v>555</v>
      </c>
      <c r="J32" s="143">
        <f ca="1">'Moteur Etage 3'!G21-2*J35</f>
        <v>3.5387361875065206</v>
      </c>
      <c r="K32" s="143" t="s">
        <v>277</v>
      </c>
      <c r="L32" s="143"/>
      <c r="M32" s="143"/>
      <c r="N32" s="143"/>
      <c r="O32" s="94"/>
    </row>
    <row r="33" spans="1:15">
      <c r="A33" s="94" t="s">
        <v>283</v>
      </c>
      <c r="B33" s="94">
        <f ca="1">B34/(PI()*B32^2)</f>
        <v>1.2080903583605611</v>
      </c>
      <c r="C33" s="94" t="s">
        <v>85</v>
      </c>
      <c r="I33" s="143" t="s">
        <v>285</v>
      </c>
      <c r="J33" s="143">
        <f xml:space="preserve"> 1.15*J30</f>
        <v>2.0699999999999998</v>
      </c>
      <c r="K33" s="143" t="s">
        <v>85</v>
      </c>
      <c r="L33" s="143"/>
      <c r="M33" s="143"/>
      <c r="N33" s="143"/>
      <c r="O33" s="94"/>
    </row>
    <row r="34" spans="1:15">
      <c r="A34" s="94" t="s">
        <v>555</v>
      </c>
      <c r="B34" s="94">
        <f ca="1">'Moteur Etage 3'!G21-2*B37</f>
        <v>8.539487538070949</v>
      </c>
      <c r="C34" s="94" t="s">
        <v>277</v>
      </c>
      <c r="I34" s="143" t="s">
        <v>286</v>
      </c>
      <c r="J34" s="146">
        <f>J33-SQRT(J33^2-J30^2)</f>
        <v>1.0477964977559509</v>
      </c>
      <c r="K34" s="143" t="s">
        <v>85</v>
      </c>
      <c r="L34" s="143"/>
      <c r="M34" s="143"/>
      <c r="N34" s="143"/>
      <c r="O34" s="94"/>
    </row>
    <row r="35" spans="1:15">
      <c r="A35" s="94" t="s">
        <v>285</v>
      </c>
      <c r="B35" s="94">
        <f xml:space="preserve"> 1.15*B32</f>
        <v>1.7249999999999999</v>
      </c>
      <c r="C35" s="94" t="s">
        <v>85</v>
      </c>
      <c r="I35" s="143" t="s">
        <v>287</v>
      </c>
      <c r="J35" s="143">
        <f>PI()*J34^2*(J33-J34/3)</f>
        <v>5.934957646823718</v>
      </c>
      <c r="K35" s="143" t="s">
        <v>277</v>
      </c>
      <c r="L35" s="143"/>
      <c r="M35" s="143"/>
      <c r="N35" s="143"/>
      <c r="O35" s="94"/>
    </row>
    <row r="36" spans="1:15">
      <c r="A36" s="94" t="s">
        <v>286</v>
      </c>
      <c r="B36" s="95">
        <f>B35-SQRT(B35^2-B32^2)</f>
        <v>0.87316374812995912</v>
      </c>
      <c r="C36" s="94" t="s">
        <v>85</v>
      </c>
      <c r="I36" s="143" t="s">
        <v>322</v>
      </c>
      <c r="J36" s="143">
        <f ca="1">J34*2+J31</f>
        <v>2.4432518575735256</v>
      </c>
      <c r="K36" s="143"/>
      <c r="L36" s="143"/>
      <c r="M36" s="143"/>
      <c r="N36" s="143"/>
      <c r="O36" s="94"/>
    </row>
    <row r="37" spans="1:15">
      <c r="A37" s="94" t="s">
        <v>557</v>
      </c>
      <c r="B37" s="94">
        <f>PI()*B36^2*(B35-B36/3)</f>
        <v>3.4345819715415038</v>
      </c>
      <c r="C37" s="94" t="s">
        <v>277</v>
      </c>
      <c r="F37" s="144" t="s">
        <v>288</v>
      </c>
      <c r="G37" s="143"/>
      <c r="H37" s="143"/>
      <c r="I37" s="143"/>
      <c r="J37" s="143"/>
      <c r="K37" s="143"/>
      <c r="L37" s="143"/>
      <c r="M37" s="143"/>
      <c r="N37" s="143"/>
      <c r="O37" s="94"/>
    </row>
    <row r="38" spans="1:15">
      <c r="A38" s="94" t="s">
        <v>605</v>
      </c>
      <c r="B38" s="94">
        <f ca="1">B33+2*B36</f>
        <v>2.9544178546204796</v>
      </c>
      <c r="C38" s="94" t="s">
        <v>85</v>
      </c>
      <c r="F38" s="143" t="s">
        <v>321</v>
      </c>
      <c r="G38" s="143">
        <f ca="1">('Moteur Etage 3'!G21*3/(PI()*4))^(1/3)</f>
        <v>1.543684965078483</v>
      </c>
      <c r="H38" s="143"/>
      <c r="I38" s="143" t="s">
        <v>323</v>
      </c>
      <c r="J38" s="143">
        <f ca="1">B21+2*B24+J36</f>
        <v>7.751644965416931</v>
      </c>
      <c r="K38" s="143"/>
      <c r="L38" s="143"/>
      <c r="M38" s="143"/>
      <c r="N38" s="143"/>
      <c r="O38" s="94"/>
    </row>
    <row r="39" spans="1:15">
      <c r="F39" s="94"/>
      <c r="G39" s="94"/>
      <c r="H39" s="94"/>
      <c r="I39" s="94"/>
      <c r="J39" s="94"/>
      <c r="K39" s="94"/>
      <c r="L39" s="94"/>
      <c r="M39" s="94"/>
      <c r="N39" s="94"/>
      <c r="O39" s="94"/>
    </row>
    <row r="40" spans="1:15">
      <c r="F40" s="94" t="s">
        <v>564</v>
      </c>
      <c r="G40" s="94"/>
      <c r="H40" s="94">
        <f>(B3-B79)/2</f>
        <v>0.25624999999999987</v>
      </c>
      <c r="I40" s="94" t="s">
        <v>85</v>
      </c>
    </row>
    <row r="41" spans="1:15">
      <c r="A41" s="148" t="s">
        <v>318</v>
      </c>
      <c r="B41" s="148">
        <f ca="1">B21+2*B24+2*B36+B33</f>
        <v>8.2628109624638846</v>
      </c>
      <c r="C41" s="148" t="s">
        <v>85</v>
      </c>
      <c r="D41" s="148"/>
      <c r="F41" s="94" t="s">
        <v>566</v>
      </c>
      <c r="G41" s="94"/>
      <c r="H41" s="94">
        <f>ATAN((H40/B75))/PI()*180</f>
        <v>10.037011134430488</v>
      </c>
      <c r="I41" s="94" t="s">
        <v>98</v>
      </c>
    </row>
    <row r="42" spans="1:15">
      <c r="A42" s="94"/>
      <c r="B42" s="94"/>
      <c r="C42" s="94"/>
      <c r="D42" s="94"/>
      <c r="F42" s="94" t="s">
        <v>568</v>
      </c>
      <c r="H42">
        <f>H40/SIN(H41*PI()/180)</f>
        <v>1.4702988680585991</v>
      </c>
      <c r="I42" s="94" t="s">
        <v>85</v>
      </c>
    </row>
    <row r="43" spans="1:15">
      <c r="A43" s="161" t="s">
        <v>556</v>
      </c>
      <c r="B43" s="94"/>
      <c r="C43" s="94"/>
      <c r="D43" s="94"/>
    </row>
    <row r="44" spans="1:15">
      <c r="A44" s="94" t="s">
        <v>558</v>
      </c>
      <c r="B44" s="94">
        <v>1</v>
      </c>
      <c r="C44" s="94" t="s">
        <v>64</v>
      </c>
      <c r="D44" s="94"/>
      <c r="I44" s="104" t="s">
        <v>553</v>
      </c>
    </row>
    <row r="45" spans="1:15">
      <c r="A45" s="94" t="s">
        <v>559</v>
      </c>
      <c r="B45" s="94">
        <f ca="1">(3*'Moteur Etage 3'!B54/B44/PI()/4)^(1/3)</f>
        <v>0.19449211819086129</v>
      </c>
      <c r="C45" s="94" t="s">
        <v>85</v>
      </c>
      <c r="D45" s="94"/>
      <c r="I45" t="s">
        <v>295</v>
      </c>
      <c r="J45">
        <f ca="1" xml:space="preserve"> SQRT('Moteur Etage 3'!G21/(2*PI()^2*J46))</f>
        <v>0.62474450906005974</v>
      </c>
      <c r="K45" t="s">
        <v>85</v>
      </c>
    </row>
    <row r="46" spans="1:15">
      <c r="A46" s="143" t="s">
        <v>560</v>
      </c>
      <c r="B46" s="143">
        <v>1</v>
      </c>
      <c r="C46" s="143" t="s">
        <v>64</v>
      </c>
      <c r="D46" s="94" t="s">
        <v>561</v>
      </c>
      <c r="I46" t="s">
        <v>296</v>
      </c>
      <c r="J46" s="80">
        <v>2</v>
      </c>
      <c r="K46" t="s">
        <v>85</v>
      </c>
    </row>
    <row r="47" spans="1:15">
      <c r="A47" s="143" t="s">
        <v>562</v>
      </c>
      <c r="B47" s="143">
        <f ca="1">(3*'Moteur Etage 3'!B51/B46/PI()/4)^(1/3)</f>
        <v>0.27346117817411214</v>
      </c>
      <c r="C47" s="143" t="s">
        <v>85</v>
      </c>
      <c r="D47" s="94" t="s">
        <v>563</v>
      </c>
      <c r="I47" t="s">
        <v>84</v>
      </c>
      <c r="J47">
        <f ca="1">2*J45</f>
        <v>1.2494890181201195</v>
      </c>
      <c r="K47" t="s">
        <v>85</v>
      </c>
    </row>
    <row r="48" spans="1:15">
      <c r="I48" t="s">
        <v>281</v>
      </c>
      <c r="J48" s="80">
        <f ca="1">J46+J45</f>
        <v>2.6247445090600596</v>
      </c>
      <c r="K48" t="s">
        <v>85</v>
      </c>
    </row>
    <row r="49" spans="1:8">
      <c r="A49" s="104" t="s">
        <v>565</v>
      </c>
    </row>
    <row r="50" spans="1:8">
      <c r="A50" t="s">
        <v>567</v>
      </c>
      <c r="B50" s="80">
        <f>(J46^2+B64^2)^(-1/2)</f>
        <v>0.45596075258755314</v>
      </c>
      <c r="C50" t="s">
        <v>85</v>
      </c>
      <c r="G50" t="s">
        <v>606</v>
      </c>
      <c r="H50">
        <f>(J46^2+B64^2)^(-1/2)</f>
        <v>0.45596075258755314</v>
      </c>
    </row>
    <row r="51" spans="1:8">
      <c r="A51" t="s">
        <v>569</v>
      </c>
      <c r="B51" s="80">
        <f ca="1">SQRT(B79^2/4+B71^2)+B38+SQRT(B79^2/4+B64^2/4)</f>
        <v>6.6537242776070045</v>
      </c>
      <c r="C51" t="s">
        <v>85</v>
      </c>
      <c r="D51" t="s">
        <v>315</v>
      </c>
    </row>
    <row r="52" spans="1:8">
      <c r="D52" t="s">
        <v>308</v>
      </c>
      <c r="E52">
        <f>E53</f>
        <v>0.9</v>
      </c>
      <c r="F52" t="s">
        <v>85</v>
      </c>
    </row>
    <row r="53" spans="1:8">
      <c r="A53" s="104" t="s">
        <v>570</v>
      </c>
      <c r="D53" t="s">
        <v>307</v>
      </c>
      <c r="E53">
        <f>1/4*B79</f>
        <v>0.9</v>
      </c>
      <c r="F53" t="s">
        <v>85</v>
      </c>
    </row>
    <row r="54" spans="1:8">
      <c r="A54" t="s">
        <v>571</v>
      </c>
      <c r="B54">
        <f>B44</f>
        <v>1</v>
      </c>
      <c r="C54" t="s">
        <v>64</v>
      </c>
      <c r="D54" t="s">
        <v>306</v>
      </c>
      <c r="E54" s="80">
        <f>E55</f>
        <v>0.9</v>
      </c>
      <c r="F54" t="s">
        <v>85</v>
      </c>
    </row>
    <row r="55" spans="1:8">
      <c r="A55" t="s">
        <v>567</v>
      </c>
      <c r="B55">
        <f ca="1">3*B45+B38+B32+B64/2</f>
        <v>5.4878942091930636</v>
      </c>
      <c r="C55" t="s">
        <v>85</v>
      </c>
      <c r="D55" t="s">
        <v>305</v>
      </c>
      <c r="E55" s="80">
        <f>E52</f>
        <v>0.9</v>
      </c>
      <c r="F55" t="s">
        <v>85</v>
      </c>
    </row>
    <row r="56" spans="1:8">
      <c r="A56" t="s">
        <v>572</v>
      </c>
      <c r="B56">
        <f>B46</f>
        <v>1</v>
      </c>
      <c r="C56" t="s">
        <v>64</v>
      </c>
      <c r="D56" t="s">
        <v>309</v>
      </c>
      <c r="E56" s="80">
        <f ca="1">'Moteur Etage 3'!B31-E53</f>
        <v>0.17767628356475484</v>
      </c>
      <c r="F56" t="s">
        <v>85</v>
      </c>
    </row>
    <row r="57" spans="1:8">
      <c r="A57" t="s">
        <v>569</v>
      </c>
      <c r="B57">
        <f ca="1">(('Moteur Etage 3'!B36/2-'Moteur Etage 3'!B31)^2+(Géométrie!B62-'Moteur Etage 3'!B34)^2)^(-1/2)+ 2*J45+B71+2*B24+B21+B79/2</f>
        <v>9.6913859865594159</v>
      </c>
      <c r="C57" t="s">
        <v>85</v>
      </c>
    </row>
    <row r="59" spans="1:8">
      <c r="A59" t="s">
        <v>611</v>
      </c>
      <c r="B59">
        <f ca="1">'Moteur Etage 3'!G23*10</f>
        <v>0.28745949457346365</v>
      </c>
      <c r="C59" t="s">
        <v>85</v>
      </c>
    </row>
    <row r="61" spans="1:8">
      <c r="A61" s="104" t="s">
        <v>297</v>
      </c>
    </row>
    <row r="62" spans="1:8">
      <c r="A62" t="s">
        <v>299</v>
      </c>
      <c r="B62">
        <f>E52</f>
        <v>0.9</v>
      </c>
      <c r="C62" t="s">
        <v>85</v>
      </c>
    </row>
    <row r="63" spans="1:8">
      <c r="A63" t="s">
        <v>298</v>
      </c>
      <c r="B63">
        <f>E53</f>
        <v>0.9</v>
      </c>
      <c r="C63" t="s">
        <v>85</v>
      </c>
    </row>
    <row r="64" spans="1:8">
      <c r="A64" t="s">
        <v>300</v>
      </c>
      <c r="B64" s="80">
        <f>E54</f>
        <v>0.9</v>
      </c>
      <c r="C64" t="s">
        <v>85</v>
      </c>
    </row>
    <row r="65" spans="1:6">
      <c r="A65" t="s">
        <v>301</v>
      </c>
      <c r="B65" s="80">
        <f>E55</f>
        <v>0.9</v>
      </c>
      <c r="C65" t="s">
        <v>85</v>
      </c>
    </row>
    <row r="66" spans="1:6">
      <c r="A66" t="s">
        <v>302</v>
      </c>
      <c r="B66" s="80">
        <f ca="1">E56</f>
        <v>0.17767628356475484</v>
      </c>
      <c r="C66" t="s">
        <v>85</v>
      </c>
    </row>
    <row r="67" spans="1:6">
      <c r="A67" t="s">
        <v>311</v>
      </c>
      <c r="B67">
        <f ca="1" xml:space="preserve"> ATAN(('Moteur Etage 3'!B28)/'Moteur Etage 3'!B31)*180/PI()</f>
        <v>49.75786366943818</v>
      </c>
      <c r="C67" t="s">
        <v>98</v>
      </c>
    </row>
    <row r="68" spans="1:6">
      <c r="A68" t="s">
        <v>312</v>
      </c>
      <c r="B68">
        <f ca="1">(TAN(15*PI()/180)*'Moteur Etage 3'!B31+'Moteur Etage 3'!B28)*2</f>
        <v>3.1242389542079008</v>
      </c>
      <c r="C68" t="s">
        <v>85</v>
      </c>
    </row>
    <row r="69" spans="1:6">
      <c r="A69" t="s">
        <v>573</v>
      </c>
      <c r="B69">
        <f ca="1">(B79-'Moteur Etage 3'!B28)/2/TAN(15*PI()/180)</f>
        <v>4.3415749673839219</v>
      </c>
      <c r="C69" t="s">
        <v>85</v>
      </c>
    </row>
    <row r="70" spans="1:6">
      <c r="A70" t="s">
        <v>574</v>
      </c>
      <c r="B70" s="80">
        <f ca="1">2*B36+B59+'Moteur Etage 3'!B34+'Moteur Etage 3'!B31+F70-B63+2*B71+B33+B24</f>
        <v>5.4946000899150658</v>
      </c>
      <c r="C70" t="s">
        <v>85</v>
      </c>
      <c r="E70" t="s">
        <v>612</v>
      </c>
      <c r="F70">
        <f ca="1">TAN(PI()/4)*('Moteur Etage 3'!B32-'Moteur Etage 3'!B27/2)</f>
        <v>0.11831775999253911</v>
      </c>
    </row>
    <row r="71" spans="1:6">
      <c r="A71" t="s">
        <v>575</v>
      </c>
      <c r="B71" s="80">
        <f>0.4</f>
        <v>0.4</v>
      </c>
      <c r="C71" t="s">
        <v>85</v>
      </c>
    </row>
    <row r="72" spans="1:6">
      <c r="B72" s="80"/>
    </row>
    <row r="73" spans="1:6">
      <c r="B73">
        <v>0</v>
      </c>
    </row>
    <row r="74" spans="1:6">
      <c r="A74" s="104" t="s">
        <v>313</v>
      </c>
    </row>
    <row r="75" spans="1:6">
      <c r="A75" t="s">
        <v>576</v>
      </c>
      <c r="B75" s="80">
        <f xml:space="preserve"> B24+B71</f>
        <v>1.447796497755951</v>
      </c>
      <c r="C75" t="s">
        <v>85</v>
      </c>
    </row>
    <row r="76" spans="1:6">
      <c r="B76" s="80"/>
    </row>
    <row r="77" spans="1:6">
      <c r="A77" t="s">
        <v>599</v>
      </c>
      <c r="B77">
        <f ca="1">(B78+B63)/B79</f>
        <v>3.0708879722229221</v>
      </c>
      <c r="C77" t="s">
        <v>607</v>
      </c>
      <c r="D77" t="s">
        <v>600</v>
      </c>
    </row>
    <row r="78" spans="1:6">
      <c r="A78" s="148" t="s">
        <v>316</v>
      </c>
      <c r="B78" s="149">
        <f ca="1">B75+B70+B21</f>
        <v>10.15519670000252</v>
      </c>
      <c r="C78" s="148" t="s">
        <v>85</v>
      </c>
    </row>
    <row r="79" spans="1:6">
      <c r="A79" s="148" t="s">
        <v>317</v>
      </c>
      <c r="B79" s="149">
        <f>3.6</f>
        <v>3.6</v>
      </c>
      <c r="C79" s="148" t="s">
        <v>85</v>
      </c>
    </row>
    <row r="80" spans="1:6">
      <c r="A80" s="150"/>
      <c r="B80" s="150"/>
      <c r="C80" s="150"/>
      <c r="D80" s="150"/>
    </row>
    <row r="81" spans="1:10">
      <c r="A81" s="78" t="s">
        <v>320</v>
      </c>
    </row>
    <row r="82" spans="1:10">
      <c r="A82" t="s">
        <v>184</v>
      </c>
      <c r="B82" s="80">
        <f ca="1">'Moteur Etage 2'!B20</f>
        <v>47.309128736657648</v>
      </c>
      <c r="C82" t="s">
        <v>277</v>
      </c>
    </row>
    <row r="83" spans="1:10">
      <c r="A83" t="s">
        <v>282</v>
      </c>
      <c r="B83">
        <f>B104/2</f>
        <v>1.55</v>
      </c>
      <c r="C83" t="s">
        <v>85</v>
      </c>
      <c r="D83" s="151"/>
    </row>
    <row r="84" spans="1:10">
      <c r="A84" t="s">
        <v>283</v>
      </c>
      <c r="B84">
        <f ca="1">B85/(PI()*B83^2)</f>
        <v>5.1442253676602627</v>
      </c>
      <c r="C84" t="s">
        <v>85</v>
      </c>
    </row>
    <row r="85" spans="1:10">
      <c r="A85" t="s">
        <v>284</v>
      </c>
      <c r="B85">
        <f ca="1">'Moteur Etage 2'!B20+B91-2*B87</f>
        <v>38.826948147842799</v>
      </c>
      <c r="C85" t="s">
        <v>277</v>
      </c>
      <c r="E85" t="s">
        <v>577</v>
      </c>
      <c r="F85">
        <f ca="1">B84+2*B86</f>
        <v>6.9340112021481026</v>
      </c>
      <c r="G85" t="s">
        <v>85</v>
      </c>
    </row>
    <row r="86" spans="1:10">
      <c r="A86" t="s">
        <v>286</v>
      </c>
      <c r="B86" s="80">
        <f>B104/2/SQRT(3)</f>
        <v>0.89489291724392006</v>
      </c>
      <c r="C86" t="s">
        <v>85</v>
      </c>
      <c r="D86" t="s">
        <v>601</v>
      </c>
    </row>
    <row r="87" spans="1:10">
      <c r="A87" t="s">
        <v>287</v>
      </c>
      <c r="B87">
        <f>4/3/2*PI()*(B104/2)^2*B86</f>
        <v>4.5029080716584664</v>
      </c>
      <c r="C87" t="s">
        <v>277</v>
      </c>
    </row>
    <row r="88" spans="1:10">
      <c r="A88" t="s">
        <v>578</v>
      </c>
      <c r="B88" s="80">
        <f ca="1">'Moteur Etage 2'!B28*0.8</f>
        <v>1.6725113584004909</v>
      </c>
      <c r="C88" t="s">
        <v>85</v>
      </c>
    </row>
    <row r="89" spans="1:10">
      <c r="A89" t="s">
        <v>185</v>
      </c>
      <c r="B89">
        <v>15</v>
      </c>
      <c r="C89" t="s">
        <v>98</v>
      </c>
      <c r="D89" t="s">
        <v>324</v>
      </c>
      <c r="I89" s="80">
        <f>(B79-B104)/2</f>
        <v>0.25</v>
      </c>
      <c r="J89" t="s">
        <v>85</v>
      </c>
    </row>
    <row r="90" spans="1:10">
      <c r="A90" t="s">
        <v>602</v>
      </c>
      <c r="B90">
        <f ca="1">0.2*'Moteur Etage 2'!B28*TAN('Moteur Etage 2'!B27)+'Moteur Etage 2'!B25/2</f>
        <v>0.83071727168930498</v>
      </c>
      <c r="C90" t="s">
        <v>85</v>
      </c>
      <c r="I90">
        <f ca="1">ATAN(I89/(B102+B70))/PI()*180</f>
        <v>1.8621385243918946</v>
      </c>
      <c r="J90" t="s">
        <v>98</v>
      </c>
    </row>
    <row r="91" spans="1:10">
      <c r="A91" t="s">
        <v>579</v>
      </c>
      <c r="B91">
        <f ca="1">0.2*'Moteur Etage 2'!B28/3*('Moteur Etage 2'!B23+PI()*Géométrie!B90^2+SQRT('Moteur Etage 2'!B23+PI()*Géométrie!B90^2))</f>
        <v>0.52363555450208421</v>
      </c>
      <c r="C91" t="s">
        <v>277</v>
      </c>
      <c r="I91">
        <f ca="1">B85+TAN(I90*PI()/180)*(B69+B67)*2</f>
        <v>42.34469883611672</v>
      </c>
      <c r="J91" t="s">
        <v>85</v>
      </c>
    </row>
    <row r="92" spans="1:10">
      <c r="I92">
        <f ca="1">B78/COS(I90*PI()/180)</f>
        <v>10.160562422762595</v>
      </c>
      <c r="J92" t="s">
        <v>85</v>
      </c>
    </row>
    <row r="93" spans="1:10">
      <c r="I93">
        <f ca="1">B108/COS(I90*PI()/180)</f>
        <v>0</v>
      </c>
      <c r="J93" t="s">
        <v>85</v>
      </c>
    </row>
    <row r="94" spans="1:10">
      <c r="A94" s="104" t="s">
        <v>297</v>
      </c>
    </row>
    <row r="95" spans="1:10">
      <c r="A95" t="s">
        <v>110</v>
      </c>
      <c r="B95" s="80">
        <f ca="1">'Moteur Etage 2'!B26</f>
        <v>2.108179886617088</v>
      </c>
      <c r="C95" t="s">
        <v>85</v>
      </c>
    </row>
    <row r="96" spans="1:10">
      <c r="A96" t="s">
        <v>187</v>
      </c>
      <c r="B96">
        <f ca="1">(B104-B95)/(2*TAN(B89*PI()/180))</f>
        <v>1.8507615275568763</v>
      </c>
      <c r="C96" t="s">
        <v>85</v>
      </c>
      <c r="D96" t="s">
        <v>186</v>
      </c>
      <c r="G96" t="s">
        <v>580</v>
      </c>
    </row>
    <row r="97" spans="1:10">
      <c r="A97" t="s">
        <v>188</v>
      </c>
      <c r="B97" s="80">
        <f ca="1">B88-B96+B86</f>
        <v>0.7166427480875347</v>
      </c>
      <c r="C97" t="s">
        <v>85</v>
      </c>
      <c r="D97" t="s">
        <v>189</v>
      </c>
      <c r="G97" t="s">
        <v>581</v>
      </c>
    </row>
    <row r="98" spans="1:10">
      <c r="A98" t="s">
        <v>582</v>
      </c>
      <c r="B98" s="80">
        <f ca="1">2*((B129-B104)/2/(B97+B127)*B97)+B104</f>
        <v>3.1</v>
      </c>
      <c r="C98" t="s">
        <v>85</v>
      </c>
      <c r="G98" t="s">
        <v>583</v>
      </c>
    </row>
    <row r="99" spans="1:10">
      <c r="G99" t="s">
        <v>584</v>
      </c>
    </row>
    <row r="100" spans="1:10">
      <c r="A100" s="104" t="s">
        <v>313</v>
      </c>
      <c r="G100" t="s">
        <v>585</v>
      </c>
    </row>
    <row r="101" spans="1:10">
      <c r="A101" t="s">
        <v>298</v>
      </c>
      <c r="B101">
        <f ca="1">B96</f>
        <v>1.8507615275568763</v>
      </c>
      <c r="C101" t="s">
        <v>85</v>
      </c>
      <c r="D101" t="s">
        <v>307</v>
      </c>
      <c r="E101">
        <f ca="1" xml:space="preserve"> B96</f>
        <v>1.8507615275568763</v>
      </c>
      <c r="F101" t="s">
        <v>85</v>
      </c>
    </row>
    <row r="102" spans="1:10">
      <c r="A102" t="s">
        <v>188</v>
      </c>
      <c r="B102" s="80">
        <f>B86+0.4+B63</f>
        <v>2.1948929172439202</v>
      </c>
      <c r="C102" t="s">
        <v>85</v>
      </c>
      <c r="D102" s="151"/>
    </row>
    <row r="104" spans="1:10">
      <c r="A104" s="148" t="s">
        <v>86</v>
      </c>
      <c r="B104" s="149">
        <f>3.1</f>
        <v>3.1</v>
      </c>
      <c r="C104" s="148" t="s">
        <v>85</v>
      </c>
    </row>
    <row r="105" spans="1:10">
      <c r="A105" s="148" t="s">
        <v>233</v>
      </c>
      <c r="B105" s="149">
        <f ca="1">B84+B102+B97</f>
        <v>8.0557610329917182</v>
      </c>
      <c r="C105" s="148" t="s">
        <v>85</v>
      </c>
    </row>
    <row r="106" spans="1:10">
      <c r="A106" t="s">
        <v>258</v>
      </c>
      <c r="B106" s="80">
        <f ca="1">B105/B104</f>
        <v>2.5986325912876511</v>
      </c>
      <c r="C106" t="s">
        <v>64</v>
      </c>
    </row>
    <row r="107" spans="1:10">
      <c r="A107" s="150"/>
      <c r="B107" s="150"/>
      <c r="C107" s="150"/>
      <c r="D107" s="150"/>
    </row>
    <row r="108" spans="1:10">
      <c r="A108" s="78" t="s">
        <v>319</v>
      </c>
      <c r="I108" s="80">
        <f>(B129-B104)/2</f>
        <v>0</v>
      </c>
      <c r="J108" t="s">
        <v>85</v>
      </c>
    </row>
    <row r="109" spans="1:10">
      <c r="A109" t="s">
        <v>184</v>
      </c>
      <c r="B109" s="80">
        <f ca="1">'Moteur Etage 1'!B26</f>
        <v>46.078163329376331</v>
      </c>
      <c r="C109" t="s">
        <v>277</v>
      </c>
      <c r="D109" s="151"/>
      <c r="I109">
        <f ca="1">ATAN(I108/(B97+B127))/PI()*180</f>
        <v>0</v>
      </c>
      <c r="J109" t="s">
        <v>98</v>
      </c>
    </row>
    <row r="110" spans="1:10">
      <c r="A110" t="s">
        <v>282</v>
      </c>
      <c r="B110">
        <f>B129/2</f>
        <v>1.55</v>
      </c>
      <c r="C110" t="s">
        <v>85</v>
      </c>
      <c r="I110">
        <f ca="1">B104+TAN(I109*PI()/180)*(B88+B86)*2</f>
        <v>3.1</v>
      </c>
      <c r="J110" t="s">
        <v>85</v>
      </c>
    </row>
    <row r="111" spans="1:10">
      <c r="A111" t="s">
        <v>283</v>
      </c>
      <c r="B111">
        <f ca="1">B112/(PI()*B110^2)</f>
        <v>4.9737643806703336</v>
      </c>
      <c r="C111" t="s">
        <v>85</v>
      </c>
      <c r="I111">
        <f ca="1">B97/COS(I109*PI()/180)</f>
        <v>0.7166427480875347</v>
      </c>
      <c r="J111" t="s">
        <v>85</v>
      </c>
    </row>
    <row r="112" spans="1:10">
      <c r="A112" t="s">
        <v>284</v>
      </c>
      <c r="B112">
        <f ca="1">B109+B118-2*B114</f>
        <v>37.540363787698723</v>
      </c>
      <c r="C112" t="s">
        <v>277</v>
      </c>
      <c r="I112">
        <f ca="1">B127/COS(I109*PI()/180)</f>
        <v>3.1456544448007961</v>
      </c>
      <c r="J112" t="s">
        <v>85</v>
      </c>
    </row>
    <row r="113" spans="1:7">
      <c r="A113" t="s">
        <v>286</v>
      </c>
      <c r="B113" s="80">
        <f>B110/SQRT(3)</f>
        <v>0.89489291724392006</v>
      </c>
      <c r="C113" t="s">
        <v>85</v>
      </c>
      <c r="D113" t="s">
        <v>601</v>
      </c>
      <c r="E113" t="s">
        <v>577</v>
      </c>
      <c r="F113">
        <f ca="1">B111+B113*2</f>
        <v>6.7635502151581735</v>
      </c>
      <c r="G113" t="s">
        <v>85</v>
      </c>
    </row>
    <row r="114" spans="1:7">
      <c r="A114" t="s">
        <v>287</v>
      </c>
      <c r="B114">
        <f xml:space="preserve"> 4/3/2*PI()*B110^2*B113</f>
        <v>4.5029080716584664</v>
      </c>
      <c r="C114" t="s">
        <v>277</v>
      </c>
    </row>
    <row r="115" spans="1:7">
      <c r="A115" t="s">
        <v>604</v>
      </c>
      <c r="B115" s="80">
        <f ca="1">'Moteur Etage 1'!B33*0.8</f>
        <v>2.1637995907499996</v>
      </c>
      <c r="C115" t="s">
        <v>85</v>
      </c>
    </row>
    <row r="116" spans="1:7">
      <c r="A116" t="s">
        <v>185</v>
      </c>
      <c r="B116">
        <f>15</f>
        <v>15</v>
      </c>
      <c r="C116" t="s">
        <v>98</v>
      </c>
      <c r="D116" t="s">
        <v>186</v>
      </c>
    </row>
    <row r="117" spans="1:7">
      <c r="A117" t="s">
        <v>602</v>
      </c>
      <c r="B117">
        <f ca="1">0.2*'Moteur Etage 1'!B33*TAN('Moteur Etage 1'!B32)+'Moteur Etage 1'!B30/2</f>
        <v>0.51271477124789644</v>
      </c>
      <c r="C117" t="s">
        <v>85</v>
      </c>
    </row>
    <row r="118" spans="1:7">
      <c r="A118" t="s">
        <v>579</v>
      </c>
      <c r="B118">
        <f ca="1">0.2*'Moteur Etage 1'!B33/3*('Moteur Etage 1'!B28+PI()*Géométrie!B117^2+SQRT('Moteur Etage 1'!B28+PI()*Géométrie!B117^2))</f>
        <v>0.46801660163932612</v>
      </c>
      <c r="C118" t="s">
        <v>277</v>
      </c>
    </row>
    <row r="121" spans="1:7">
      <c r="A121" s="104" t="s">
        <v>297</v>
      </c>
    </row>
    <row r="122" spans="1:7">
      <c r="A122" t="s">
        <v>110</v>
      </c>
      <c r="B122" s="80">
        <f ca="1">'Moteur Etage 1'!B31</f>
        <v>2.7240647970594871</v>
      </c>
      <c r="C122" t="s">
        <v>85</v>
      </c>
    </row>
    <row r="123" spans="1:7">
      <c r="A123" t="s">
        <v>187</v>
      </c>
      <c r="B123">
        <f ca="1">(B129-B122)/(2*TAN(B116*PI()/180))</f>
        <v>0.70150463886385561</v>
      </c>
      <c r="C123" t="s">
        <v>85</v>
      </c>
      <c r="D123" t="s">
        <v>186</v>
      </c>
    </row>
    <row r="124" spans="1:7">
      <c r="A124" t="s">
        <v>188</v>
      </c>
      <c r="B124" s="80">
        <f ca="1">B115-B123+B113</f>
        <v>2.3571878691300641</v>
      </c>
      <c r="C124" t="s">
        <v>85</v>
      </c>
      <c r="F124" s="80"/>
    </row>
    <row r="125" spans="1:7">
      <c r="F125" s="80"/>
    </row>
    <row r="126" spans="1:7">
      <c r="A126" s="104" t="s">
        <v>313</v>
      </c>
      <c r="F126" s="80"/>
    </row>
    <row r="127" spans="1:7">
      <c r="A127" t="s">
        <v>188</v>
      </c>
      <c r="B127" s="80">
        <f ca="1">0.4+B101+B113</f>
        <v>3.1456544448007961</v>
      </c>
      <c r="C127" t="s">
        <v>85</v>
      </c>
      <c r="D127" t="s">
        <v>586</v>
      </c>
    </row>
    <row r="128" spans="1:7">
      <c r="B128" s="80"/>
    </row>
    <row r="129" spans="1:4">
      <c r="A129" s="148" t="s">
        <v>86</v>
      </c>
      <c r="B129" s="149">
        <f>3.1</f>
        <v>3.1</v>
      </c>
      <c r="C129" s="148" t="s">
        <v>85</v>
      </c>
    </row>
    <row r="130" spans="1:4">
      <c r="A130" s="148" t="s">
        <v>234</v>
      </c>
      <c r="B130" s="149">
        <f ca="1">B111+B124+B127</f>
        <v>10.476606694601193</v>
      </c>
      <c r="C130" s="148" t="s">
        <v>85</v>
      </c>
      <c r="D130" t="s">
        <v>603</v>
      </c>
    </row>
    <row r="131" spans="1:4">
      <c r="A131" t="s">
        <v>258</v>
      </c>
      <c r="B131" s="80">
        <f ca="1">B130/B129</f>
        <v>3.3795505466455458</v>
      </c>
      <c r="C131" t="s">
        <v>64</v>
      </c>
    </row>
    <row r="132" spans="1:4">
      <c r="A132" s="150"/>
      <c r="B132" s="150"/>
      <c r="C132" s="150"/>
      <c r="D132" s="150"/>
    </row>
    <row r="133" spans="1:4">
      <c r="A133" s="78" t="s">
        <v>176</v>
      </c>
      <c r="B133" s="108">
        <f ca="1">B130+B105+B2+B78+B16+B13+B123</f>
        <v>39.22276006645928</v>
      </c>
      <c r="C133" s="78" t="s">
        <v>85</v>
      </c>
    </row>
    <row r="134" spans="1:4">
      <c r="A134" s="78" t="s">
        <v>303</v>
      </c>
      <c r="B134" s="78">
        <f ca="1">B133/B3</f>
        <v>9.5374492562818922</v>
      </c>
      <c r="C134" s="78" t="s">
        <v>64</v>
      </c>
      <c r="D134" t="s">
        <v>304</v>
      </c>
    </row>
  </sheetData>
  <pageMargins left="0.78740157499999996" right="0.78740157499999996" top="0.984251969" bottom="0.984251969" header="0.5" footer="0.5"/>
  <headerFooter alignWithMargins="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0" enableFormatConditionsCalculation="0"/>
  <dimension ref="A1:AI43"/>
  <sheetViews>
    <sheetView workbookViewId="0">
      <selection activeCell="B26" sqref="B26"/>
    </sheetView>
  </sheetViews>
  <sheetFormatPr baseColWidth="10" defaultRowHeight="13" x14ac:dyDescent="0"/>
  <cols>
    <col min="1" max="1" width="24.5703125" bestFit="1" customWidth="1"/>
    <col min="2" max="2" width="14.42578125" bestFit="1" customWidth="1"/>
    <col min="3" max="3" width="6.7109375" hidden="1" customWidth="1"/>
    <col min="7" max="7" width="10.7109375" customWidth="1"/>
    <col min="12" max="12" width="0" hidden="1" customWidth="1"/>
  </cols>
  <sheetData>
    <row r="1" spans="1:35">
      <c r="A1" s="104" t="s">
        <v>248</v>
      </c>
      <c r="B1">
        <f>Géométrie!B6^2*PI()/4</f>
        <v>8.5012282604303202</v>
      </c>
      <c r="D1" t="s">
        <v>112</v>
      </c>
    </row>
    <row r="2" spans="1:35">
      <c r="A2" s="104" t="s">
        <v>266</v>
      </c>
      <c r="B2">
        <f>Géométrie!B7</f>
        <v>4.0999999999999996</v>
      </c>
      <c r="D2" t="s">
        <v>85</v>
      </c>
    </row>
    <row r="3" spans="1:35">
      <c r="A3" t="s">
        <v>263</v>
      </c>
      <c r="B3" t="s">
        <v>264</v>
      </c>
    </row>
    <row r="4" spans="1:35">
      <c r="A4" s="154" t="s">
        <v>259</v>
      </c>
      <c r="B4">
        <f>Géométrie!B8</f>
        <v>0.27493252591026274</v>
      </c>
    </row>
    <row r="5" spans="1:35">
      <c r="A5" s="132"/>
      <c r="B5" s="186" t="s">
        <v>269</v>
      </c>
      <c r="C5" s="184"/>
      <c r="D5" s="184"/>
      <c r="E5" s="184"/>
      <c r="F5" s="185"/>
      <c r="G5" s="180" t="s">
        <v>271</v>
      </c>
      <c r="H5" s="181"/>
      <c r="I5" s="181"/>
      <c r="J5" s="181"/>
      <c r="K5" s="180" t="s">
        <v>270</v>
      </c>
      <c r="L5" s="181"/>
      <c r="M5" s="182"/>
      <c r="N5" s="182"/>
      <c r="O5" s="183"/>
      <c r="P5" s="184" t="s">
        <v>261</v>
      </c>
      <c r="Q5" s="184"/>
      <c r="R5" s="184"/>
      <c r="S5" s="184"/>
      <c r="T5" s="186" t="s">
        <v>485</v>
      </c>
      <c r="U5" s="184"/>
      <c r="V5" s="184"/>
      <c r="W5" s="185"/>
      <c r="X5" s="186" t="s">
        <v>181</v>
      </c>
      <c r="Y5" s="184"/>
      <c r="Z5" s="184"/>
      <c r="AA5" s="185"/>
      <c r="AB5" s="186" t="s">
        <v>262</v>
      </c>
      <c r="AC5" s="184"/>
      <c r="AD5" s="184"/>
      <c r="AE5" s="185"/>
      <c r="AF5" s="184" t="s">
        <v>190</v>
      </c>
      <c r="AG5" s="184"/>
      <c r="AH5" s="184"/>
      <c r="AI5" s="185"/>
    </row>
    <row r="6" spans="1:35">
      <c r="A6" s="133" t="s">
        <v>214</v>
      </c>
      <c r="B6" s="135" t="s">
        <v>268</v>
      </c>
      <c r="C6" s="136" t="s">
        <v>253</v>
      </c>
      <c r="D6" s="136" t="s">
        <v>207</v>
      </c>
      <c r="E6" s="136" t="s">
        <v>243</v>
      </c>
      <c r="F6" s="137" t="s">
        <v>267</v>
      </c>
      <c r="G6" s="138" t="s">
        <v>268</v>
      </c>
      <c r="H6" s="139" t="s">
        <v>207</v>
      </c>
      <c r="I6" s="139" t="s">
        <v>243</v>
      </c>
      <c r="J6" s="139" t="s">
        <v>267</v>
      </c>
      <c r="K6" s="140" t="s">
        <v>268</v>
      </c>
      <c r="L6" s="141" t="s">
        <v>253</v>
      </c>
      <c r="M6" s="141" t="s">
        <v>207</v>
      </c>
      <c r="N6" s="141" t="s">
        <v>243</v>
      </c>
      <c r="O6" s="142" t="s">
        <v>267</v>
      </c>
      <c r="P6" s="134" t="s">
        <v>268</v>
      </c>
      <c r="Q6" s="134" t="s">
        <v>207</v>
      </c>
      <c r="R6" s="134" t="s">
        <v>243</v>
      </c>
      <c r="S6" s="134" t="s">
        <v>267</v>
      </c>
      <c r="T6" s="135" t="s">
        <v>268</v>
      </c>
      <c r="U6" s="136" t="s">
        <v>207</v>
      </c>
      <c r="V6" s="136" t="s">
        <v>243</v>
      </c>
      <c r="W6" s="137" t="s">
        <v>267</v>
      </c>
      <c r="X6" s="134" t="s">
        <v>268</v>
      </c>
      <c r="Y6" s="134" t="s">
        <v>207</v>
      </c>
      <c r="Z6" s="134" t="s">
        <v>243</v>
      </c>
      <c r="AA6" s="134" t="s">
        <v>267</v>
      </c>
      <c r="AB6" s="135" t="s">
        <v>486</v>
      </c>
      <c r="AC6" s="136" t="s">
        <v>207</v>
      </c>
      <c r="AD6" s="136" t="s">
        <v>243</v>
      </c>
      <c r="AE6" s="137" t="s">
        <v>487</v>
      </c>
      <c r="AF6" s="135" t="s">
        <v>268</v>
      </c>
      <c r="AG6" s="136" t="s">
        <v>207</v>
      </c>
      <c r="AH6" s="136" t="s">
        <v>243</v>
      </c>
      <c r="AI6" s="137" t="s">
        <v>267</v>
      </c>
    </row>
    <row r="7" spans="1:35">
      <c r="A7" s="112">
        <v>0.5</v>
      </c>
      <c r="B7" s="83" t="e">
        <f ca="1">[1]!InterpCn(Géométrie!$B$4,$A7,Géométrie!$B$9)*PI()*Géométrie!$B$3^2/4/$B$1</f>
        <v>#NAME?</v>
      </c>
      <c r="C7" s="85" t="e">
        <f ca="1">'Tableaux aéro'!K75*A7*Géométrie!$B$2</f>
        <v>#NAME?</v>
      </c>
      <c r="D7" s="85" t="e">
        <f ca="1">0.445/POWER(LOG(C7),2.58)/POWER(1+0.15*A7^2,0.58)*Géométrie!$B$10/$B$1</f>
        <v>#NAME?</v>
      </c>
      <c r="E7" s="85" t="e">
        <f ca="1">'Tableaux aéro'!X5</f>
        <v>#NAME?</v>
      </c>
      <c r="F7" s="85" t="e">
        <f ca="1">B7*E7/B$2</f>
        <v>#NAME?</v>
      </c>
      <c r="G7" s="83" t="e">
        <f ca="1">'Tableaux aéro'!J5*PI()/180*PI()*Géométrie!$B$3^2/4/$B$1</f>
        <v>#NAME?</v>
      </c>
      <c r="H7" s="85">
        <f>'Tableaux aéro'!B5*PI()*Géométrie!$B$3^2/4/$B$1</f>
        <v>4.1873693749999996E-2</v>
      </c>
      <c r="I7" s="85" t="e">
        <f ca="1">'Tableaux aéro'!R5*Géométrie!$B$3</f>
        <v>#NAME?</v>
      </c>
      <c r="J7" s="85" t="e">
        <f ca="1">G7*(I7-Géométrie!$F$12)/$B$2</f>
        <v>#NAME?</v>
      </c>
      <c r="K7" s="83" t="e">
        <f ca="1">[1]!InterpCn(10,$A7,Géométrie!$F$13/Géométrie!$B$3)*Géométrie!$B$3^2*PI()/4/$B$1</f>
        <v>#NAME?</v>
      </c>
      <c r="L7" s="85" t="e">
        <f ca="1">'Tableaux aéro'!K75*A7*Géométrie!$F$13</f>
        <v>#NAME?</v>
      </c>
      <c r="M7" s="85" t="e">
        <f ca="1">0.445/POWER(LOG(L7),2.58)/POWER(1+0.15*A7^2,0.58)*Géométrie!$B$10/$B$1</f>
        <v>#NAME?</v>
      </c>
      <c r="N7" s="85"/>
      <c r="O7" s="86" t="e">
        <f ca="1">[1]!InterpCm(10,$A7,Géométrie!$F$13/Géométrie!$B$3)*Géométrie!$B$3^2*PI()/4/$B$1</f>
        <v>#NAME?</v>
      </c>
      <c r="P7" s="85" t="e">
        <f t="shared" ref="P7:P40" ca="1" si="0">K7-G7</f>
        <v>#NAME?</v>
      </c>
      <c r="Q7" s="85" t="e">
        <f t="shared" ref="Q7:Q40" ca="1" si="1">M7-H7</f>
        <v>#NAME?</v>
      </c>
      <c r="R7" s="85" t="e">
        <f t="shared" ref="R7:R40" ca="1" si="2">N7-I7</f>
        <v>#NAME?</v>
      </c>
      <c r="S7" s="86" t="e">
        <f t="shared" ref="S7:S40" ca="1" si="3">O7-J7</f>
        <v>#NAME?</v>
      </c>
      <c r="T7" s="83" t="e">
        <f ca="1">P7</f>
        <v>#NAME?</v>
      </c>
      <c r="U7" s="85" t="e">
        <f ca="1">[2]!interpol(A7,'[3]CA basé sur Ariane 3'!$A$6:$A$23,'[3]CA basé sur Ariane 3'!$B$6:$B$23)*PI()*(Géométrie!$B$3^2-Géométrie!$B$82^2)/$B$1</f>
        <v>#NAME?</v>
      </c>
      <c r="V7" s="85"/>
      <c r="W7" s="86" t="e">
        <f ca="1">S7</f>
        <v>#NAME?</v>
      </c>
      <c r="X7" s="83"/>
      <c r="Y7" s="85"/>
      <c r="Z7" s="85"/>
      <c r="AA7" s="86"/>
      <c r="AB7" s="85" t="e">
        <f ca="1">[2]!interpol(A7,[4]jupA_data!$A$2:$A$10,[4]jupA_data!$B$2:$B$10)*PI()*(Géométrie!$B$88^2-Géométrie!$B$63^2)/$B$1*COS(ATAN((Géométrie!$B$88-Géométrie!$B$63)/Géométrie!$B$76))^2/100</f>
        <v>#NAME?</v>
      </c>
      <c r="AC7" s="85" t="e">
        <f ca="1">[2]!interpol(A7,[4]jupkp_data5deg!$A$1:$A$106,[4]jupkp_data5deg!$B$1:$B$106)*PI()*(Géométrie!$B$88^2-Géométrie!$B$63^2)/$B$1</f>
        <v>#NAME?</v>
      </c>
      <c r="AD7" s="85">
        <f>0.4*Géométrie!$B$76</f>
        <v>0</v>
      </c>
      <c r="AE7" s="85" t="e">
        <f ca="1">AB7*(AD7+Géométrie!$B$83+Géométrie!$B$56+Géométrie!$B$2)/$B$2</f>
        <v>#NAME?</v>
      </c>
      <c r="AF7" s="83"/>
      <c r="AG7" s="85"/>
      <c r="AH7" s="85"/>
      <c r="AI7" s="86"/>
    </row>
    <row r="8" spans="1:35">
      <c r="A8" s="112">
        <v>0.6</v>
      </c>
      <c r="B8" s="87" t="e">
        <f ca="1">[1]!InterpCn(Géométrie!$B$4,$A8,Géométrie!$B$9)*PI()*Géométrie!$B$3^2/4/$B$1</f>
        <v>#NAME?</v>
      </c>
      <c r="C8" s="41" t="e">
        <f ca="1">'Tableaux aéro'!K76*A8*Géométrie!$B$2</f>
        <v>#NAME?</v>
      </c>
      <c r="D8" s="41" t="e">
        <f ca="1">0.445/POWER(LOG(C8),2.58)/POWER(1+0.15*A8^2,0.58)*Géométrie!$B$10/$B$1</f>
        <v>#NAME?</v>
      </c>
      <c r="E8" s="41" t="e">
        <f ca="1">'Tableaux aéro'!X6</f>
        <v>#NAME?</v>
      </c>
      <c r="F8" s="41" t="e">
        <f t="shared" ref="F8:F40" ca="1" si="4">B8*E8/B$2</f>
        <v>#NAME?</v>
      </c>
      <c r="G8" s="87" t="e">
        <f ca="1">'Tableaux aéro'!J6*PI()/180*PI()*Géométrie!$B$3^2/4/$B$1</f>
        <v>#NAME?</v>
      </c>
      <c r="H8" s="41">
        <f>'Tableaux aéro'!B6*PI()*Géométrie!$B$3^2/4/$B$1</f>
        <v>5.2531328124999992E-2</v>
      </c>
      <c r="I8" s="41" t="e">
        <f ca="1">'Tableaux aéro'!R6*Géométrie!$B$3</f>
        <v>#NAME?</v>
      </c>
      <c r="J8" s="41" t="e">
        <f ca="1">G8*(I8-Géométrie!$F$12)/$B$2</f>
        <v>#NAME?</v>
      </c>
      <c r="K8" s="87" t="e">
        <f ca="1">[1]!InterpCn(10,$A8,Géométrie!$F$13/Géométrie!$B$3)*Géométrie!$B$3^2*PI()/4/Aerodynamique!$B$1</f>
        <v>#NAME?</v>
      </c>
      <c r="L8" s="41" t="e">
        <f ca="1">'Tableaux aéro'!K76*A8*Géométrie!$F$13</f>
        <v>#NAME?</v>
      </c>
      <c r="M8" s="41" t="e">
        <f ca="1">0.445/POWER(LOG(L8),2.58)/POWER(1+0.15*A8^2,0.58)*Géométrie!$B$10/$B$1</f>
        <v>#NAME?</v>
      </c>
      <c r="N8" s="41"/>
      <c r="O8" s="89" t="e">
        <f ca="1">[1]!InterpCm(10,$A8,Géométrie!$F$13/Géométrie!$B$3)*Géométrie!$B$3^2*PI()/4/$B$1</f>
        <v>#NAME?</v>
      </c>
      <c r="P8" s="41" t="e">
        <f t="shared" ca="1" si="0"/>
        <v>#NAME?</v>
      </c>
      <c r="Q8" s="41" t="e">
        <f t="shared" ca="1" si="1"/>
        <v>#NAME?</v>
      </c>
      <c r="R8" s="41" t="e">
        <f t="shared" ca="1" si="2"/>
        <v>#NAME?</v>
      </c>
      <c r="S8" s="89" t="e">
        <f t="shared" ca="1" si="3"/>
        <v>#NAME?</v>
      </c>
      <c r="T8" s="87" t="e">
        <f t="shared" ref="T8:T40" ca="1" si="5">P8</f>
        <v>#NAME?</v>
      </c>
      <c r="U8" s="41" t="e">
        <f ca="1">[2]!interpol(A8,'[3]CA basé sur Ariane 3'!$A$6:$A$23,'[3]CA basé sur Ariane 3'!$B$6:$B$23)*PI()*(Géométrie!$B$3^2-Géométrie!$B$82^2)/$B$1</f>
        <v>#NAME?</v>
      </c>
      <c r="V8" s="41"/>
      <c r="W8" s="89" t="e">
        <f t="shared" ref="W8:W40" ca="1" si="6">S8</f>
        <v>#NAME?</v>
      </c>
      <c r="X8" s="87"/>
      <c r="Y8" s="41"/>
      <c r="Z8" s="41"/>
      <c r="AA8" s="89"/>
      <c r="AB8" s="41" t="e">
        <f ca="1">[2]!interpol(A8,[4]jupA_data!$A$2:$A$10,[4]jupA_data!$B$2:$B$10)*PI()*(Géométrie!$B$88^2-Géométrie!$B$63^2)/$B$1*COS(ATAN((Géométrie!$B$88-Géométrie!$B$63)/Géométrie!$B$76))^2/100</f>
        <v>#NAME?</v>
      </c>
      <c r="AC8" s="41" t="e">
        <f ca="1">[2]!interpol(A8,[4]jupkp_data5deg!$A$1:$A$106,[4]jupkp_data5deg!$B$1:$B$106)*PI()*(Géométrie!$B$88^2-Géométrie!$B$63^2)/$B$1</f>
        <v>#NAME?</v>
      </c>
      <c r="AD8" s="41">
        <f>0.4*Géométrie!$B$76</f>
        <v>0</v>
      </c>
      <c r="AE8" s="41" t="e">
        <f ca="1">AB8*(AD8+Géométrie!$B$83+Géométrie!$B$56+Géométrie!$B$2)/$B$2</f>
        <v>#NAME?</v>
      </c>
      <c r="AF8" s="87"/>
      <c r="AG8" s="41"/>
      <c r="AH8" s="41"/>
      <c r="AI8" s="89"/>
    </row>
    <row r="9" spans="1:35">
      <c r="A9" s="112">
        <v>0.7</v>
      </c>
      <c r="B9" s="87" t="e">
        <f ca="1">[1]!InterpCn(Géométrie!$B$4,$A9,Géométrie!$B$9)*PI()*Géométrie!$B$3^2/4/$B$1</f>
        <v>#NAME?</v>
      </c>
      <c r="C9" s="41" t="e">
        <f ca="1">'Tableaux aéro'!K77*A9*Géométrie!$B$2</f>
        <v>#NAME?</v>
      </c>
      <c r="D9" s="41" t="e">
        <f ca="1">0.445/POWER(LOG(C9),2.58)/POWER(1+0.15*A9^2,0.58)*Géométrie!$B$10/$B$1</f>
        <v>#NAME?</v>
      </c>
      <c r="E9" s="41" t="e">
        <f ca="1">'Tableaux aéro'!X7</f>
        <v>#NAME?</v>
      </c>
      <c r="F9" s="41" t="e">
        <f t="shared" ca="1" si="4"/>
        <v>#NAME?</v>
      </c>
      <c r="G9" s="87" t="e">
        <f ca="1">'Tableaux aéro'!J7*PI()/180*PI()*Géométrie!$B$3^2/4/$B$1</f>
        <v>#NAME?</v>
      </c>
      <c r="H9" s="41">
        <f>'Tableaux aéro'!B7*PI()*Géométrie!$B$3^2/4/$B$1</f>
        <v>7.9362128124999973E-2</v>
      </c>
      <c r="I9" s="41" t="e">
        <f ca="1">'Tableaux aéro'!R7*Géométrie!$B$3</f>
        <v>#NAME?</v>
      </c>
      <c r="J9" s="41" t="e">
        <f ca="1">G9*(I9-Géométrie!$F$12)/$B$2</f>
        <v>#NAME?</v>
      </c>
      <c r="K9" s="87" t="e">
        <f ca="1">[1]!InterpCn(10,$A9,Géométrie!$F$13/Géométrie!$B$3)*Géométrie!$B$3^2*PI()/4/Aerodynamique!$B$1</f>
        <v>#NAME?</v>
      </c>
      <c r="L9" s="41" t="e">
        <f ca="1">'Tableaux aéro'!K77*A9*Géométrie!$F$13</f>
        <v>#NAME?</v>
      </c>
      <c r="M9" s="41" t="e">
        <f ca="1">0.445/POWER(LOG(L9),2.58)/POWER(1+0.15*A9^2,0.58)*Géométrie!$B$10/$B$1</f>
        <v>#NAME?</v>
      </c>
      <c r="N9" s="41"/>
      <c r="O9" s="89" t="e">
        <f ca="1">[1]!InterpCm(10,$A9,Géométrie!$F$13/Géométrie!$B$3)*Géométrie!$B$3^2*PI()/4/$B$1</f>
        <v>#NAME?</v>
      </c>
      <c r="P9" s="41" t="e">
        <f t="shared" ca="1" si="0"/>
        <v>#NAME?</v>
      </c>
      <c r="Q9" s="41" t="e">
        <f t="shared" ca="1" si="1"/>
        <v>#NAME?</v>
      </c>
      <c r="R9" s="41" t="e">
        <f t="shared" ca="1" si="2"/>
        <v>#NAME?</v>
      </c>
      <c r="S9" s="89" t="e">
        <f t="shared" ca="1" si="3"/>
        <v>#NAME?</v>
      </c>
      <c r="T9" s="87" t="e">
        <f t="shared" ca="1" si="5"/>
        <v>#NAME?</v>
      </c>
      <c r="U9" s="41" t="e">
        <f ca="1">[2]!interpol(A9,'[3]CA basé sur Ariane 3'!$A$6:$A$23,'[3]CA basé sur Ariane 3'!$B$6:$B$23)*PI()*(Géométrie!$B$3^2-Géométrie!$B$82^2)/$B$1</f>
        <v>#NAME?</v>
      </c>
      <c r="V9" s="41"/>
      <c r="W9" s="89" t="e">
        <f t="shared" ca="1" si="6"/>
        <v>#NAME?</v>
      </c>
      <c r="X9" s="87"/>
      <c r="Y9" s="41"/>
      <c r="Z9" s="41"/>
      <c r="AA9" s="89"/>
      <c r="AB9" s="41" t="e">
        <f ca="1">[2]!interpol(A9,[4]jupA_data!$A$2:$A$10,[4]jupA_data!$B$2:$B$10)*PI()*(Géométrie!$B$88^2-Géométrie!$B$63^2)/$B$1*COS(ATAN((Géométrie!$B$88-Géométrie!$B$63)/Géométrie!$B$76))^2/100</f>
        <v>#NAME?</v>
      </c>
      <c r="AC9" s="41" t="e">
        <f ca="1">[2]!interpol(A9,[4]jupkp_data5deg!$A$1:$A$106,[4]jupkp_data5deg!$B$1:$B$106)*PI()*(Géométrie!$B$88^2-Géométrie!$B$63^2)/$B$1</f>
        <v>#NAME?</v>
      </c>
      <c r="AD9" s="41">
        <f>0.4*Géométrie!$B$76</f>
        <v>0</v>
      </c>
      <c r="AE9" s="41" t="e">
        <f ca="1">AB9*(AD9+Géométrie!$B$83+Géométrie!$B$56+Géométrie!$B$2)/$B$2</f>
        <v>#NAME?</v>
      </c>
      <c r="AF9" s="87"/>
      <c r="AG9" s="41"/>
      <c r="AH9" s="41"/>
      <c r="AI9" s="89"/>
    </row>
    <row r="10" spans="1:35">
      <c r="A10" s="112">
        <v>0.8</v>
      </c>
      <c r="B10" s="87" t="e">
        <f ca="1">[1]!InterpCn(Géométrie!$B$4,$A10,Géométrie!$B$9)*PI()*Géométrie!$B$3^2/4/$B$1</f>
        <v>#NAME?</v>
      </c>
      <c r="C10" s="41" t="e">
        <f ca="1">'Tableaux aéro'!K78*A10*Géométrie!$B$2</f>
        <v>#NAME?</v>
      </c>
      <c r="D10" s="41" t="e">
        <f ca="1">0.445/POWER(LOG(C10),2.58)/POWER(1+0.15*A10^2,0.58)*Géométrie!$B$10/$B$1</f>
        <v>#NAME?</v>
      </c>
      <c r="E10" s="41" t="e">
        <f ca="1">'Tableaux aéro'!X8</f>
        <v>#NAME?</v>
      </c>
      <c r="F10" s="41" t="e">
        <f t="shared" ca="1" si="4"/>
        <v>#NAME?</v>
      </c>
      <c r="G10" s="87" t="e">
        <f ca="1">'Tableaux aéro'!J8*PI()/180*PI()*Géométrie!$B$3^2/4/$B$1</f>
        <v>#NAME?</v>
      </c>
      <c r="H10" s="41">
        <f>'Tableaux aéro'!B8*PI()*Géométrie!$B$3^2/4/$B$1</f>
        <v>0.11735167031249999</v>
      </c>
      <c r="I10" s="41" t="e">
        <f ca="1">'Tableaux aéro'!R8*Géométrie!$B$3</f>
        <v>#NAME?</v>
      </c>
      <c r="J10" s="41" t="e">
        <f ca="1">G10*(I10-Géométrie!$F$12)/$B$2</f>
        <v>#NAME?</v>
      </c>
      <c r="K10" s="87" t="e">
        <f ca="1">[1]!InterpCn(10,$A10,Géométrie!$F$13/Géométrie!$B$3)*Géométrie!$B$3^2*PI()/4/Aerodynamique!$B$1</f>
        <v>#NAME?</v>
      </c>
      <c r="L10" s="41" t="e">
        <f ca="1">'Tableaux aéro'!K78*A10*Géométrie!$F$13</f>
        <v>#NAME?</v>
      </c>
      <c r="M10" s="41" t="e">
        <f ca="1">0.445/POWER(LOG(L10),2.58)/POWER(1+0.15*A10^2,0.58)*Géométrie!$B$10/$B$1</f>
        <v>#NAME?</v>
      </c>
      <c r="N10" s="41"/>
      <c r="O10" s="89" t="e">
        <f ca="1">[1]!InterpCm(10,$A10,Géométrie!$F$13/Géométrie!$B$3)*Géométrie!$B$3^2*PI()/4/$B$1</f>
        <v>#NAME?</v>
      </c>
      <c r="P10" s="41" t="e">
        <f t="shared" ca="1" si="0"/>
        <v>#NAME?</v>
      </c>
      <c r="Q10" s="41" t="e">
        <f t="shared" ca="1" si="1"/>
        <v>#NAME?</v>
      </c>
      <c r="R10" s="41" t="e">
        <f t="shared" ca="1" si="2"/>
        <v>#NAME?</v>
      </c>
      <c r="S10" s="89" t="e">
        <f t="shared" ca="1" si="3"/>
        <v>#NAME?</v>
      </c>
      <c r="T10" s="87" t="e">
        <f t="shared" ca="1" si="5"/>
        <v>#NAME?</v>
      </c>
      <c r="U10" s="41" t="e">
        <f ca="1">[2]!interpol(A10,'[3]CA basé sur Ariane 3'!$A$6:$A$23,'[3]CA basé sur Ariane 3'!$B$6:$B$23)*PI()*(Géométrie!$B$3^2-Géométrie!$B$82^2)/$B$1</f>
        <v>#NAME?</v>
      </c>
      <c r="V10" s="41"/>
      <c r="W10" s="89" t="e">
        <f t="shared" ca="1" si="6"/>
        <v>#NAME?</v>
      </c>
      <c r="X10" s="87"/>
      <c r="Y10" s="41"/>
      <c r="Z10" s="41"/>
      <c r="AA10" s="89"/>
      <c r="AB10" s="41" t="e">
        <f ca="1">[2]!interpol(A10,[4]jupA_data!$A$2:$A$10,[4]jupA_data!$B$2:$B$10)*PI()*(Géométrie!$B$88^2-Géométrie!$B$63^2)/$B$1*COS(ATAN((Géométrie!$B$88-Géométrie!$B$63)/Géométrie!$B$76))^2/100</f>
        <v>#NAME?</v>
      </c>
      <c r="AC10" s="41" t="e">
        <f ca="1">[2]!interpol(A10,[4]jupkp_data5deg!$A$1:$A$106,[4]jupkp_data5deg!$B$1:$B$106)*PI()*(Géométrie!$B$88^2-Géométrie!$B$63^2)/$B$1</f>
        <v>#NAME?</v>
      </c>
      <c r="AD10" s="41">
        <f>0.4*Géométrie!$B$76</f>
        <v>0</v>
      </c>
      <c r="AE10" s="41" t="e">
        <f ca="1">AB10*(AD10+Géométrie!$B$83+Géométrie!$B$56+Géométrie!$B$2)/$B$2</f>
        <v>#NAME?</v>
      </c>
      <c r="AF10" s="87"/>
      <c r="AG10" s="41"/>
      <c r="AH10" s="41"/>
      <c r="AI10" s="89"/>
    </row>
    <row r="11" spans="1:35">
      <c r="A11" s="112">
        <v>0.9</v>
      </c>
      <c r="B11" s="87" t="e">
        <f ca="1">[1]!InterpCn(Géométrie!$B$4,$A11,Géométrie!$B$9)*PI()*Géométrie!$B$3^2/4/$B$1</f>
        <v>#NAME?</v>
      </c>
      <c r="C11" s="41" t="e">
        <f ca="1">'Tableaux aéro'!K79*A11*Géométrie!$B$2</f>
        <v>#NAME?</v>
      </c>
      <c r="D11" s="41" t="e">
        <f ca="1">0.445/POWER(LOG(C11),2.58)/POWER(1+0.15*A11^2,0.58)*Géométrie!$B$10/$B$1</f>
        <v>#NAME?</v>
      </c>
      <c r="E11" s="41" t="e">
        <f ca="1">'Tableaux aéro'!X9</f>
        <v>#NAME?</v>
      </c>
      <c r="F11" s="41" t="e">
        <f t="shared" ca="1" si="4"/>
        <v>#NAME?</v>
      </c>
      <c r="G11" s="87" t="e">
        <f ca="1">'Tableaux aéro'!J9*PI()/180*PI()*Géométrie!$B$3^2/4/$B$1</f>
        <v>#NAME?</v>
      </c>
      <c r="H11" s="41">
        <f>'Tableaux aéro'!B9*PI()*Géométrie!$B$3^2/4/$B$1</f>
        <v>0.15221161093749999</v>
      </c>
      <c r="I11" s="41" t="e">
        <f ca="1">'Tableaux aéro'!R9*Géométrie!$B$3</f>
        <v>#NAME?</v>
      </c>
      <c r="J11" s="41" t="e">
        <f ca="1">G11*(I11-Géométrie!$F$12)/$B$2</f>
        <v>#NAME?</v>
      </c>
      <c r="K11" s="87" t="e">
        <f ca="1">[1]!InterpCn(10,$A11,Géométrie!$F$13/Géométrie!$B$3)*Géométrie!$B$3^2*PI()/4/Aerodynamique!$B$1</f>
        <v>#NAME?</v>
      </c>
      <c r="L11" s="41" t="e">
        <f ca="1">'Tableaux aéro'!K79*A11*Géométrie!$F$13</f>
        <v>#NAME?</v>
      </c>
      <c r="M11" s="41" t="e">
        <f ca="1">0.445/POWER(LOG(L11),2.58)/POWER(1+0.15*A11^2,0.58)*Géométrie!$B$10/$B$1</f>
        <v>#NAME?</v>
      </c>
      <c r="N11" s="41"/>
      <c r="O11" s="89" t="e">
        <f ca="1">[1]!InterpCm(10,$A11,Géométrie!$F$13/Géométrie!$B$3)*Géométrie!$B$3^2*PI()/4/$B$1</f>
        <v>#NAME?</v>
      </c>
      <c r="P11" s="41" t="e">
        <f t="shared" ca="1" si="0"/>
        <v>#NAME?</v>
      </c>
      <c r="Q11" s="41" t="e">
        <f t="shared" ca="1" si="1"/>
        <v>#NAME?</v>
      </c>
      <c r="R11" s="41" t="e">
        <f t="shared" ca="1" si="2"/>
        <v>#NAME?</v>
      </c>
      <c r="S11" s="89" t="e">
        <f t="shared" ca="1" si="3"/>
        <v>#NAME?</v>
      </c>
      <c r="T11" s="87" t="e">
        <f t="shared" ca="1" si="5"/>
        <v>#NAME?</v>
      </c>
      <c r="U11" s="41" t="e">
        <f ca="1">[2]!interpol(A11,'[3]CA basé sur Ariane 3'!$A$6:$A$23,'[3]CA basé sur Ariane 3'!$B$6:$B$23)*PI()*(Géométrie!$B$3^2-Géométrie!$B$82^2)/$B$1</f>
        <v>#NAME?</v>
      </c>
      <c r="V11" s="41"/>
      <c r="W11" s="89" t="e">
        <f t="shared" ca="1" si="6"/>
        <v>#NAME?</v>
      </c>
      <c r="X11" s="87"/>
      <c r="Y11" s="41"/>
      <c r="Z11" s="41"/>
      <c r="AA11" s="89"/>
      <c r="AB11" s="41" t="e">
        <f ca="1">[2]!interpol(A11,[4]jupA_data!$A$2:$A$10,[4]jupA_data!$B$2:$B$10)*PI()*(Géométrie!$B$88^2-Géométrie!$B$63^2)/$B$1*COS(ATAN((Géométrie!$B$88-Géométrie!$B$63)/Géométrie!$B$76))^2/100</f>
        <v>#NAME?</v>
      </c>
      <c r="AC11" s="41" t="e">
        <f ca="1">[2]!interpol(A11,[4]jupkp_data5deg!$A$1:$A$106,[4]jupkp_data5deg!$B$1:$B$106)*PI()*(Géométrie!$B$88^2-Géométrie!$B$63^2)/$B$1</f>
        <v>#NAME?</v>
      </c>
      <c r="AD11" s="41">
        <f>0.4*Géométrie!$B$76</f>
        <v>0</v>
      </c>
      <c r="AE11" s="41" t="e">
        <f ca="1">AB11*(AD11+Géométrie!$B$83+Géométrie!$B$56+Géométrie!$B$2)/$B$2</f>
        <v>#NAME?</v>
      </c>
      <c r="AF11" s="87"/>
      <c r="AG11" s="41"/>
      <c r="AH11" s="41"/>
      <c r="AI11" s="89"/>
    </row>
    <row r="12" spans="1:35">
      <c r="A12" s="112">
        <v>0.92</v>
      </c>
      <c r="B12" s="87" t="e">
        <f ca="1">[1]!InterpCn(Géométrie!$B$4,$A12,Géométrie!$B$9)*PI()*Géométrie!$B$3^2/4/$B$1</f>
        <v>#NAME?</v>
      </c>
      <c r="C12" s="41" t="e">
        <f ca="1">'Tableaux aéro'!K80*A12*Géométrie!$B$2</f>
        <v>#NAME?</v>
      </c>
      <c r="D12" s="41" t="e">
        <f ca="1">0.445/POWER(LOG(C12),2.58)/POWER(1+0.15*A12^2,0.58)*Géométrie!$B$10/$B$1</f>
        <v>#NAME?</v>
      </c>
      <c r="E12" s="41" t="e">
        <f ca="1">'Tableaux aéro'!X10</f>
        <v>#NAME?</v>
      </c>
      <c r="F12" s="41" t="e">
        <f t="shared" ca="1" si="4"/>
        <v>#NAME?</v>
      </c>
      <c r="G12" s="87" t="e">
        <f ca="1">'Tableaux aéro'!J10*PI()/180*PI()*Géométrie!$B$3^2/4/$B$1</f>
        <v>#NAME?</v>
      </c>
      <c r="H12" s="41">
        <f>'Tableaux aéro'!B10*PI()*Géométrie!$B$3^2/4/$B$1</f>
        <v>0.16100292499999996</v>
      </c>
      <c r="I12" s="41" t="e">
        <f ca="1">'Tableaux aéro'!R10*Géométrie!$B$3</f>
        <v>#NAME?</v>
      </c>
      <c r="J12" s="41" t="e">
        <f ca="1">G12*(I12-Géométrie!$F$12)/$B$2</f>
        <v>#NAME?</v>
      </c>
      <c r="K12" s="87" t="e">
        <f ca="1">[1]!InterpCn(10,$A12,Géométrie!$F$13/Géométrie!$B$3)*Géométrie!$B$3^2*PI()/4/Aerodynamique!$B$1</f>
        <v>#NAME?</v>
      </c>
      <c r="L12" s="41" t="e">
        <f ca="1">'Tableaux aéro'!K80*A12*Géométrie!$F$13</f>
        <v>#NAME?</v>
      </c>
      <c r="M12" s="41" t="e">
        <f ca="1">0.445/POWER(LOG(L12),2.58)/POWER(1+0.15*A12^2,0.58)*Géométrie!$B$10/$B$1</f>
        <v>#NAME?</v>
      </c>
      <c r="N12" s="41"/>
      <c r="O12" s="89" t="e">
        <f ca="1">[1]!InterpCm(10,$A12,Géométrie!$F$13/Géométrie!$B$3)*Géométrie!$B$3^2*PI()/4/$B$1</f>
        <v>#NAME?</v>
      </c>
      <c r="P12" s="41" t="e">
        <f t="shared" ca="1" si="0"/>
        <v>#NAME?</v>
      </c>
      <c r="Q12" s="41" t="e">
        <f t="shared" ca="1" si="1"/>
        <v>#NAME?</v>
      </c>
      <c r="R12" s="41" t="e">
        <f t="shared" ca="1" si="2"/>
        <v>#NAME?</v>
      </c>
      <c r="S12" s="89" t="e">
        <f t="shared" ca="1" si="3"/>
        <v>#NAME?</v>
      </c>
      <c r="T12" s="87" t="e">
        <f t="shared" ca="1" si="5"/>
        <v>#NAME?</v>
      </c>
      <c r="U12" s="41" t="e">
        <f ca="1">[2]!interpol(A12,'[3]CA basé sur Ariane 3'!$A$6:$A$23,'[3]CA basé sur Ariane 3'!$B$6:$B$23)*PI()*(Géométrie!$B$3^2-Géométrie!$B$82^2)/$B$1</f>
        <v>#NAME?</v>
      </c>
      <c r="V12" s="41"/>
      <c r="W12" s="89" t="e">
        <f t="shared" ca="1" si="6"/>
        <v>#NAME?</v>
      </c>
      <c r="X12" s="87"/>
      <c r="Y12" s="41"/>
      <c r="Z12" s="41"/>
      <c r="AA12" s="89"/>
      <c r="AB12" s="41" t="e">
        <f ca="1">[2]!interpol(A12,[4]jupA_data!$A$2:$A$10,[4]jupA_data!$B$2:$B$10)*PI()*(Géométrie!$B$88^2-Géométrie!$B$63^2)/$B$1*COS(ATAN((Géométrie!$B$88-Géométrie!$B$63)/Géométrie!$B$76))^2/100</f>
        <v>#NAME?</v>
      </c>
      <c r="AC12" s="41" t="e">
        <f ca="1">[2]!interpol(A12,[4]jupkp_data5deg!$A$1:$A$106,[4]jupkp_data5deg!$B$1:$B$106)*PI()*(Géométrie!$B$88^2-Géométrie!$B$63^2)/$B$1</f>
        <v>#NAME?</v>
      </c>
      <c r="AD12" s="41">
        <f>0.4*Géométrie!$B$76</f>
        <v>0</v>
      </c>
      <c r="AE12" s="41" t="e">
        <f ca="1">AB12*(AD12+Géométrie!$B$83+Géométrie!$B$56+Géométrie!$B$2)/$B$2</f>
        <v>#NAME?</v>
      </c>
      <c r="AF12" s="87"/>
      <c r="AG12" s="41"/>
      <c r="AH12" s="41"/>
      <c r="AI12" s="89"/>
    </row>
    <row r="13" spans="1:35">
      <c r="A13" s="112">
        <v>0.94</v>
      </c>
      <c r="B13" s="87" t="e">
        <f ca="1">[1]!InterpCn(Géométrie!$B$4,$A13,Géométrie!$B$9)*PI()*Géométrie!$B$3^2/4/$B$1</f>
        <v>#NAME?</v>
      </c>
      <c r="C13" s="41" t="e">
        <f ca="1">'Tableaux aéro'!K81*A13*Géométrie!$B$2</f>
        <v>#NAME?</v>
      </c>
      <c r="D13" s="41" t="e">
        <f ca="1">0.445/POWER(LOG(C13),2.58)/POWER(1+0.15*A13^2,0.58)*Géométrie!$B$10/$B$1</f>
        <v>#NAME?</v>
      </c>
      <c r="E13" s="41" t="e">
        <f ca="1">'Tableaux aéro'!X11</f>
        <v>#NAME?</v>
      </c>
      <c r="F13" s="41" t="e">
        <f t="shared" ca="1" si="4"/>
        <v>#NAME?</v>
      </c>
      <c r="G13" s="87" t="e">
        <f ca="1">'Tableaux aéro'!J11*PI()/180*PI()*Géométrie!$B$3^2/4/$B$1</f>
        <v>#NAME?</v>
      </c>
      <c r="H13" s="41">
        <f>'Tableaux aéro'!B11*PI()*Géométrie!$B$3^2/4/$B$1</f>
        <v>0.17333218281249996</v>
      </c>
      <c r="I13" s="41" t="e">
        <f ca="1">'Tableaux aéro'!R11*Géométrie!$B$3</f>
        <v>#NAME?</v>
      </c>
      <c r="J13" s="41" t="e">
        <f ca="1">G13*(I13-Géométrie!$F$12)/$B$2</f>
        <v>#NAME?</v>
      </c>
      <c r="K13" s="87" t="e">
        <f ca="1">[1]!InterpCn(10,$A13,Géométrie!$F$13/Géométrie!$B$3)*Géométrie!$B$3^2*PI()/4/Aerodynamique!$B$1</f>
        <v>#NAME?</v>
      </c>
      <c r="L13" s="41" t="e">
        <f ca="1">'Tableaux aéro'!K81*A13*Géométrie!$F$13</f>
        <v>#NAME?</v>
      </c>
      <c r="M13" s="41" t="e">
        <f ca="1">0.445/POWER(LOG(L13),2.58)/POWER(1+0.15*A13^2,0.58)*Géométrie!$B$10/$B$1</f>
        <v>#NAME?</v>
      </c>
      <c r="N13" s="41"/>
      <c r="O13" s="89" t="e">
        <f ca="1">[1]!InterpCm(10,$A13,Géométrie!$F$13/Géométrie!$B$3)*Géométrie!$B$3^2*PI()/4/$B$1</f>
        <v>#NAME?</v>
      </c>
      <c r="P13" s="41" t="e">
        <f t="shared" ca="1" si="0"/>
        <v>#NAME?</v>
      </c>
      <c r="Q13" s="41" t="e">
        <f t="shared" ca="1" si="1"/>
        <v>#NAME?</v>
      </c>
      <c r="R13" s="41" t="e">
        <f t="shared" ca="1" si="2"/>
        <v>#NAME?</v>
      </c>
      <c r="S13" s="89" t="e">
        <f t="shared" ca="1" si="3"/>
        <v>#NAME?</v>
      </c>
      <c r="T13" s="87" t="e">
        <f t="shared" ca="1" si="5"/>
        <v>#NAME?</v>
      </c>
      <c r="U13" s="41" t="e">
        <f ca="1">[2]!interpol(A13,'[3]CA basé sur Ariane 3'!$A$6:$A$23,'[3]CA basé sur Ariane 3'!$B$6:$B$23)*PI()*(Géométrie!$B$3^2-Géométrie!$B$82^2)/$B$1</f>
        <v>#NAME?</v>
      </c>
      <c r="V13" s="41"/>
      <c r="W13" s="89" t="e">
        <f t="shared" ca="1" si="6"/>
        <v>#NAME?</v>
      </c>
      <c r="X13" s="87"/>
      <c r="Y13" s="41"/>
      <c r="Z13" s="41"/>
      <c r="AA13" s="89"/>
      <c r="AB13" s="41" t="e">
        <f ca="1">[2]!interpol(A13,[4]jupA_data!$A$2:$A$10,[4]jupA_data!$B$2:$B$10)*PI()*(Géométrie!$B$88^2-Géométrie!$B$63^2)/$B$1*COS(ATAN((Géométrie!$B$88-Géométrie!$B$63)/Géométrie!$B$76))^2/100</f>
        <v>#NAME?</v>
      </c>
      <c r="AC13" s="41" t="e">
        <f ca="1">[2]!interpol(A13,[4]jupkp_data5deg!$A$1:$A$106,[4]jupkp_data5deg!$B$1:$B$106)*PI()*(Géométrie!$B$88^2-Géométrie!$B$63^2)/$B$1</f>
        <v>#NAME?</v>
      </c>
      <c r="AD13" s="41">
        <f>0.4*Géométrie!$B$76</f>
        <v>0</v>
      </c>
      <c r="AE13" s="41" t="e">
        <f ca="1">AB13*(AD13+Géométrie!$B$83+Géométrie!$B$56+Géométrie!$B$2)/$B$2</f>
        <v>#NAME?</v>
      </c>
      <c r="AF13" s="87"/>
      <c r="AG13" s="41"/>
      <c r="AH13" s="41"/>
      <c r="AI13" s="89"/>
    </row>
    <row r="14" spans="1:35">
      <c r="A14" s="112">
        <v>0.96</v>
      </c>
      <c r="B14" s="87" t="e">
        <f ca="1">[1]!InterpCn(Géométrie!$B$4,$A14,Géométrie!$B$9)*PI()*Géométrie!$B$3^2/4/$B$1</f>
        <v>#NAME?</v>
      </c>
      <c r="C14" s="41" t="e">
        <f ca="1">'Tableaux aéro'!K82*A14*Géométrie!$B$2</f>
        <v>#NAME?</v>
      </c>
      <c r="D14" s="41" t="e">
        <f ca="1">0.445/POWER(LOG(C14),2.58)/POWER(1+0.15*A14^2,0.58)*Géométrie!$B$10/$B$1</f>
        <v>#NAME?</v>
      </c>
      <c r="E14" s="41" t="e">
        <f ca="1">'Tableaux aéro'!X12</f>
        <v>#NAME?</v>
      </c>
      <c r="F14" s="41" t="e">
        <f t="shared" ca="1" si="4"/>
        <v>#NAME?</v>
      </c>
      <c r="G14" s="87" t="e">
        <f ca="1">'Tableaux aéro'!J12*PI()/180*PI()*Géométrie!$B$3^2/4/$B$1</f>
        <v>#NAME?</v>
      </c>
      <c r="H14" s="41">
        <f>'Tableaux aéro'!B12*PI()*Géométrie!$B$3^2/4/$B$1</f>
        <v>0.1856614421875</v>
      </c>
      <c r="I14" s="41" t="e">
        <f ca="1">'Tableaux aéro'!R12*Géométrie!$B$3</f>
        <v>#NAME?</v>
      </c>
      <c r="J14" s="41" t="e">
        <f ca="1">G14*(I14-Géométrie!$F$12)/$B$2</f>
        <v>#NAME?</v>
      </c>
      <c r="K14" s="87" t="e">
        <f ca="1">[1]!InterpCn(10,$A14,Géométrie!$F$13/Géométrie!$B$3)*Géométrie!$B$3^2*PI()/4/Aerodynamique!$B$1</f>
        <v>#NAME?</v>
      </c>
      <c r="L14" s="41" t="e">
        <f ca="1">'Tableaux aéro'!K82*A14*Géométrie!$F$13</f>
        <v>#NAME?</v>
      </c>
      <c r="M14" s="41" t="e">
        <f ca="1">0.445/POWER(LOG(L14),2.58)/POWER(1+0.15*A14^2,0.58)*Géométrie!$B$10/$B$1</f>
        <v>#NAME?</v>
      </c>
      <c r="N14" s="41"/>
      <c r="O14" s="89" t="e">
        <f ca="1">[1]!InterpCm(10,$A14,Géométrie!$F$13/Géométrie!$B$3)*Géométrie!$B$3^2*PI()/4/$B$1</f>
        <v>#NAME?</v>
      </c>
      <c r="P14" s="41" t="e">
        <f t="shared" ca="1" si="0"/>
        <v>#NAME?</v>
      </c>
      <c r="Q14" s="41" t="e">
        <f t="shared" ca="1" si="1"/>
        <v>#NAME?</v>
      </c>
      <c r="R14" s="41" t="e">
        <f t="shared" ca="1" si="2"/>
        <v>#NAME?</v>
      </c>
      <c r="S14" s="89" t="e">
        <f t="shared" ca="1" si="3"/>
        <v>#NAME?</v>
      </c>
      <c r="T14" s="87" t="e">
        <f t="shared" ca="1" si="5"/>
        <v>#NAME?</v>
      </c>
      <c r="U14" s="41" t="e">
        <f ca="1">[2]!interpol(A14,'[3]CA basé sur Ariane 3'!$A$6:$A$23,'[3]CA basé sur Ariane 3'!$B$6:$B$23)*PI()*(Géométrie!$B$3^2-Géométrie!$B$82^2)/$B$1</f>
        <v>#NAME?</v>
      </c>
      <c r="V14" s="41"/>
      <c r="W14" s="89" t="e">
        <f t="shared" ca="1" si="6"/>
        <v>#NAME?</v>
      </c>
      <c r="X14" s="87"/>
      <c r="Y14" s="41"/>
      <c r="Z14" s="41"/>
      <c r="AA14" s="89"/>
      <c r="AB14" s="41" t="e">
        <f ca="1">[2]!interpol(A14,[4]jupA_data!$A$2:$A$10,[4]jupA_data!$B$2:$B$10)*PI()*(Géométrie!$B$88^2-Géométrie!$B$63^2)/$B$1*COS(ATAN((Géométrie!$B$88-Géométrie!$B$63)/Géométrie!$B$76))^2/100</f>
        <v>#NAME?</v>
      </c>
      <c r="AC14" s="41" t="e">
        <f ca="1">[2]!interpol(A14,[4]jupkp_data5deg!$A$1:$A$106,[4]jupkp_data5deg!$B$1:$B$106)*PI()*(Géométrie!$B$88^2-Géométrie!$B$63^2)/$B$1</f>
        <v>#NAME?</v>
      </c>
      <c r="AD14" s="41">
        <f>0.4*Géométrie!$B$76</f>
        <v>0</v>
      </c>
      <c r="AE14" s="41" t="e">
        <f ca="1">AB14*(AD14+Géométrie!$B$83+Géométrie!$B$56+Géométrie!$B$2)/$B$2</f>
        <v>#NAME?</v>
      </c>
      <c r="AF14" s="87"/>
      <c r="AG14" s="41"/>
      <c r="AH14" s="41"/>
      <c r="AI14" s="89"/>
    </row>
    <row r="15" spans="1:35">
      <c r="A15" s="112">
        <v>0.98</v>
      </c>
      <c r="B15" s="87" t="e">
        <f ca="1">[1]!InterpCn(Géométrie!$B$4,$A15,Géométrie!$B$9)*PI()*Géométrie!$B$3^2/4/$B$1</f>
        <v>#NAME?</v>
      </c>
      <c r="C15" s="41" t="e">
        <f ca="1">'Tableaux aéro'!K83*A15*Géométrie!$B$2</f>
        <v>#NAME?</v>
      </c>
      <c r="D15" s="41" t="e">
        <f ca="1">0.445/POWER(LOG(C15),2.58)/POWER(1+0.15*A15^2,0.58)*Géométrie!$B$10/$B$1</f>
        <v>#NAME?</v>
      </c>
      <c r="E15" s="41" t="e">
        <f ca="1">'Tableaux aéro'!X13</f>
        <v>#NAME?</v>
      </c>
      <c r="F15" s="41" t="e">
        <f t="shared" ca="1" si="4"/>
        <v>#NAME?</v>
      </c>
      <c r="G15" s="87" t="e">
        <f ca="1">'Tableaux aéro'!J13*PI()/180*PI()*Géométrie!$B$3^2/4/$B$1</f>
        <v>#NAME?</v>
      </c>
      <c r="H15" s="41">
        <f>'Tableaux aéro'!B13*PI()*Géométrie!$B$3^2/4/$B$1</f>
        <v>0.19832784062499997</v>
      </c>
      <c r="I15" s="41" t="e">
        <f ca="1">'Tableaux aéro'!R13*Géométrie!$B$3</f>
        <v>#NAME?</v>
      </c>
      <c r="J15" s="41" t="e">
        <f ca="1">G15*(I15-Géométrie!$F$12)/$B$2</f>
        <v>#NAME?</v>
      </c>
      <c r="K15" s="87" t="e">
        <f ca="1">[1]!InterpCn(10,$A15,Géométrie!$F$13/Géométrie!$B$3)*Géométrie!$B$3^2*PI()/4/Aerodynamique!$B$1</f>
        <v>#NAME?</v>
      </c>
      <c r="L15" s="41" t="e">
        <f ca="1">'Tableaux aéro'!K83*A15*Géométrie!$F$13</f>
        <v>#NAME?</v>
      </c>
      <c r="M15" s="41" t="e">
        <f ca="1">0.445/POWER(LOG(L15),2.58)/POWER(1+0.15*A15^2,0.58)*Géométrie!$B$10/$B$1</f>
        <v>#NAME?</v>
      </c>
      <c r="N15" s="41"/>
      <c r="O15" s="89" t="e">
        <f ca="1">[1]!InterpCm(10,$A15,Géométrie!$F$13/Géométrie!$B$3)*Géométrie!$B$3^2*PI()/4/$B$1</f>
        <v>#NAME?</v>
      </c>
      <c r="P15" s="41" t="e">
        <f t="shared" ca="1" si="0"/>
        <v>#NAME?</v>
      </c>
      <c r="Q15" s="41" t="e">
        <f t="shared" ca="1" si="1"/>
        <v>#NAME?</v>
      </c>
      <c r="R15" s="41" t="e">
        <f t="shared" ca="1" si="2"/>
        <v>#NAME?</v>
      </c>
      <c r="S15" s="89" t="e">
        <f t="shared" ca="1" si="3"/>
        <v>#NAME?</v>
      </c>
      <c r="T15" s="87" t="e">
        <f t="shared" ca="1" si="5"/>
        <v>#NAME?</v>
      </c>
      <c r="U15" s="41" t="e">
        <f ca="1">[2]!interpol(A15,'[3]CA basé sur Ariane 3'!$A$6:$A$23,'[3]CA basé sur Ariane 3'!$B$6:$B$23)*PI()*(Géométrie!$B$3^2-Géométrie!$B$82^2)/$B$1</f>
        <v>#NAME?</v>
      </c>
      <c r="V15" s="41"/>
      <c r="W15" s="89" t="e">
        <f t="shared" ca="1" si="6"/>
        <v>#NAME?</v>
      </c>
      <c r="X15" s="87"/>
      <c r="Y15" s="41"/>
      <c r="Z15" s="41"/>
      <c r="AA15" s="89"/>
      <c r="AB15" s="41" t="e">
        <f ca="1">[2]!interpol(A15,[4]jupA_data!$A$2:$A$10,[4]jupA_data!$B$2:$B$10)*PI()*(Géométrie!$B$88^2-Géométrie!$B$63^2)/$B$1*COS(ATAN((Géométrie!$B$88-Géométrie!$B$63)/Géométrie!$B$76))^2/100</f>
        <v>#NAME?</v>
      </c>
      <c r="AC15" s="41" t="e">
        <f ca="1">[2]!interpol(A15,[4]jupkp_data5deg!$A$1:$A$106,[4]jupkp_data5deg!$B$1:$B$106)*PI()*(Géométrie!$B$88^2-Géométrie!$B$63^2)/$B$1</f>
        <v>#NAME?</v>
      </c>
      <c r="AD15" s="41">
        <f>0.4*Géométrie!$B$76</f>
        <v>0</v>
      </c>
      <c r="AE15" s="41" t="e">
        <f ca="1">AB15*(AD15+Géométrie!$B$83+Géométrie!$B$56+Géométrie!$B$2)/$B$2</f>
        <v>#NAME?</v>
      </c>
      <c r="AF15" s="87"/>
      <c r="AG15" s="41"/>
      <c r="AH15" s="41"/>
      <c r="AI15" s="89"/>
    </row>
    <row r="16" spans="1:35">
      <c r="A16" s="112">
        <v>1</v>
      </c>
      <c r="B16" s="87" t="e">
        <f ca="1">[1]!InterpCn(Géométrie!$B$4,$A16,Géométrie!$B$9)*PI()*Géométrie!$B$3^2/4/$B$1</f>
        <v>#NAME?</v>
      </c>
      <c r="C16" s="41" t="e">
        <f ca="1">'Tableaux aéro'!K84*A16*Géométrie!$B$2</f>
        <v>#NAME?</v>
      </c>
      <c r="D16" s="41" t="e">
        <f ca="1">0.445/POWER(LOG(C16),2.58)/POWER(1+0.15*A16^2,0.58)*Géométrie!$B$10/$B$1</f>
        <v>#NAME?</v>
      </c>
      <c r="E16" s="41" t="e">
        <f ca="1">'Tableaux aéro'!X14</f>
        <v>#NAME?</v>
      </c>
      <c r="F16" s="41" t="e">
        <f t="shared" ca="1" si="4"/>
        <v>#NAME?</v>
      </c>
      <c r="G16" s="87" t="e">
        <f ca="1">'Tableaux aéro'!J14*PI()/180*PI()*Géométrie!$B$3^2/4/$B$1</f>
        <v>#NAME?</v>
      </c>
      <c r="H16" s="41">
        <f>'Tableaux aéro'!B14*PI()*Géométrie!$B$3^2/4/$B$1</f>
        <v>0.21111040468749998</v>
      </c>
      <c r="I16" s="41" t="e">
        <f ca="1">'Tableaux aéro'!R14*Géométrie!$B$3</f>
        <v>#NAME?</v>
      </c>
      <c r="J16" s="41" t="e">
        <f ca="1">G16*(I16-Géométrie!$F$12)/$B$2</f>
        <v>#NAME?</v>
      </c>
      <c r="K16" s="87" t="e">
        <f ca="1">[1]!InterpCn(10,$A16,Géométrie!$F$13/Géométrie!$B$3)*Géométrie!$B$3^2*PI()/4/Aerodynamique!$B$1</f>
        <v>#NAME?</v>
      </c>
      <c r="L16" s="41" t="e">
        <f ca="1">'Tableaux aéro'!K84*A16*Géométrie!$F$13</f>
        <v>#NAME?</v>
      </c>
      <c r="M16" s="41" t="e">
        <f ca="1">0.445/POWER(LOG(L16),2.58)/POWER(1+0.15*A16^2,0.58)*Géométrie!$B$10/$B$1</f>
        <v>#NAME?</v>
      </c>
      <c r="N16" s="41"/>
      <c r="O16" s="89" t="e">
        <f ca="1">[1]!InterpCm(10,$A16,Géométrie!$F$13/Géométrie!$B$3)*Géométrie!$B$3^2*PI()/4/$B$1</f>
        <v>#NAME?</v>
      </c>
      <c r="P16" s="41" t="e">
        <f t="shared" ca="1" si="0"/>
        <v>#NAME?</v>
      </c>
      <c r="Q16" s="41" t="e">
        <f t="shared" ca="1" si="1"/>
        <v>#NAME?</v>
      </c>
      <c r="R16" s="41" t="e">
        <f t="shared" ca="1" si="2"/>
        <v>#NAME?</v>
      </c>
      <c r="S16" s="89" t="e">
        <f t="shared" ca="1" si="3"/>
        <v>#NAME?</v>
      </c>
      <c r="T16" s="87" t="e">
        <f t="shared" ca="1" si="5"/>
        <v>#NAME?</v>
      </c>
      <c r="U16" s="41" t="e">
        <f ca="1">[2]!interpol(A16,'[3]CA basé sur Ariane 3'!$A$6:$A$23,'[3]CA basé sur Ariane 3'!$B$6:$B$23)*PI()*(Géométrie!$B$3^2-Géométrie!$B$82^2)/$B$1</f>
        <v>#NAME?</v>
      </c>
      <c r="V16" s="41"/>
      <c r="W16" s="89" t="e">
        <f t="shared" ca="1" si="6"/>
        <v>#NAME?</v>
      </c>
      <c r="X16" s="87"/>
      <c r="Y16" s="41"/>
      <c r="Z16" s="41"/>
      <c r="AA16" s="89"/>
      <c r="AB16" s="41" t="e">
        <f ca="1">[2]!interpol(A16,[4]jupA_data!$A$2:$A$10,[4]jupA_data!$B$2:$B$10)*PI()*(Géométrie!$B$88^2-Géométrie!$B$63^2)/$B$1*COS(ATAN((Géométrie!$B$88-Géométrie!$B$63)/Géométrie!$B$76))^2/100</f>
        <v>#NAME?</v>
      </c>
      <c r="AC16" s="41" t="e">
        <f ca="1">[2]!interpol(A16,[4]jupkp_data5deg!$A$1:$A$106,[4]jupkp_data5deg!$B$1:$B$106)*PI()*(Géométrie!$B$88^2-Géométrie!$B$63^2)/$B$1</f>
        <v>#NAME?</v>
      </c>
      <c r="AD16" s="41">
        <f>0.4*Géométrie!$B$76</f>
        <v>0</v>
      </c>
      <c r="AE16" s="41" t="e">
        <f ca="1">AB16*(AD16+Géométrie!$B$83+Géométrie!$B$56+Géométrie!$B$2)/$B$2</f>
        <v>#NAME?</v>
      </c>
      <c r="AF16" s="87"/>
      <c r="AG16" s="41"/>
      <c r="AH16" s="41"/>
      <c r="AI16" s="89"/>
    </row>
    <row r="17" spans="1:35">
      <c r="A17" s="112">
        <v>1.02</v>
      </c>
      <c r="B17" s="87" t="e">
        <f ca="1">[1]!InterpCn(Géométrie!$B$4,$A17,Géométrie!$B$9)*PI()*Géométrie!$B$3^2/4/$B$1</f>
        <v>#NAME?</v>
      </c>
      <c r="C17" s="41" t="e">
        <f ca="1">'Tableaux aéro'!K85*A17*Géométrie!$B$2</f>
        <v>#NAME?</v>
      </c>
      <c r="D17" s="41" t="e">
        <f ca="1">0.445/POWER(LOG(C17),2.58)/POWER(1+0.15*A17^2,0.58)*Géométrie!$B$10/$B$1</f>
        <v>#NAME?</v>
      </c>
      <c r="E17" s="41" t="e">
        <f ca="1">'Tableaux aéro'!X15</f>
        <v>#NAME?</v>
      </c>
      <c r="F17" s="41" t="e">
        <f t="shared" ca="1" si="4"/>
        <v>#NAME?</v>
      </c>
      <c r="G17" s="87" t="e">
        <f ca="1">'Tableaux aéro'!J15*PI()/180*PI()*Géométrie!$B$3^2/4/$B$1</f>
        <v>#NAME?</v>
      </c>
      <c r="H17" s="41">
        <f>'Tableaux aéro'!B15*PI()*Géométrie!$B$3^2/4/$B$1</f>
        <v>0.22389296874999992</v>
      </c>
      <c r="I17" s="41" t="e">
        <f ca="1">'Tableaux aéro'!R15*Géométrie!$B$3</f>
        <v>#NAME?</v>
      </c>
      <c r="J17" s="41" t="e">
        <f ca="1">G17*(I17-Géométrie!$F$12)/$B$2</f>
        <v>#NAME?</v>
      </c>
      <c r="K17" s="87" t="e">
        <f ca="1">[1]!InterpCn(10,$A17,Géométrie!$F$13/Géométrie!$B$3)*Géométrie!$B$3^2*PI()/4/Aerodynamique!$B$1</f>
        <v>#NAME?</v>
      </c>
      <c r="L17" s="41" t="e">
        <f ca="1">'Tableaux aéro'!K85*A17*Géométrie!$F$13</f>
        <v>#NAME?</v>
      </c>
      <c r="M17" s="41" t="e">
        <f ca="1">0.445/POWER(LOG(L17),2.58)/POWER(1+0.15*A17^2,0.58)*Géométrie!$B$10/$B$1</f>
        <v>#NAME?</v>
      </c>
      <c r="N17" s="41"/>
      <c r="O17" s="89" t="e">
        <f ca="1">[1]!InterpCm(10,$A17,Géométrie!$F$13/Géométrie!$B$3)*Géométrie!$B$3^2*PI()/4/$B$1</f>
        <v>#NAME?</v>
      </c>
      <c r="P17" s="41" t="e">
        <f t="shared" ca="1" si="0"/>
        <v>#NAME?</v>
      </c>
      <c r="Q17" s="41" t="e">
        <f t="shared" ca="1" si="1"/>
        <v>#NAME?</v>
      </c>
      <c r="R17" s="41" t="e">
        <f t="shared" ca="1" si="2"/>
        <v>#NAME?</v>
      </c>
      <c r="S17" s="89" t="e">
        <f t="shared" ca="1" si="3"/>
        <v>#NAME?</v>
      </c>
      <c r="T17" s="87" t="e">
        <f t="shared" ca="1" si="5"/>
        <v>#NAME?</v>
      </c>
      <c r="U17" s="41" t="e">
        <f ca="1">[2]!interpol(A17,'[3]CA basé sur Ariane 3'!$A$6:$A$23,'[3]CA basé sur Ariane 3'!$B$6:$B$23)*PI()*(Géométrie!$B$3^2-Géométrie!$B$82^2)/$B$1</f>
        <v>#NAME?</v>
      </c>
      <c r="V17" s="41"/>
      <c r="W17" s="89" t="e">
        <f t="shared" ca="1" si="6"/>
        <v>#NAME?</v>
      </c>
      <c r="X17" s="87"/>
      <c r="Y17" s="41"/>
      <c r="Z17" s="41"/>
      <c r="AA17" s="89"/>
      <c r="AB17" s="41" t="e">
        <f ca="1">[2]!interpol(A17,[4]jupA_data!$A$2:$A$10,[4]jupA_data!$B$2:$B$10)*PI()*(Géométrie!$B$88^2-Géométrie!$B$63^2)/$B$1*COS(ATAN((Géométrie!$B$88-Géométrie!$B$63)/Géométrie!$B$76))^2/100</f>
        <v>#NAME?</v>
      </c>
      <c r="AC17" s="41" t="e">
        <f ca="1">[2]!interpol(A17,[4]jupkp_data5deg!$A$1:$A$106,[4]jupkp_data5deg!$B$1:$B$106)*PI()*(Géométrie!$B$88^2-Géométrie!$B$63^2)/$B$1</f>
        <v>#NAME?</v>
      </c>
      <c r="AD17" s="41">
        <f>0.4*Géométrie!$B$76</f>
        <v>0</v>
      </c>
      <c r="AE17" s="41" t="e">
        <f ca="1">AB17*(AD17+Géométrie!$B$83+Géométrie!$B$56+Géométrie!$B$2)/$B$2</f>
        <v>#NAME?</v>
      </c>
      <c r="AF17" s="87"/>
      <c r="AG17" s="41"/>
      <c r="AH17" s="41"/>
      <c r="AI17" s="89"/>
    </row>
    <row r="18" spans="1:35">
      <c r="A18" s="112">
        <v>1.04</v>
      </c>
      <c r="B18" s="87" t="e">
        <f ca="1">[1]!InterpCn(Géométrie!$B$4,$A18,Géométrie!$B$9)*PI()*Géométrie!$B$3^2/4/$B$1</f>
        <v>#NAME?</v>
      </c>
      <c r="C18" s="41" t="e">
        <f ca="1">'Tableaux aéro'!K86*A18*Géométrie!$B$2</f>
        <v>#NAME?</v>
      </c>
      <c r="D18" s="41" t="e">
        <f ca="1">0.445/POWER(LOG(C18),2.58)/POWER(1+0.15*A18^2,0.58)*Géométrie!$B$10/$B$1</f>
        <v>#NAME?</v>
      </c>
      <c r="E18" s="41" t="e">
        <f ca="1">'Tableaux aéro'!X16</f>
        <v>#NAME?</v>
      </c>
      <c r="F18" s="41" t="e">
        <f t="shared" ca="1" si="4"/>
        <v>#NAME?</v>
      </c>
      <c r="G18" s="87" t="e">
        <f ca="1">'Tableaux aéro'!J16*PI()/180*PI()*Géométrie!$B$3^2/4/$B$1</f>
        <v>#NAME?</v>
      </c>
      <c r="H18" s="41">
        <f>'Tableaux aéro'!B16*PI()*Géométrie!$B$3^2/4/$B$1</f>
        <v>0.23667553124999999</v>
      </c>
      <c r="I18" s="41" t="e">
        <f ca="1">'Tableaux aéro'!R16*Géométrie!$B$3</f>
        <v>#NAME?</v>
      </c>
      <c r="J18" s="41" t="e">
        <f ca="1">G18*(I18-Géométrie!$F$12)/$B$2</f>
        <v>#NAME?</v>
      </c>
      <c r="K18" s="87" t="e">
        <f ca="1">[1]!InterpCn(10,$A18,Géométrie!$F$13/Géométrie!$B$3)*Géométrie!$B$3^2*PI()/4/Aerodynamique!$B$1</f>
        <v>#NAME?</v>
      </c>
      <c r="L18" s="41" t="e">
        <f ca="1">'Tableaux aéro'!K86*A18*Géométrie!$F$13</f>
        <v>#NAME?</v>
      </c>
      <c r="M18" s="41" t="e">
        <f ca="1">0.445/POWER(LOG(L18),2.58)/POWER(1+0.15*A18^2,0.58)*Géométrie!$B$10/$B$1</f>
        <v>#NAME?</v>
      </c>
      <c r="N18" s="41"/>
      <c r="O18" s="89" t="e">
        <f ca="1">[1]!InterpCm(10,$A18,Géométrie!$F$13/Géométrie!$B$3)*Géométrie!$B$3^2*PI()/4/$B$1</f>
        <v>#NAME?</v>
      </c>
      <c r="P18" s="41" t="e">
        <f t="shared" ca="1" si="0"/>
        <v>#NAME?</v>
      </c>
      <c r="Q18" s="41" t="e">
        <f t="shared" ca="1" si="1"/>
        <v>#NAME?</v>
      </c>
      <c r="R18" s="41" t="e">
        <f t="shared" ca="1" si="2"/>
        <v>#NAME?</v>
      </c>
      <c r="S18" s="89" t="e">
        <f t="shared" ca="1" si="3"/>
        <v>#NAME?</v>
      </c>
      <c r="T18" s="87" t="e">
        <f t="shared" ca="1" si="5"/>
        <v>#NAME?</v>
      </c>
      <c r="U18" s="41" t="e">
        <f ca="1">[2]!interpol(A18,'[3]CA basé sur Ariane 3'!$A$6:$A$23,'[3]CA basé sur Ariane 3'!$B$6:$B$23)*PI()*(Géométrie!$B$3^2-Géométrie!$B$82^2)/$B$1</f>
        <v>#NAME?</v>
      </c>
      <c r="V18" s="41"/>
      <c r="W18" s="89" t="e">
        <f t="shared" ca="1" si="6"/>
        <v>#NAME?</v>
      </c>
      <c r="X18" s="87"/>
      <c r="Y18" s="41"/>
      <c r="Z18" s="41"/>
      <c r="AA18" s="89"/>
      <c r="AB18" s="41" t="e">
        <f ca="1">[2]!interpol(A18,[4]jupA_data!$A$2:$A$10,[4]jupA_data!$B$2:$B$10)*PI()*(Géométrie!$B$88^2-Géométrie!$B$63^2)/$B$1*COS(ATAN((Géométrie!$B$88-Géométrie!$B$63)/Géométrie!$B$76))^2/100</f>
        <v>#NAME?</v>
      </c>
      <c r="AC18" s="41" t="e">
        <f ca="1">[2]!interpol(A18,[4]jupkp_data5deg!$A$1:$A$106,[4]jupkp_data5deg!$B$1:$B$106)*PI()*(Géométrie!$B$88^2-Géométrie!$B$63^2)/$B$1</f>
        <v>#NAME?</v>
      </c>
      <c r="AD18" s="41">
        <f>0.4*Géométrie!$B$76</f>
        <v>0</v>
      </c>
      <c r="AE18" s="41" t="e">
        <f ca="1">AB18*(AD18+Géométrie!$B$83+Géométrie!$B$56+Géométrie!$B$2)/$B$2</f>
        <v>#NAME?</v>
      </c>
      <c r="AF18" s="87"/>
      <c r="AG18" s="41"/>
      <c r="AH18" s="41"/>
      <c r="AI18" s="89"/>
    </row>
    <row r="19" spans="1:35">
      <c r="A19" s="112">
        <v>1.06</v>
      </c>
      <c r="B19" s="87" t="e">
        <f ca="1">[1]!InterpCn(Géométrie!$B$4,$A19,Géométrie!$B$9)*PI()*Géométrie!$B$3^2/4/$B$1</f>
        <v>#NAME?</v>
      </c>
      <c r="C19" s="41" t="e">
        <f ca="1">'Tableaux aéro'!K87*A19*Géométrie!$B$2</f>
        <v>#NAME?</v>
      </c>
      <c r="D19" s="41" t="e">
        <f ca="1">0.445/POWER(LOG(C19),2.58)/POWER(1+0.15*A19^2,0.58)*Géométrie!$B$10/$B$1</f>
        <v>#NAME?</v>
      </c>
      <c r="E19" s="41" t="e">
        <f ca="1">'Tableaux aéro'!X17</f>
        <v>#NAME?</v>
      </c>
      <c r="F19" s="41" t="e">
        <f t="shared" ca="1" si="4"/>
        <v>#NAME?</v>
      </c>
      <c r="G19" s="87" t="e">
        <f ca="1">'Tableaux aéro'!J17*PI()/180*PI()*Géométrie!$B$3^2/4/$B$1</f>
        <v>#NAME?</v>
      </c>
      <c r="H19" s="41">
        <f>'Tableaux aéro'!B17*PI()*Géométrie!$B$3^2/4/$B$1</f>
        <v>0.24945809531249999</v>
      </c>
      <c r="I19" s="41" t="e">
        <f ca="1">'Tableaux aéro'!R17*Géométrie!$B$3</f>
        <v>#NAME?</v>
      </c>
      <c r="J19" s="41" t="e">
        <f ca="1">G19*(I19-Géométrie!$F$12)/$B$2</f>
        <v>#NAME?</v>
      </c>
      <c r="K19" s="87" t="e">
        <f ca="1">[1]!InterpCn(10,$A19,Géométrie!$F$13/Géométrie!$B$3)*Géométrie!$B$3^2*PI()/4/Aerodynamique!$B$1</f>
        <v>#NAME?</v>
      </c>
      <c r="L19" s="41" t="e">
        <f ca="1">'Tableaux aéro'!K87*A19*Géométrie!$F$13</f>
        <v>#NAME?</v>
      </c>
      <c r="M19" s="41" t="e">
        <f ca="1">0.445/POWER(LOG(L19),2.58)/POWER(1+0.15*A19^2,0.58)*Géométrie!$B$10/$B$1</f>
        <v>#NAME?</v>
      </c>
      <c r="N19" s="41"/>
      <c r="O19" s="89" t="e">
        <f ca="1">[1]!InterpCm(10,$A19,Géométrie!$F$13/Géométrie!$B$3)*Géométrie!$B$3^2*PI()/4/$B$1</f>
        <v>#NAME?</v>
      </c>
      <c r="P19" s="41" t="e">
        <f t="shared" ca="1" si="0"/>
        <v>#NAME?</v>
      </c>
      <c r="Q19" s="41" t="e">
        <f t="shared" ca="1" si="1"/>
        <v>#NAME?</v>
      </c>
      <c r="R19" s="41" t="e">
        <f t="shared" ca="1" si="2"/>
        <v>#NAME?</v>
      </c>
      <c r="S19" s="89" t="e">
        <f t="shared" ca="1" si="3"/>
        <v>#NAME?</v>
      </c>
      <c r="T19" s="87" t="e">
        <f t="shared" ca="1" si="5"/>
        <v>#NAME?</v>
      </c>
      <c r="U19" s="41" t="e">
        <f ca="1">[2]!interpol(A19,'[3]CA basé sur Ariane 3'!$A$6:$A$23,'[3]CA basé sur Ariane 3'!$B$6:$B$23)*PI()*(Géométrie!$B$3^2-Géométrie!$B$82^2)/$B$1</f>
        <v>#NAME?</v>
      </c>
      <c r="V19" s="41"/>
      <c r="W19" s="89" t="e">
        <f t="shared" ca="1" si="6"/>
        <v>#NAME?</v>
      </c>
      <c r="X19" s="87"/>
      <c r="Y19" s="41"/>
      <c r="Z19" s="41"/>
      <c r="AA19" s="89"/>
      <c r="AB19" s="41" t="e">
        <f ca="1">[2]!interpol(A19,[4]jupA_data!$A$2:$A$10,[4]jupA_data!$B$2:$B$10)*PI()*(Géométrie!$B$88^2-Géométrie!$B$63^2)/$B$1*COS(ATAN((Géométrie!$B$88-Géométrie!$B$63)/Géométrie!$B$76))^2/100</f>
        <v>#NAME?</v>
      </c>
      <c r="AC19" s="41" t="e">
        <f ca="1">[2]!interpol(A19,[4]jupkp_data5deg!$A$1:$A$106,[4]jupkp_data5deg!$B$1:$B$106)*PI()*(Géométrie!$B$88^2-Géométrie!$B$63^2)/$B$1</f>
        <v>#NAME?</v>
      </c>
      <c r="AD19" s="41">
        <f>0.4*Géométrie!$B$76</f>
        <v>0</v>
      </c>
      <c r="AE19" s="41" t="e">
        <f ca="1">AB19*(AD19+Géométrie!$B$83+Géométrie!$B$56+Géométrie!$B$2)/$B$2</f>
        <v>#NAME?</v>
      </c>
      <c r="AF19" s="87"/>
      <c r="AG19" s="41"/>
      <c r="AH19" s="41"/>
      <c r="AI19" s="89"/>
    </row>
    <row r="20" spans="1:35">
      <c r="A20" s="112">
        <v>1.08</v>
      </c>
      <c r="B20" s="87" t="e">
        <f ca="1">[1]!InterpCn(Géométrie!$B$4,$A20,Géométrie!$B$9)*PI()*Géométrie!$B$3^2/4/$B$1</f>
        <v>#NAME?</v>
      </c>
      <c r="C20" s="41" t="e">
        <f ca="1">'Tableaux aéro'!K88*A20*Géométrie!$B$2</f>
        <v>#NAME?</v>
      </c>
      <c r="D20" s="41" t="e">
        <f ca="1">0.445/POWER(LOG(C20),2.58)/POWER(1+0.15*A20^2,0.58)*Géométrie!$B$10/$B$1</f>
        <v>#NAME?</v>
      </c>
      <c r="E20" s="41" t="e">
        <f ca="1">'Tableaux aéro'!X18</f>
        <v>#NAME?</v>
      </c>
      <c r="F20" s="41" t="e">
        <f t="shared" ca="1" si="4"/>
        <v>#NAME?</v>
      </c>
      <c r="G20" s="87" t="e">
        <f ca="1">'Tableaux aéro'!J18*PI()/180*PI()*Géométrie!$B$3^2/4/$B$1</f>
        <v>#NAME?</v>
      </c>
      <c r="H20" s="41">
        <f>'Tableaux aéro'!B18*PI()*Géométrie!$B$3^2/4/$B$1</f>
        <v>0.26018543437499997</v>
      </c>
      <c r="I20" s="41" t="e">
        <f ca="1">'Tableaux aéro'!R18*Géométrie!$B$3</f>
        <v>#NAME?</v>
      </c>
      <c r="J20" s="41" t="e">
        <f ca="1">G20*(I20-Géométrie!$F$12)/$B$2</f>
        <v>#NAME?</v>
      </c>
      <c r="K20" s="87" t="e">
        <f ca="1">[1]!InterpCn(10,$A20,Géométrie!$F$13/Géométrie!$B$3)*Géométrie!$B$3^2*PI()/4/Aerodynamique!$B$1</f>
        <v>#NAME?</v>
      </c>
      <c r="L20" s="41" t="e">
        <f ca="1">'Tableaux aéro'!K88*A20*Géométrie!$F$13</f>
        <v>#NAME?</v>
      </c>
      <c r="M20" s="41" t="e">
        <f ca="1">0.445/POWER(LOG(L20),2.58)/POWER(1+0.15*A20^2,0.58)*Géométrie!$B$10/$B$1</f>
        <v>#NAME?</v>
      </c>
      <c r="N20" s="41"/>
      <c r="O20" s="89" t="e">
        <f ca="1">[1]!InterpCm(10,$A20,Géométrie!$F$13/Géométrie!$B$3)*Géométrie!$B$3^2*PI()/4/$B$1</f>
        <v>#NAME?</v>
      </c>
      <c r="P20" s="41" t="e">
        <f t="shared" ca="1" si="0"/>
        <v>#NAME?</v>
      </c>
      <c r="Q20" s="41" t="e">
        <f t="shared" ca="1" si="1"/>
        <v>#NAME?</v>
      </c>
      <c r="R20" s="41" t="e">
        <f t="shared" ca="1" si="2"/>
        <v>#NAME?</v>
      </c>
      <c r="S20" s="89" t="e">
        <f t="shared" ca="1" si="3"/>
        <v>#NAME?</v>
      </c>
      <c r="T20" s="87" t="e">
        <f t="shared" ca="1" si="5"/>
        <v>#NAME?</v>
      </c>
      <c r="U20" s="41" t="e">
        <f ca="1">[2]!interpol(A20,'[3]CA basé sur Ariane 3'!$A$6:$A$23,'[3]CA basé sur Ariane 3'!$B$6:$B$23)*PI()*(Géométrie!$B$3^2-Géométrie!$B$82^2)/$B$1</f>
        <v>#NAME?</v>
      </c>
      <c r="V20" s="41"/>
      <c r="W20" s="89" t="e">
        <f t="shared" ca="1" si="6"/>
        <v>#NAME?</v>
      </c>
      <c r="X20" s="87"/>
      <c r="Y20" s="41"/>
      <c r="Z20" s="41"/>
      <c r="AA20" s="89"/>
      <c r="AB20" s="41" t="e">
        <f ca="1">[2]!interpol(A20,[4]jupA_data!$A$2:$A$10,[4]jupA_data!$B$2:$B$10)*PI()*(Géométrie!$B$88^2-Géométrie!$B$63^2)/$B$1*COS(ATAN((Géométrie!$B$88-Géométrie!$B$63)/Géométrie!$B$76))^2/100</f>
        <v>#NAME?</v>
      </c>
      <c r="AC20" s="41" t="e">
        <f ca="1">[2]!interpol(A20,[4]jupkp_data5deg!$A$1:$A$106,[4]jupkp_data5deg!$B$1:$B$106)*PI()*(Géométrie!$B$88^2-Géométrie!$B$63^2)/$B$1</f>
        <v>#NAME?</v>
      </c>
      <c r="AD20" s="41">
        <f>0.4*Géométrie!$B$76</f>
        <v>0</v>
      </c>
      <c r="AE20" s="41" t="e">
        <f ca="1">AB20*(AD20+Géométrie!$B$83+Géométrie!$B$56+Géométrie!$B$2)/$B$2</f>
        <v>#NAME?</v>
      </c>
      <c r="AF20" s="87"/>
      <c r="AG20" s="41"/>
      <c r="AH20" s="41"/>
      <c r="AI20" s="89"/>
    </row>
    <row r="21" spans="1:35">
      <c r="A21" s="112">
        <v>1.1000000000000001</v>
      </c>
      <c r="B21" s="87" t="e">
        <f ca="1">[1]!InterpCn(Géométrie!$B$4,$A21,Géométrie!$B$9)*PI()*Géométrie!$B$3^2/4/$B$1</f>
        <v>#NAME?</v>
      </c>
      <c r="C21" s="41" t="e">
        <f ca="1">'Tableaux aéro'!K89*A21*Géométrie!$B$2</f>
        <v>#NAME?</v>
      </c>
      <c r="D21" s="41" t="e">
        <f ca="1">0.445/POWER(LOG(C21),2.58)/POWER(1+0.15*A21^2,0.58)*Géométrie!$B$10/$B$1</f>
        <v>#NAME?</v>
      </c>
      <c r="E21" s="41" t="e">
        <f ca="1">'Tableaux aéro'!X19</f>
        <v>#NAME?</v>
      </c>
      <c r="F21" s="41" t="e">
        <f t="shared" ca="1" si="4"/>
        <v>#NAME?</v>
      </c>
      <c r="G21" s="87" t="e">
        <f ca="1">'Tableaux aéro'!J19*PI()/180*PI()*Géométrie!$B$3^2/4/$B$1</f>
        <v>#NAME?</v>
      </c>
      <c r="H21" s="41">
        <f>'Tableaux aéro'!B19*PI()*Géométrie!$B$3^2/4/$B$1</f>
        <v>0.26608136406249994</v>
      </c>
      <c r="I21" s="41" t="e">
        <f ca="1">'Tableaux aéro'!R19*Géométrie!$B$3</f>
        <v>#NAME?</v>
      </c>
      <c r="J21" s="41" t="e">
        <f ca="1">G21*(I21-Géométrie!$F$12)/$B$2</f>
        <v>#NAME?</v>
      </c>
      <c r="K21" s="87" t="e">
        <f ca="1">[1]!InterpCn(10,$A21,Géométrie!$F$13/Géométrie!$B$3)*Géométrie!$B$3^2*PI()/4/Aerodynamique!$B$1</f>
        <v>#NAME?</v>
      </c>
      <c r="L21" s="41" t="e">
        <f ca="1">'Tableaux aéro'!K89*A21*Géométrie!$F$13</f>
        <v>#NAME?</v>
      </c>
      <c r="M21" s="41" t="e">
        <f ca="1">0.445/POWER(LOG(L21),2.58)/POWER(1+0.15*A21^2,0.58)*Géométrie!$B$10/$B$1</f>
        <v>#NAME?</v>
      </c>
      <c r="N21" s="41"/>
      <c r="O21" s="89" t="e">
        <f ca="1">[1]!InterpCm(10,$A21,Géométrie!$F$13/Géométrie!$B$3)*Géométrie!$B$3^2*PI()/4/$B$1</f>
        <v>#NAME?</v>
      </c>
      <c r="P21" s="41" t="e">
        <f t="shared" ca="1" si="0"/>
        <v>#NAME?</v>
      </c>
      <c r="Q21" s="41" t="e">
        <f t="shared" ca="1" si="1"/>
        <v>#NAME?</v>
      </c>
      <c r="R21" s="41" t="e">
        <f t="shared" ca="1" si="2"/>
        <v>#NAME?</v>
      </c>
      <c r="S21" s="89" t="e">
        <f t="shared" ca="1" si="3"/>
        <v>#NAME?</v>
      </c>
      <c r="T21" s="87" t="e">
        <f t="shared" ca="1" si="5"/>
        <v>#NAME?</v>
      </c>
      <c r="U21" s="41" t="e">
        <f ca="1">[2]!interpol(A21,'[3]CA basé sur Ariane 3'!$A$6:$A$23,'[3]CA basé sur Ariane 3'!$B$6:$B$23)*PI()*(Géométrie!$B$3^2-Géométrie!$B$82^2)/$B$1</f>
        <v>#NAME?</v>
      </c>
      <c r="V21" s="41"/>
      <c r="W21" s="89" t="e">
        <f t="shared" ca="1" si="6"/>
        <v>#NAME?</v>
      </c>
      <c r="X21" s="87"/>
      <c r="Y21" s="41"/>
      <c r="Z21" s="41"/>
      <c r="AA21" s="89"/>
      <c r="AB21" s="41" t="e">
        <f ca="1">[2]!interpol(A21,[4]jupA_data!$A$2:$A$10,[4]jupA_data!$B$2:$B$10)*PI()*(Géométrie!$B$88^2-Géométrie!$B$63^2)/$B$1*COS(ATAN((Géométrie!$B$88-Géométrie!$B$63)/Géométrie!$B$76))^2/100</f>
        <v>#NAME?</v>
      </c>
      <c r="AC21" s="41" t="e">
        <f ca="1">[2]!interpol(A21,[4]jupkp_data5deg!$A$1:$A$106,[4]jupkp_data5deg!$B$1:$B$106)*PI()*(Géométrie!$B$88^2-Géométrie!$B$63^2)/$B$1</f>
        <v>#NAME?</v>
      </c>
      <c r="AD21" s="41">
        <f>0.4*Géométrie!$B$76</f>
        <v>0</v>
      </c>
      <c r="AE21" s="41" t="e">
        <f ca="1">AB21*(AD21+Géométrie!$B$83+Géométrie!$B$56+Géométrie!$B$2)/$B$2</f>
        <v>#NAME?</v>
      </c>
      <c r="AF21" s="87"/>
      <c r="AG21" s="41"/>
      <c r="AH21" s="41"/>
      <c r="AI21" s="89"/>
    </row>
    <row r="22" spans="1:35">
      <c r="A22" s="112">
        <v>1.3</v>
      </c>
      <c r="B22" s="87" t="e">
        <f ca="1">[1]!InterpCn(Géométrie!$B$4,$A22,Géométrie!$B$9)*PI()*Géométrie!$B$3^2/4/$B$1</f>
        <v>#NAME?</v>
      </c>
      <c r="C22" s="41" t="e">
        <f ca="1">'Tableaux aéro'!K90*A22*Géométrie!$B$2</f>
        <v>#NAME?</v>
      </c>
      <c r="D22" s="41" t="e">
        <f ca="1">0.445/POWER(LOG(C22),2.58)/POWER(1+0.15*A22^2,0.58)*Géométrie!$B$10/$B$1</f>
        <v>#NAME?</v>
      </c>
      <c r="E22" s="41" t="e">
        <f ca="1">'Tableaux aéro'!X20</f>
        <v>#NAME?</v>
      </c>
      <c r="F22" s="41" t="e">
        <f t="shared" ca="1" si="4"/>
        <v>#NAME?</v>
      </c>
      <c r="G22" s="87" t="e">
        <f ca="1">'Tableaux aéro'!J20*PI()/180*PI()*Géométrie!$B$3^2/4/$B$1</f>
        <v>#NAME?</v>
      </c>
      <c r="H22" s="41">
        <f>'Tableaux aéro'!B20*PI()*Géométrie!$B$3^2/4/$B$1</f>
        <v>0.24734687968749999</v>
      </c>
      <c r="I22" s="41" t="e">
        <f ca="1">'Tableaux aéro'!R20*Géométrie!$B$3</f>
        <v>#NAME?</v>
      </c>
      <c r="J22" s="41" t="e">
        <f ca="1">G22*(I22-Géométrie!$F$12)/$B$2</f>
        <v>#NAME?</v>
      </c>
      <c r="K22" s="87" t="e">
        <f ca="1">[1]!InterpCn(10,$A22,Géométrie!$F$13/Géométrie!$B$3)*Géométrie!$B$3^2*PI()/4/Aerodynamique!$B$1</f>
        <v>#NAME?</v>
      </c>
      <c r="L22" s="41" t="e">
        <f ca="1">'Tableaux aéro'!K90*A22*Géométrie!$F$13</f>
        <v>#NAME?</v>
      </c>
      <c r="M22" s="41" t="e">
        <f ca="1">0.445/POWER(LOG(L22),2.58)/POWER(1+0.15*A22^2,0.58)*Géométrie!$B$10/$B$1</f>
        <v>#NAME?</v>
      </c>
      <c r="N22" s="41"/>
      <c r="O22" s="89" t="e">
        <f ca="1">[1]!InterpCm(10,$A22,Géométrie!$F$13/Géométrie!$B$3)*Géométrie!$B$3^2*PI()/4/$B$1</f>
        <v>#NAME?</v>
      </c>
      <c r="P22" s="41" t="e">
        <f t="shared" ca="1" si="0"/>
        <v>#NAME?</v>
      </c>
      <c r="Q22" s="41" t="e">
        <f t="shared" ca="1" si="1"/>
        <v>#NAME?</v>
      </c>
      <c r="R22" s="41" t="e">
        <f t="shared" ca="1" si="2"/>
        <v>#NAME?</v>
      </c>
      <c r="S22" s="89" t="e">
        <f t="shared" ca="1" si="3"/>
        <v>#NAME?</v>
      </c>
      <c r="T22" s="87" t="e">
        <f t="shared" ca="1" si="5"/>
        <v>#NAME?</v>
      </c>
      <c r="U22" s="41" t="e">
        <f ca="1">[2]!interpol(A22,'[3]CA basé sur Ariane 3'!$A$6:$A$23,'[3]CA basé sur Ariane 3'!$B$6:$B$23)*PI()*(Géométrie!$B$3^2-Géométrie!$B$82^2)/$B$1</f>
        <v>#NAME?</v>
      </c>
      <c r="V22" s="41"/>
      <c r="W22" s="89" t="e">
        <f t="shared" ca="1" si="6"/>
        <v>#NAME?</v>
      </c>
      <c r="X22" s="87"/>
      <c r="Y22" s="41"/>
      <c r="Z22" s="41"/>
      <c r="AA22" s="89"/>
      <c r="AB22" s="41" t="e">
        <f ca="1">[2]!interpol(A22,[4]jupA_data!$A$2:$A$10,[4]jupA_data!$B$2:$B$10)*PI()*(Géométrie!$B$88^2-Géométrie!$B$63^2)/$B$1*COS(ATAN((Géométrie!$B$88-Géométrie!$B$63)/Géométrie!$B$76))^2/100</f>
        <v>#NAME?</v>
      </c>
      <c r="AC22" s="41" t="e">
        <f ca="1">[2]!interpol(A22,[4]jupkp_data5deg!$A$1:$A$106,[4]jupkp_data5deg!$B$1:$B$106)*PI()*(Géométrie!$B$88^2-Géométrie!$B$63^2)/$B$1</f>
        <v>#NAME?</v>
      </c>
      <c r="AD22" s="41">
        <f>0.4*Géométrie!$B$76</f>
        <v>0</v>
      </c>
      <c r="AE22" s="41" t="e">
        <f ca="1">AB22*(AD22+Géométrie!$B$83+Géométrie!$B$56+Géométrie!$B$2)/$B$2</f>
        <v>#NAME?</v>
      </c>
      <c r="AF22" s="87"/>
      <c r="AG22" s="41"/>
      <c r="AH22" s="41"/>
      <c r="AI22" s="89"/>
    </row>
    <row r="23" spans="1:35">
      <c r="A23" s="112">
        <v>1.5</v>
      </c>
      <c r="B23" s="87" t="e">
        <f ca="1">[1]!InterpCn(Géométrie!$B$4,$A23,Géométrie!$B$9)*PI()*Géométrie!$B$3^2/4/$B$1</f>
        <v>#NAME?</v>
      </c>
      <c r="C23" s="41" t="e">
        <f ca="1">'Tableaux aéro'!K91*A23*Géométrie!$B$2</f>
        <v>#NAME?</v>
      </c>
      <c r="D23" s="41" t="e">
        <f ca="1">0.445/POWER(LOG(C23),2.58)/POWER(1+0.15*A23^2,0.58)*Géométrie!$B$10/$B$1</f>
        <v>#NAME?</v>
      </c>
      <c r="E23" s="41" t="e">
        <f ca="1">'Tableaux aéro'!X21</f>
        <v>#NAME?</v>
      </c>
      <c r="F23" s="41" t="e">
        <f t="shared" ca="1" si="4"/>
        <v>#NAME?</v>
      </c>
      <c r="G23" s="87" t="e">
        <f ca="1">'Tableaux aéro'!J21*PI()/180*PI()*Géométrie!$B$3^2/4/$B$1</f>
        <v>#NAME?</v>
      </c>
      <c r="H23" s="41">
        <f>'Tableaux aéro'!B21*PI()*Géométrie!$B$3^2/4/$B$1</f>
        <v>0.22995909999999997</v>
      </c>
      <c r="I23" s="41" t="e">
        <f ca="1">'Tableaux aéro'!R21*Géométrie!$B$3</f>
        <v>#NAME?</v>
      </c>
      <c r="J23" s="41" t="e">
        <f ca="1">G23*(I23-Géométrie!$F$12)/$B$2</f>
        <v>#NAME?</v>
      </c>
      <c r="K23" s="87" t="e">
        <f ca="1">[1]!InterpCn(10,$A23,Géométrie!$F$13/Géométrie!$B$3)*Géométrie!$B$3^2*PI()/4/Aerodynamique!$B$1</f>
        <v>#NAME?</v>
      </c>
      <c r="L23" s="41" t="e">
        <f ca="1">'Tableaux aéro'!K91*A23*Géométrie!$F$13</f>
        <v>#NAME?</v>
      </c>
      <c r="M23" s="41" t="e">
        <f ca="1">0.445/POWER(LOG(L23),2.58)/POWER(1+0.15*A23^2,0.58)*Géométrie!$B$10/$B$1</f>
        <v>#NAME?</v>
      </c>
      <c r="N23" s="41"/>
      <c r="O23" s="89" t="e">
        <f ca="1">[1]!InterpCm(10,$A23,Géométrie!$F$13/Géométrie!$B$3)*Géométrie!$B$3^2*PI()/4/$B$1</f>
        <v>#NAME?</v>
      </c>
      <c r="P23" s="41" t="e">
        <f t="shared" ca="1" si="0"/>
        <v>#NAME?</v>
      </c>
      <c r="Q23" s="41" t="e">
        <f t="shared" ca="1" si="1"/>
        <v>#NAME?</v>
      </c>
      <c r="R23" s="41" t="e">
        <f t="shared" ca="1" si="2"/>
        <v>#NAME?</v>
      </c>
      <c r="S23" s="89" t="e">
        <f t="shared" ca="1" si="3"/>
        <v>#NAME?</v>
      </c>
      <c r="T23" s="87" t="e">
        <f t="shared" ca="1" si="5"/>
        <v>#NAME?</v>
      </c>
      <c r="U23" s="41" t="e">
        <f ca="1">[2]!interpol(A23,'[3]CA basé sur Ariane 3'!$A$6:$A$23,'[3]CA basé sur Ariane 3'!$B$6:$B$23)*PI()*(Géométrie!$B$3^2-Géométrie!$B$82^2)/$B$1</f>
        <v>#NAME?</v>
      </c>
      <c r="V23" s="41"/>
      <c r="W23" s="89" t="e">
        <f t="shared" ca="1" si="6"/>
        <v>#NAME?</v>
      </c>
      <c r="X23" s="87"/>
      <c r="Y23" s="41"/>
      <c r="Z23" s="41"/>
      <c r="AA23" s="89"/>
      <c r="AB23" s="41" t="e">
        <f ca="1">[2]!interpol(A23,[4]jupA_data!$A$2:$A$10,[4]jupA_data!$B$2:$B$10)*PI()*(Géométrie!$B$88^2-Géométrie!$B$63^2)/$B$1*COS(ATAN((Géométrie!$B$88-Géométrie!$B$63)/Géométrie!$B$76))^2/100</f>
        <v>#NAME?</v>
      </c>
      <c r="AC23" s="41" t="e">
        <f ca="1">[2]!interpol(A23,[4]jupkp_data5deg!$A$1:$A$106,[4]jupkp_data5deg!$B$1:$B$106)*PI()*(Géométrie!$B$88^2-Géométrie!$B$63^2)/$B$1</f>
        <v>#NAME?</v>
      </c>
      <c r="AD23" s="41">
        <f>0.4*Géométrie!$B$76</f>
        <v>0</v>
      </c>
      <c r="AE23" s="41" t="e">
        <f ca="1">AB23*(AD23+Géométrie!$B$83+Géométrie!$B$56+Géométrie!$B$2)/$B$2</f>
        <v>#NAME?</v>
      </c>
      <c r="AF23" s="87"/>
      <c r="AG23" s="41"/>
      <c r="AH23" s="41"/>
      <c r="AI23" s="89"/>
    </row>
    <row r="24" spans="1:35">
      <c r="A24" s="112">
        <v>1.7</v>
      </c>
      <c r="B24" s="87" t="e">
        <f ca="1">[1]!InterpCn(Géométrie!$B$4,$A24,Géométrie!$B$9)*PI()*Géométrie!$B$3^2/4/$B$1</f>
        <v>#NAME?</v>
      </c>
      <c r="C24" s="41" t="e">
        <f ca="1">'Tableaux aéro'!K92*A24*Géométrie!$B$2</f>
        <v>#NAME?</v>
      </c>
      <c r="D24" s="41" t="e">
        <f ca="1">0.445/POWER(LOG(C24),2.58)/POWER(1+0.15*A24^2,0.58)*Géométrie!$B$10/$B$1</f>
        <v>#NAME?</v>
      </c>
      <c r="E24" s="41" t="e">
        <f ca="1">'Tableaux aéro'!X22</f>
        <v>#NAME?</v>
      </c>
      <c r="F24" s="41" t="e">
        <f t="shared" ca="1" si="4"/>
        <v>#NAME?</v>
      </c>
      <c r="G24" s="87" t="e">
        <f ca="1">'Tableaux aéro'!J22*PI()/180*PI()*Géométrie!$B$3^2/4/$B$1</f>
        <v>#NAME?</v>
      </c>
      <c r="H24" s="41">
        <f>'Tableaux aéro'!B22*PI()*Géométrie!$B$3^2/4/$B$1</f>
        <v>0.21624765156249998</v>
      </c>
      <c r="I24" s="41" t="e">
        <f ca="1">'Tableaux aéro'!R22*Géométrie!$B$3</f>
        <v>#NAME?</v>
      </c>
      <c r="J24" s="41" t="e">
        <f ca="1">G24*(I24-Géométrie!$F$12)/$B$2</f>
        <v>#NAME?</v>
      </c>
      <c r="K24" s="87" t="e">
        <f ca="1">[1]!InterpCn(10,$A24,Géométrie!$F$13/Géométrie!$B$3)*Géométrie!$B$3^2*PI()/4/Aerodynamique!$B$1</f>
        <v>#NAME?</v>
      </c>
      <c r="L24" s="41" t="e">
        <f ca="1">'Tableaux aéro'!K92*A24*Géométrie!$F$13</f>
        <v>#NAME?</v>
      </c>
      <c r="M24" s="41" t="e">
        <f ca="1">0.445/POWER(LOG(L24),2.58)/POWER(1+0.15*A24^2,0.58)*Géométrie!$B$10/$B$1</f>
        <v>#NAME?</v>
      </c>
      <c r="N24" s="41"/>
      <c r="O24" s="89" t="e">
        <f ca="1">[1]!InterpCm(10,$A24,Géométrie!$F$13/Géométrie!$B$3)*Géométrie!$B$3^2*PI()/4/$B$1</f>
        <v>#NAME?</v>
      </c>
      <c r="P24" s="41" t="e">
        <f t="shared" ca="1" si="0"/>
        <v>#NAME?</v>
      </c>
      <c r="Q24" s="41" t="e">
        <f t="shared" ca="1" si="1"/>
        <v>#NAME?</v>
      </c>
      <c r="R24" s="41" t="e">
        <f t="shared" ca="1" si="2"/>
        <v>#NAME?</v>
      </c>
      <c r="S24" s="89" t="e">
        <f t="shared" ca="1" si="3"/>
        <v>#NAME?</v>
      </c>
      <c r="T24" s="87" t="e">
        <f t="shared" ca="1" si="5"/>
        <v>#NAME?</v>
      </c>
      <c r="U24" s="41" t="e">
        <f ca="1">[2]!interpol(A24,'[3]CA basé sur Ariane 3'!$A$6:$A$23,'[3]CA basé sur Ariane 3'!$B$6:$B$23)*PI()*(Géométrie!$B$3^2-Géométrie!$B$82^2)/$B$1</f>
        <v>#NAME?</v>
      </c>
      <c r="V24" s="41"/>
      <c r="W24" s="89" t="e">
        <f t="shared" ca="1" si="6"/>
        <v>#NAME?</v>
      </c>
      <c r="X24" s="87"/>
      <c r="Y24" s="41"/>
      <c r="Z24" s="41"/>
      <c r="AA24" s="89"/>
      <c r="AB24" s="41" t="e">
        <f ca="1">[2]!interpol(A24,[4]jupA_data!$A$2:$A$10,[4]jupA_data!$B$2:$B$10)*PI()*(Géométrie!$B$88^2-Géométrie!$B$63^2)/$B$1*COS(ATAN((Géométrie!$B$88-Géométrie!$B$63)/Géométrie!$B$76))^2/100</f>
        <v>#NAME?</v>
      </c>
      <c r="AC24" s="41" t="e">
        <f ca="1">[2]!interpol(A24,[4]jupkp_data5deg!$A$1:$A$106,[4]jupkp_data5deg!$B$1:$B$106)*PI()*(Géométrie!$B$88^2-Géométrie!$B$63^2)/$B$1</f>
        <v>#NAME?</v>
      </c>
      <c r="AD24" s="41">
        <f>0.4*Géométrie!$B$76</f>
        <v>0</v>
      </c>
      <c r="AE24" s="41" t="e">
        <f ca="1">AB24*(AD24+Géométrie!$B$83+Géométrie!$B$56+Géométrie!$B$2)/$B$2</f>
        <v>#NAME?</v>
      </c>
      <c r="AF24" s="87"/>
      <c r="AG24" s="41"/>
      <c r="AH24" s="41"/>
      <c r="AI24" s="89"/>
    </row>
    <row r="25" spans="1:35">
      <c r="A25" s="112">
        <v>1.9</v>
      </c>
      <c r="B25" s="87" t="e">
        <f ca="1">[1]!InterpCn(Géométrie!$B$4,$A25,Géométrie!$B$9)*PI()*Géométrie!$B$3^2/4/$B$1</f>
        <v>#NAME?</v>
      </c>
      <c r="C25" s="41" t="e">
        <f ca="1">'Tableaux aéro'!K93*A25*Géométrie!$B$2</f>
        <v>#NAME?</v>
      </c>
      <c r="D25" s="41" t="e">
        <f ca="1">0.445/POWER(LOG(C25),2.58)/POWER(1+0.15*A25^2,0.58)*Géométrie!$B$10/$B$1</f>
        <v>#NAME?</v>
      </c>
      <c r="E25" s="41" t="e">
        <f ca="1">'Tableaux aéro'!X23</f>
        <v>#NAME?</v>
      </c>
      <c r="F25" s="41" t="e">
        <f t="shared" ca="1" si="4"/>
        <v>#NAME?</v>
      </c>
      <c r="G25" s="87" t="e">
        <f ca="1">'Tableaux aéro'!J23*PI()/180*PI()*Géométrie!$B$3^2/4/$B$1</f>
        <v>#NAME?</v>
      </c>
      <c r="H25" s="41">
        <f>'Tableaux aéro'!B23*PI()*Géométrie!$B$3^2/4/$B$1</f>
        <v>0.20253620312499998</v>
      </c>
      <c r="I25" s="41" t="e">
        <f ca="1">'Tableaux aéro'!R23*Géométrie!$B$3</f>
        <v>#NAME?</v>
      </c>
      <c r="J25" s="41" t="e">
        <f ca="1">G25*(I25-Géométrie!$F$12)/$B$2</f>
        <v>#NAME?</v>
      </c>
      <c r="K25" s="87" t="e">
        <f ca="1">[1]!InterpCn(10,$A25,Géométrie!$F$13/Géométrie!$B$3)*Géométrie!$B$3^2*PI()/4/Aerodynamique!$B$1</f>
        <v>#NAME?</v>
      </c>
      <c r="L25" s="41" t="e">
        <f ca="1">'Tableaux aéro'!K93*A25*Géométrie!$F$13</f>
        <v>#NAME?</v>
      </c>
      <c r="M25" s="41" t="e">
        <f ca="1">0.445/POWER(LOG(L25),2.58)/POWER(1+0.15*A25^2,0.58)*Géométrie!$B$10/$B$1</f>
        <v>#NAME?</v>
      </c>
      <c r="N25" s="41"/>
      <c r="O25" s="89" t="e">
        <f ca="1">[1]!InterpCm(10,$A25,Géométrie!$F$13/Géométrie!$B$3)*Géométrie!$B$3^2*PI()/4/$B$1</f>
        <v>#NAME?</v>
      </c>
      <c r="P25" s="41" t="e">
        <f t="shared" ca="1" si="0"/>
        <v>#NAME?</v>
      </c>
      <c r="Q25" s="41" t="e">
        <f t="shared" ca="1" si="1"/>
        <v>#NAME?</v>
      </c>
      <c r="R25" s="41" t="e">
        <f t="shared" ca="1" si="2"/>
        <v>#NAME?</v>
      </c>
      <c r="S25" s="89" t="e">
        <f t="shared" ca="1" si="3"/>
        <v>#NAME?</v>
      </c>
      <c r="T25" s="87" t="e">
        <f t="shared" ca="1" si="5"/>
        <v>#NAME?</v>
      </c>
      <c r="U25" s="41" t="e">
        <f ca="1">[2]!interpol(A25,'[3]CA basé sur Ariane 3'!$A$6:$A$23,'[3]CA basé sur Ariane 3'!$B$6:$B$23)*PI()*(Géométrie!$B$3^2-Géométrie!$B$82^2)/$B$1</f>
        <v>#NAME?</v>
      </c>
      <c r="V25" s="41"/>
      <c r="W25" s="89" t="e">
        <f t="shared" ca="1" si="6"/>
        <v>#NAME?</v>
      </c>
      <c r="X25" s="87"/>
      <c r="Y25" s="41"/>
      <c r="Z25" s="41"/>
      <c r="AA25" s="89"/>
      <c r="AB25" s="41" t="e">
        <f ca="1">[2]!interpol(A25,[4]jupA_data!$A$2:$A$10,[4]jupA_data!$B$2:$B$10)*PI()*(Géométrie!$B$88^2-Géométrie!$B$63^2)/$B$1*COS(ATAN((Géométrie!$B$88-Géométrie!$B$63)/Géométrie!$B$76))^2/100</f>
        <v>#NAME?</v>
      </c>
      <c r="AC25" s="41" t="e">
        <f ca="1">[2]!interpol(A25,[4]jupkp_data5deg!$A$1:$A$106,[4]jupkp_data5deg!$B$1:$B$106)*PI()*(Géométrie!$B$88^2-Géométrie!$B$63^2)/$B$1</f>
        <v>#NAME?</v>
      </c>
      <c r="AD25" s="41">
        <f>0.4*Géométrie!$B$76</f>
        <v>0</v>
      </c>
      <c r="AE25" s="41" t="e">
        <f ca="1">AB25*(AD25+Géométrie!$B$83+Géométrie!$B$56+Géométrie!$B$2)/$B$2</f>
        <v>#NAME?</v>
      </c>
      <c r="AF25" s="87"/>
      <c r="AG25" s="41"/>
      <c r="AH25" s="41"/>
      <c r="AI25" s="89"/>
    </row>
    <row r="26" spans="1:35">
      <c r="A26" s="112">
        <v>2.1</v>
      </c>
      <c r="B26" s="87" t="e">
        <f ca="1">[1]!InterpCn(Géométrie!$B$4,$A26,Géométrie!$B$9)*PI()*Géométrie!$B$3^2/4/$B$1</f>
        <v>#NAME?</v>
      </c>
      <c r="C26" s="41" t="e">
        <f ca="1">'Tableaux aéro'!K94*A26*Géométrie!$B$2</f>
        <v>#NAME?</v>
      </c>
      <c r="D26" s="41" t="e">
        <f ca="1">0.445/POWER(LOG(C26),2.58)/POWER(1+0.15*A26^2,0.58)*Géométrie!$B$10/$B$1</f>
        <v>#NAME?</v>
      </c>
      <c r="E26" s="41" t="e">
        <f ca="1">'Tableaux aéro'!X24</f>
        <v>#NAME?</v>
      </c>
      <c r="F26" s="41" t="e">
        <f t="shared" ca="1" si="4"/>
        <v>#NAME?</v>
      </c>
      <c r="G26" s="87" t="e">
        <f ca="1">'Tableaux aéro'!J24*PI()/180*PI()*Géométrie!$B$3^2/4/$B$1</f>
        <v>#NAME?</v>
      </c>
      <c r="H26" s="41">
        <f>'Tableaux aéro'!B24*PI()*Géométrie!$B$3^2/4/$B$1</f>
        <v>0.19338631249999996</v>
      </c>
      <c r="I26" s="41" t="e">
        <f ca="1">'Tableaux aéro'!R24*Géométrie!$B$3</f>
        <v>#NAME?</v>
      </c>
      <c r="J26" s="41" t="e">
        <f ca="1">G26*(I26-Géométrie!$F$12)/$B$2</f>
        <v>#NAME?</v>
      </c>
      <c r="K26" s="87" t="e">
        <f ca="1">[1]!InterpCn(10,$A26,Géométrie!$F$13/Géométrie!$B$3)*Géométrie!$B$3^2*PI()/4/Aerodynamique!$B$1</f>
        <v>#NAME?</v>
      </c>
      <c r="L26" s="41" t="e">
        <f ca="1">'Tableaux aéro'!K94*A26*Géométrie!$F$13</f>
        <v>#NAME?</v>
      </c>
      <c r="M26" s="41" t="e">
        <f ca="1">0.445/POWER(LOG(L26),2.58)/POWER(1+0.15*A26^2,0.58)*Géométrie!$B$10/$B$1</f>
        <v>#NAME?</v>
      </c>
      <c r="N26" s="41"/>
      <c r="O26" s="89" t="e">
        <f ca="1">[1]!InterpCm(10,$A26,Géométrie!$F$13/Géométrie!$B$3)*Géométrie!$B$3^2*PI()/4/$B$1</f>
        <v>#NAME?</v>
      </c>
      <c r="P26" s="41" t="e">
        <f t="shared" ca="1" si="0"/>
        <v>#NAME?</v>
      </c>
      <c r="Q26" s="41" t="e">
        <f t="shared" ca="1" si="1"/>
        <v>#NAME?</v>
      </c>
      <c r="R26" s="41" t="e">
        <f t="shared" ca="1" si="2"/>
        <v>#NAME?</v>
      </c>
      <c r="S26" s="89" t="e">
        <f t="shared" ca="1" si="3"/>
        <v>#NAME?</v>
      </c>
      <c r="T26" s="87" t="e">
        <f t="shared" ca="1" si="5"/>
        <v>#NAME?</v>
      </c>
      <c r="U26" s="41" t="e">
        <f ca="1">[2]!interpol(A26,'[3]CA basé sur Ariane 3'!$A$6:$A$23,'[3]CA basé sur Ariane 3'!$B$6:$B$23)*PI()*(Géométrie!$B$3^2-Géométrie!$B$82^2)/$B$1</f>
        <v>#NAME?</v>
      </c>
      <c r="V26" s="41"/>
      <c r="W26" s="89" t="e">
        <f t="shared" ca="1" si="6"/>
        <v>#NAME?</v>
      </c>
      <c r="X26" s="87"/>
      <c r="Y26" s="41"/>
      <c r="Z26" s="41"/>
      <c r="AA26" s="89"/>
      <c r="AB26" s="41" t="e">
        <f ca="1">[2]!interpol(A26,[4]jupA_data!$A$2:$A$10,[4]jupA_data!$B$2:$B$10)*PI()*(Géométrie!$B$88^2-Géométrie!$B$63^2)/$B$1*COS(ATAN((Géométrie!$B$88-Géométrie!$B$63)/Géométrie!$B$76))^2/100</f>
        <v>#NAME?</v>
      </c>
      <c r="AC26" s="41" t="e">
        <f ca="1">[2]!interpol(A26,[4]jupkp_data5deg!$A$1:$A$106,[4]jupkp_data5deg!$B$1:$B$106)*PI()*(Géométrie!$B$88^2-Géométrie!$B$63^2)/$B$1</f>
        <v>#NAME?</v>
      </c>
      <c r="AD26" s="41">
        <f>0.4*Géométrie!$B$76</f>
        <v>0</v>
      </c>
      <c r="AE26" s="41" t="e">
        <f ca="1">AB26*(AD26+Géométrie!$B$83+Géométrie!$B$56+Géométrie!$B$2)/$B$2</f>
        <v>#NAME?</v>
      </c>
      <c r="AF26" s="87"/>
      <c r="AG26" s="41"/>
      <c r="AH26" s="41"/>
      <c r="AI26" s="89"/>
    </row>
    <row r="27" spans="1:35">
      <c r="A27" s="112">
        <v>2.2999999999999998</v>
      </c>
      <c r="B27" s="87" t="e">
        <f ca="1">[1]!InterpCn(Géométrie!$B$4,$A27,Géométrie!$B$9)*PI()*Géométrie!$B$3^2/4/$B$1</f>
        <v>#NAME?</v>
      </c>
      <c r="C27" s="41" t="e">
        <f ca="1">'Tableaux aéro'!K95*A27*Géométrie!$B$2</f>
        <v>#NAME?</v>
      </c>
      <c r="D27" s="41" t="e">
        <f ca="1">0.445/POWER(LOG(C27),2.58)/POWER(1+0.15*A27^2,0.58)*Géométrie!$B$10/$B$1</f>
        <v>#NAME?</v>
      </c>
      <c r="E27" s="41" t="e">
        <f ca="1">'Tableaux aéro'!X25</f>
        <v>#NAME?</v>
      </c>
      <c r="F27" s="41" t="e">
        <f t="shared" ca="1" si="4"/>
        <v>#NAME?</v>
      </c>
      <c r="G27" s="87" t="e">
        <f ca="1">'Tableaux aéro'!J25*PI()/180*PI()*Géométrie!$B$3^2/4/$B$1</f>
        <v>#NAME?</v>
      </c>
      <c r="H27" s="41">
        <f>'Tableaux aéro'!B25*PI()*Géométrie!$B$3^2/4/$B$1</f>
        <v>0.18565672656249996</v>
      </c>
      <c r="I27" s="41" t="e">
        <f ca="1">'Tableaux aéro'!R25*Géométrie!$B$3</f>
        <v>#NAME?</v>
      </c>
      <c r="J27" s="41" t="e">
        <f ca="1">G27*(I27-Géométrie!$F$12)/$B$2</f>
        <v>#NAME?</v>
      </c>
      <c r="K27" s="87" t="e">
        <f ca="1">[1]!InterpCn(10,$A27,Géométrie!$F$13/Géométrie!$B$3)*Géométrie!$B$3^2*PI()/4/Aerodynamique!$B$1</f>
        <v>#NAME?</v>
      </c>
      <c r="L27" s="41" t="e">
        <f ca="1">'Tableaux aéro'!K95*A27*Géométrie!$F$13</f>
        <v>#NAME?</v>
      </c>
      <c r="M27" s="41" t="e">
        <f ca="1">0.445/POWER(LOG(L27),2.58)/POWER(1+0.15*A27^2,0.58)*Géométrie!$B$10/$B$1</f>
        <v>#NAME?</v>
      </c>
      <c r="N27" s="41"/>
      <c r="O27" s="89" t="e">
        <f ca="1">[1]!InterpCm(10,$A27,Géométrie!$F$13/Géométrie!$B$3)*Géométrie!$B$3^2*PI()/4/$B$1</f>
        <v>#NAME?</v>
      </c>
      <c r="P27" s="41" t="e">
        <f t="shared" ca="1" si="0"/>
        <v>#NAME?</v>
      </c>
      <c r="Q27" s="41" t="e">
        <f t="shared" ca="1" si="1"/>
        <v>#NAME?</v>
      </c>
      <c r="R27" s="41" t="e">
        <f t="shared" ca="1" si="2"/>
        <v>#NAME?</v>
      </c>
      <c r="S27" s="89" t="e">
        <f t="shared" ca="1" si="3"/>
        <v>#NAME?</v>
      </c>
      <c r="T27" s="87" t="e">
        <f t="shared" ca="1" si="5"/>
        <v>#NAME?</v>
      </c>
      <c r="U27" s="41" t="e">
        <f ca="1">[2]!interpol(A27,'[3]CA basé sur Ariane 3'!$A$6:$A$23,'[3]CA basé sur Ariane 3'!$B$6:$B$23)*PI()*(Géométrie!$B$3^2-Géométrie!$B$82^2)/$B$1</f>
        <v>#NAME?</v>
      </c>
      <c r="V27" s="41"/>
      <c r="W27" s="89" t="e">
        <f t="shared" ca="1" si="6"/>
        <v>#NAME?</v>
      </c>
      <c r="X27" s="87"/>
      <c r="Y27" s="41"/>
      <c r="Z27" s="41"/>
      <c r="AA27" s="89"/>
      <c r="AB27" s="41" t="e">
        <f ca="1">[2]!interpol(A27,[4]jupA_data!$A$2:$A$10,[4]jupA_data!$B$2:$B$10)*PI()*(Géométrie!$B$88^2-Géométrie!$B$63^2)/$B$1*COS(ATAN((Géométrie!$B$88-Géométrie!$B$63)/Géométrie!$B$76))^2/100</f>
        <v>#NAME?</v>
      </c>
      <c r="AC27" s="41" t="e">
        <f ca="1">[2]!interpol(A27,[4]jupkp_data5deg!$A$1:$A$106,[4]jupkp_data5deg!$B$1:$B$106)*PI()*(Géométrie!$B$88^2-Géométrie!$B$63^2)/$B$1</f>
        <v>#NAME?</v>
      </c>
      <c r="AD27" s="41">
        <f>0.4*Géométrie!$B$76</f>
        <v>0</v>
      </c>
      <c r="AE27" s="41" t="e">
        <f ca="1">AB27*(AD27+Géométrie!$B$83+Géométrie!$B$56+Géométrie!$B$2)/$B$2</f>
        <v>#NAME?</v>
      </c>
      <c r="AF27" s="87"/>
      <c r="AG27" s="41"/>
      <c r="AH27" s="41"/>
      <c r="AI27" s="89"/>
    </row>
    <row r="28" spans="1:35">
      <c r="A28" s="112">
        <v>2.5</v>
      </c>
      <c r="B28" s="87" t="e">
        <f ca="1">[1]!InterpCn(Géométrie!$B$4,$A28,Géométrie!$B$9)*PI()*Géométrie!$B$3^2/4/$B$1</f>
        <v>#NAME?</v>
      </c>
      <c r="C28" s="41" t="e">
        <f ca="1">'Tableaux aéro'!K96*A28*Géométrie!$B$2</f>
        <v>#NAME?</v>
      </c>
      <c r="D28" s="41" t="e">
        <f ca="1">0.445/POWER(LOG(C28),2.58)/POWER(1+0.15*A28^2,0.58)*Géométrie!$B$10/$B$1</f>
        <v>#NAME?</v>
      </c>
      <c r="E28" s="41" t="e">
        <f ca="1">'Tableaux aéro'!X26</f>
        <v>#NAME?</v>
      </c>
      <c r="F28" s="41" t="e">
        <f t="shared" ca="1" si="4"/>
        <v>#NAME?</v>
      </c>
      <c r="G28" s="87" t="e">
        <f ca="1">'Tableaux aéro'!J26*PI()/180*PI()*Géométrie!$B$3^2/4/$B$1</f>
        <v>#NAME?</v>
      </c>
      <c r="H28" s="41">
        <f>'Tableaux aéro'!B26*PI()*Géométrie!$B$3^2/4/$B$1</f>
        <v>0.17792714062499998</v>
      </c>
      <c r="I28" s="41" t="e">
        <f ca="1">'Tableaux aéro'!R26*Géométrie!$B$3</f>
        <v>#NAME?</v>
      </c>
      <c r="J28" s="41" t="e">
        <f ca="1">G28*(I28-Géométrie!$F$12)/$B$2</f>
        <v>#NAME?</v>
      </c>
      <c r="K28" s="87" t="e">
        <f ca="1">[1]!InterpCn(10,$A28,Géométrie!$F$13/Géométrie!$B$3)*Géométrie!$B$3^2*PI()/4/Aerodynamique!$B$1</f>
        <v>#NAME?</v>
      </c>
      <c r="L28" s="41" t="e">
        <f ca="1">'Tableaux aéro'!K96*A28*Géométrie!$F$13</f>
        <v>#NAME?</v>
      </c>
      <c r="M28" s="41" t="e">
        <f ca="1">0.445/POWER(LOG(L28),2.58)/POWER(1+0.15*A28^2,0.58)*Géométrie!$B$10/$B$1</f>
        <v>#NAME?</v>
      </c>
      <c r="N28" s="41"/>
      <c r="O28" s="89" t="e">
        <f ca="1">[1]!InterpCm(10,$A28,Géométrie!$F$13/Géométrie!$B$3)*Géométrie!$B$3^2*PI()/4/$B$1</f>
        <v>#NAME?</v>
      </c>
      <c r="P28" s="41" t="e">
        <f t="shared" ca="1" si="0"/>
        <v>#NAME?</v>
      </c>
      <c r="Q28" s="41" t="e">
        <f t="shared" ca="1" si="1"/>
        <v>#NAME?</v>
      </c>
      <c r="R28" s="41" t="e">
        <f t="shared" ca="1" si="2"/>
        <v>#NAME?</v>
      </c>
      <c r="S28" s="89" t="e">
        <f t="shared" ca="1" si="3"/>
        <v>#NAME?</v>
      </c>
      <c r="T28" s="87" t="e">
        <f t="shared" ca="1" si="5"/>
        <v>#NAME?</v>
      </c>
      <c r="U28" s="41" t="e">
        <f ca="1">[2]!interpol(A28,'[3]CA basé sur Ariane 3'!$A$6:$A$23,'[3]CA basé sur Ariane 3'!$B$6:$B$23)*PI()*(Géométrie!$B$3^2-Géométrie!$B$82^2)/$B$1</f>
        <v>#NAME?</v>
      </c>
      <c r="V28" s="41"/>
      <c r="W28" s="89" t="e">
        <f t="shared" ca="1" si="6"/>
        <v>#NAME?</v>
      </c>
      <c r="X28" s="87"/>
      <c r="Y28" s="41"/>
      <c r="Z28" s="41"/>
      <c r="AA28" s="89"/>
      <c r="AB28" s="41" t="e">
        <f ca="1">[2]!interpol(A28,[4]jupA_data!$A$2:$A$10,[4]jupA_data!$B$2:$B$10)*PI()*(Géométrie!$B$88^2-Géométrie!$B$63^2)/$B$1*COS(ATAN((Géométrie!$B$88-Géométrie!$B$63)/Géométrie!$B$76))^2/100</f>
        <v>#NAME?</v>
      </c>
      <c r="AC28" s="41" t="e">
        <f ca="1">[2]!interpol(A28,[4]jupkp_data5deg!$A$1:$A$106,[4]jupkp_data5deg!$B$1:$B$106)*PI()*(Géométrie!$B$88^2-Géométrie!$B$63^2)/$B$1</f>
        <v>#NAME?</v>
      </c>
      <c r="AD28" s="41">
        <f>0.4*Géométrie!$B$76</f>
        <v>0</v>
      </c>
      <c r="AE28" s="41" t="e">
        <f ca="1">AB28*(AD28+Géométrie!$B$83+Géométrie!$B$56+Géométrie!$B$2)/$B$2</f>
        <v>#NAME?</v>
      </c>
      <c r="AF28" s="87"/>
      <c r="AG28" s="41"/>
      <c r="AH28" s="41"/>
      <c r="AI28" s="89"/>
    </row>
    <row r="29" spans="1:35">
      <c r="A29" s="112">
        <v>2.7</v>
      </c>
      <c r="B29" s="87" t="e">
        <f ca="1">[1]!InterpCn(Géométrie!$B$4,$A29,Géométrie!$B$9)*PI()*Géométrie!$B$3^2/4/$B$1</f>
        <v>#NAME?</v>
      </c>
      <c r="C29" s="41" t="e">
        <f ca="1">'Tableaux aéro'!K97*A29*Géométrie!$B$2</f>
        <v>#NAME?</v>
      </c>
      <c r="D29" s="41" t="e">
        <f ca="1">0.445/POWER(LOG(C29),2.58)/POWER(1+0.15*A29^2,0.58)*Géométrie!$B$10/$B$1</f>
        <v>#NAME?</v>
      </c>
      <c r="E29" s="41" t="e">
        <f ca="1">'Tableaux aéro'!X27</f>
        <v>#NAME?</v>
      </c>
      <c r="F29" s="41" t="e">
        <f t="shared" ca="1" si="4"/>
        <v>#NAME?</v>
      </c>
      <c r="G29" s="87" t="e">
        <f ca="1">'Tableaux aéro'!J27*PI()/180*PI()*Géométrie!$B$3^2/4/$B$1</f>
        <v>#NAME?</v>
      </c>
      <c r="H29" s="41">
        <f>'Tableaux aéro'!B27*PI()*Géométrie!$B$3^2/4/$B$1</f>
        <v>0.17019755468749997</v>
      </c>
      <c r="I29" s="41" t="e">
        <f ca="1">'Tableaux aéro'!R27*Géométrie!$B$3</f>
        <v>#NAME?</v>
      </c>
      <c r="J29" s="41" t="e">
        <f ca="1">G29*(I29-Géométrie!$F$12)/$B$2</f>
        <v>#NAME?</v>
      </c>
      <c r="K29" s="87" t="e">
        <f ca="1">[1]!InterpCn(10,$A29,Géométrie!$F$13/Géométrie!$B$3)*Géométrie!$B$3^2*PI()/4/Aerodynamique!$B$1</f>
        <v>#NAME?</v>
      </c>
      <c r="L29" s="41" t="e">
        <f ca="1">'Tableaux aéro'!K97*A29*Géométrie!$F$13</f>
        <v>#NAME?</v>
      </c>
      <c r="M29" s="41" t="e">
        <f ca="1">0.445/POWER(LOG(L29),2.58)/POWER(1+0.15*A29^2,0.58)*Géométrie!$B$10/$B$1</f>
        <v>#NAME?</v>
      </c>
      <c r="N29" s="41"/>
      <c r="O29" s="89" t="e">
        <f ca="1">[1]!InterpCm(10,$A29,Géométrie!$F$13/Géométrie!$B$3)*Géométrie!$B$3^2*PI()/4/$B$1</f>
        <v>#NAME?</v>
      </c>
      <c r="P29" s="41" t="e">
        <f t="shared" ca="1" si="0"/>
        <v>#NAME?</v>
      </c>
      <c r="Q29" s="41" t="e">
        <f t="shared" ca="1" si="1"/>
        <v>#NAME?</v>
      </c>
      <c r="R29" s="41" t="e">
        <f t="shared" ca="1" si="2"/>
        <v>#NAME?</v>
      </c>
      <c r="S29" s="89" t="e">
        <f t="shared" ca="1" si="3"/>
        <v>#NAME?</v>
      </c>
      <c r="T29" s="87" t="e">
        <f t="shared" ca="1" si="5"/>
        <v>#NAME?</v>
      </c>
      <c r="U29" s="41" t="e">
        <f ca="1">[2]!interpol(A29,'[3]CA basé sur Ariane 3'!$A$6:$A$23,'[3]CA basé sur Ariane 3'!$B$6:$B$23)*PI()*(Géométrie!$B$3^2-Géométrie!$B$82^2)/$B$1</f>
        <v>#NAME?</v>
      </c>
      <c r="V29" s="41"/>
      <c r="W29" s="89" t="e">
        <f t="shared" ca="1" si="6"/>
        <v>#NAME?</v>
      </c>
      <c r="X29" s="87"/>
      <c r="Y29" s="41"/>
      <c r="Z29" s="41"/>
      <c r="AA29" s="89"/>
      <c r="AB29" s="41" t="e">
        <f ca="1">[2]!interpol(A29,[4]jupA_data!$A$2:$A$10,[4]jupA_data!$B$2:$B$10)*PI()*(Géométrie!$B$88^2-Géométrie!$B$63^2)/$B$1*COS(ATAN((Géométrie!$B$88-Géométrie!$B$63)/Géométrie!$B$76))^2/100</f>
        <v>#NAME?</v>
      </c>
      <c r="AC29" s="41" t="e">
        <f ca="1">[2]!interpol(A29,[4]jupkp_data5deg!$A$1:$A$106,[4]jupkp_data5deg!$B$1:$B$106)*PI()*(Géométrie!$B$88^2-Géométrie!$B$63^2)/$B$1</f>
        <v>#NAME?</v>
      </c>
      <c r="AD29" s="41">
        <f>0.4*Géométrie!$B$76</f>
        <v>0</v>
      </c>
      <c r="AE29" s="41" t="e">
        <f ca="1">AB29*(AD29+Géométrie!$B$83+Géométrie!$B$56+Géométrie!$B$2)/$B$2</f>
        <v>#NAME?</v>
      </c>
      <c r="AF29" s="87"/>
      <c r="AG29" s="41"/>
      <c r="AH29" s="41"/>
      <c r="AI29" s="89"/>
    </row>
    <row r="30" spans="1:35">
      <c r="A30" s="112">
        <v>2.9</v>
      </c>
      <c r="B30" s="87" t="e">
        <f ca="1">[1]!InterpCn(Géométrie!$B$4,$A30,Géométrie!$B$9)*PI()*Géométrie!$B$3^2/4/$B$1</f>
        <v>#NAME?</v>
      </c>
      <c r="C30" s="41" t="e">
        <f ca="1">'Tableaux aéro'!K98*A30*Géométrie!$B$2</f>
        <v>#NAME?</v>
      </c>
      <c r="D30" s="41" t="e">
        <f ca="1">0.445/POWER(LOG(C30),2.58)/POWER(1+0.15*A30^2,0.58)*Géométrie!$B$10/$B$1</f>
        <v>#NAME?</v>
      </c>
      <c r="E30" s="41" t="e">
        <f ca="1">'Tableaux aéro'!X28</f>
        <v>#NAME?</v>
      </c>
      <c r="F30" s="41" t="e">
        <f t="shared" ca="1" si="4"/>
        <v>#NAME?</v>
      </c>
      <c r="G30" s="87" t="e">
        <f ca="1">'Tableaux aéro'!J28*PI()/180*PI()*Géométrie!$B$3^2/4/$B$1</f>
        <v>#NAME?</v>
      </c>
      <c r="H30" s="41">
        <f>'Tableaux aéro'!B28*PI()*Géométrie!$B$3^2/4/$B$1</f>
        <v>0.16733013906249999</v>
      </c>
      <c r="I30" s="41" t="e">
        <f ca="1">'Tableaux aéro'!R28*Géométrie!$B$3</f>
        <v>#NAME?</v>
      </c>
      <c r="J30" s="41" t="e">
        <f ca="1">G30*(I30-Géométrie!$F$12)/$B$2</f>
        <v>#NAME?</v>
      </c>
      <c r="K30" s="87" t="e">
        <f ca="1">[1]!InterpCn(10,$A30,Géométrie!$F$13/Géométrie!$B$3)*Géométrie!$B$3^2*PI()/4/Aerodynamique!$B$1</f>
        <v>#NAME?</v>
      </c>
      <c r="L30" s="41" t="e">
        <f ca="1">'Tableaux aéro'!K98*A30*Géométrie!$F$13</f>
        <v>#NAME?</v>
      </c>
      <c r="M30" s="41" t="e">
        <f ca="1">0.445/POWER(LOG(L30),2.58)/POWER(1+0.15*A30^2,0.58)*Géométrie!$B$10/$B$1</f>
        <v>#NAME?</v>
      </c>
      <c r="N30" s="41"/>
      <c r="O30" s="89" t="e">
        <f ca="1">[1]!InterpCm(10,$A30,Géométrie!$F$13/Géométrie!$B$3)*Géométrie!$B$3^2*PI()/4/$B$1</f>
        <v>#NAME?</v>
      </c>
      <c r="P30" s="41" t="e">
        <f t="shared" ca="1" si="0"/>
        <v>#NAME?</v>
      </c>
      <c r="Q30" s="41" t="e">
        <f t="shared" ca="1" si="1"/>
        <v>#NAME?</v>
      </c>
      <c r="R30" s="41" t="e">
        <f t="shared" ca="1" si="2"/>
        <v>#NAME?</v>
      </c>
      <c r="S30" s="89" t="e">
        <f t="shared" ca="1" si="3"/>
        <v>#NAME?</v>
      </c>
      <c r="T30" s="87" t="e">
        <f t="shared" ca="1" si="5"/>
        <v>#NAME?</v>
      </c>
      <c r="U30" s="41" t="e">
        <f ca="1">[2]!interpol(A30,'[3]CA basé sur Ariane 3'!$A$6:$A$23,'[3]CA basé sur Ariane 3'!$B$6:$B$23)*PI()*(Géométrie!$B$3^2-Géométrie!$B$82^2)/$B$1</f>
        <v>#NAME?</v>
      </c>
      <c r="V30" s="41"/>
      <c r="W30" s="89" t="e">
        <f t="shared" ca="1" si="6"/>
        <v>#NAME?</v>
      </c>
      <c r="X30" s="87"/>
      <c r="Y30" s="41"/>
      <c r="Z30" s="41"/>
      <c r="AA30" s="89"/>
      <c r="AB30" s="41" t="e">
        <f ca="1">[2]!interpol(A30,[4]jupA_data!$A$2:$A$10,[4]jupA_data!$B$2:$B$10)*PI()*(Géométrie!$B$88^2-Géométrie!$B$63^2)/$B$1*COS(ATAN((Géométrie!$B$88-Géométrie!$B$63)/Géométrie!$B$76))^2/100</f>
        <v>#NAME?</v>
      </c>
      <c r="AC30" s="41" t="e">
        <f ca="1">[2]!interpol(A30,[4]jupkp_data5deg!$A$1:$A$106,[4]jupkp_data5deg!$B$1:$B$106)*PI()*(Géométrie!$B$88^2-Géométrie!$B$63^2)/$B$1</f>
        <v>#NAME?</v>
      </c>
      <c r="AD30" s="41">
        <f>0.4*Géométrie!$B$76</f>
        <v>0</v>
      </c>
      <c r="AE30" s="41" t="e">
        <f ca="1">AB30*(AD30+Géométrie!$B$83+Géométrie!$B$56+Géométrie!$B$2)/$B$2</f>
        <v>#NAME?</v>
      </c>
      <c r="AF30" s="87"/>
      <c r="AG30" s="41"/>
      <c r="AH30" s="41"/>
      <c r="AI30" s="89"/>
    </row>
    <row r="31" spans="1:35">
      <c r="A31" s="112">
        <v>3.1</v>
      </c>
      <c r="B31" s="87" t="e">
        <f ca="1">[1]!InterpCn(Géométrie!$B$4,$A31,Géométrie!$B$9)*PI()*Géométrie!$B$3^2/4/$B$1</f>
        <v>#NAME?</v>
      </c>
      <c r="C31" s="41" t="e">
        <f ca="1">'Tableaux aéro'!K99*A31*Géométrie!$B$2</f>
        <v>#NAME?</v>
      </c>
      <c r="D31" s="41" t="e">
        <f ca="1">0.445/POWER(LOG(C31),2.58)/POWER(1+0.15*A31^2,0.58)*Géométrie!$B$10/$B$1</f>
        <v>#NAME?</v>
      </c>
      <c r="E31" s="41" t="e">
        <f ca="1">'Tableaux aéro'!X29</f>
        <v>#NAME?</v>
      </c>
      <c r="F31" s="41" t="e">
        <f t="shared" ca="1" si="4"/>
        <v>#NAME?</v>
      </c>
      <c r="G31" s="87" t="e">
        <f ca="1">'Tableaux aéro'!J29*PI()/180*PI()*Géométrie!$B$3^2/4/$B$1</f>
        <v>#NAME?</v>
      </c>
      <c r="H31" s="41">
        <f>'Tableaux aéro'!B29*PI()*Géométrie!$B$3^2/4/$B$1</f>
        <v>0.16592043593749997</v>
      </c>
      <c r="I31" s="41" t="e">
        <f ca="1">'Tableaux aéro'!R29*Géométrie!$B$3</f>
        <v>#NAME?</v>
      </c>
      <c r="J31" s="41" t="e">
        <f ca="1">G31*(I31-Géométrie!$F$12)/$B$2</f>
        <v>#NAME?</v>
      </c>
      <c r="K31" s="87" t="e">
        <f ca="1">[1]!InterpCn(10,$A31,Géométrie!$F$13/Géométrie!$B$3)*Géométrie!$B$3^2*PI()/4/Aerodynamique!$B$1</f>
        <v>#NAME?</v>
      </c>
      <c r="L31" s="41" t="e">
        <f ca="1">'Tableaux aéro'!K99*A31*Géométrie!$F$13</f>
        <v>#NAME?</v>
      </c>
      <c r="M31" s="41" t="e">
        <f ca="1">0.445/POWER(LOG(L31),2.58)/POWER(1+0.15*A31^2,0.58)*Géométrie!$B$10/$B$1</f>
        <v>#NAME?</v>
      </c>
      <c r="N31" s="41"/>
      <c r="O31" s="89" t="e">
        <f ca="1">[1]!InterpCm(10,$A31,Géométrie!$F$13/Géométrie!$B$3)*Géométrie!$B$3^2*PI()/4/$B$1</f>
        <v>#NAME?</v>
      </c>
      <c r="P31" s="41" t="e">
        <f t="shared" ca="1" si="0"/>
        <v>#NAME?</v>
      </c>
      <c r="Q31" s="41" t="e">
        <f t="shared" ca="1" si="1"/>
        <v>#NAME?</v>
      </c>
      <c r="R31" s="41" t="e">
        <f t="shared" ca="1" si="2"/>
        <v>#NAME?</v>
      </c>
      <c r="S31" s="89" t="e">
        <f t="shared" ca="1" si="3"/>
        <v>#NAME?</v>
      </c>
      <c r="T31" s="87" t="e">
        <f t="shared" ca="1" si="5"/>
        <v>#NAME?</v>
      </c>
      <c r="U31" s="41" t="e">
        <f ca="1">[2]!interpol(A31,'[3]CA basé sur Ariane 3'!$A$6:$A$23,'[3]CA basé sur Ariane 3'!$B$6:$B$23)*PI()*(Géométrie!$B$3^2-Géométrie!$B$82^2)/$B$1</f>
        <v>#NAME?</v>
      </c>
      <c r="V31" s="41"/>
      <c r="W31" s="89" t="e">
        <f t="shared" ca="1" si="6"/>
        <v>#NAME?</v>
      </c>
      <c r="X31" s="87"/>
      <c r="Y31" s="41"/>
      <c r="Z31" s="41"/>
      <c r="AA31" s="89"/>
      <c r="AB31" s="41" t="e">
        <f ca="1">[2]!interpol(A31,[4]jupA_data!$A$2:$A$10,[4]jupA_data!$B$2:$B$10)*PI()*(Géométrie!$B$88^2-Géométrie!$B$63^2)/$B$1*COS(ATAN((Géométrie!$B$88-Géométrie!$B$63)/Géométrie!$B$76))^2/100</f>
        <v>#NAME?</v>
      </c>
      <c r="AC31" s="41" t="e">
        <f ca="1">[2]!interpol(A31,[4]jupkp_data5deg!$A$1:$A$106,[4]jupkp_data5deg!$B$1:$B$106)*PI()*(Géométrie!$B$88^2-Géométrie!$B$63^2)/$B$1</f>
        <v>#NAME?</v>
      </c>
      <c r="AD31" s="41">
        <f>0.4*Géométrie!$B$76</f>
        <v>0</v>
      </c>
      <c r="AE31" s="41" t="e">
        <f ca="1">AB31*(AD31+Géométrie!$B$83+Géométrie!$B$56+Géométrie!$B$2)/$B$2</f>
        <v>#NAME?</v>
      </c>
      <c r="AF31" s="87"/>
      <c r="AG31" s="41"/>
      <c r="AH31" s="41"/>
      <c r="AI31" s="89"/>
    </row>
    <row r="32" spans="1:35">
      <c r="A32" s="112">
        <v>3.3</v>
      </c>
      <c r="B32" s="87" t="e">
        <f ca="1">[1]!InterpCn(Géométrie!$B$4,$A32,Géométrie!$B$9)*PI()*Géométrie!$B$3^2/4/$B$1</f>
        <v>#NAME?</v>
      </c>
      <c r="C32" s="41" t="e">
        <f ca="1">'Tableaux aéro'!K100*A32*Géométrie!$B$2</f>
        <v>#NAME?</v>
      </c>
      <c r="D32" s="41" t="e">
        <f ca="1">0.445/POWER(LOG(C32),2.58)/POWER(1+0.15*A32^2,0.58)*Géométrie!$B$10/$B$1</f>
        <v>#NAME?</v>
      </c>
      <c r="E32" s="41" t="e">
        <f ca="1">'Tableaux aéro'!X30</f>
        <v>#NAME?</v>
      </c>
      <c r="F32" s="41" t="e">
        <f t="shared" ca="1" si="4"/>
        <v>#NAME?</v>
      </c>
      <c r="G32" s="87" t="e">
        <f ca="1">'Tableaux aéro'!J30*PI()/180*PI()*Géométrie!$B$3^2/4/$B$1</f>
        <v>#NAME?</v>
      </c>
      <c r="H32" s="41">
        <f>'Tableaux aéro'!B30*PI()*Géométrie!$B$3^2/4/$B$1</f>
        <v>0.16451073281249998</v>
      </c>
      <c r="I32" s="41" t="e">
        <f ca="1">'Tableaux aéro'!R30*Géométrie!$B$3</f>
        <v>#NAME?</v>
      </c>
      <c r="J32" s="41" t="e">
        <f ca="1">G32*(I32-Géométrie!$F$12)/$B$2</f>
        <v>#NAME?</v>
      </c>
      <c r="K32" s="87" t="e">
        <f ca="1">[1]!InterpCn(10,$A32,Géométrie!$F$13/Géométrie!$B$3)*Géométrie!$B$3^2*PI()/4/Aerodynamique!$B$1</f>
        <v>#NAME?</v>
      </c>
      <c r="L32" s="41" t="e">
        <f ca="1">'Tableaux aéro'!K100*A32*Géométrie!$F$13</f>
        <v>#NAME?</v>
      </c>
      <c r="M32" s="41" t="e">
        <f ca="1">0.445/POWER(LOG(L32),2.58)/POWER(1+0.15*A32^2,0.58)*Géométrie!$B$10/$B$1</f>
        <v>#NAME?</v>
      </c>
      <c r="N32" s="41"/>
      <c r="O32" s="89" t="e">
        <f ca="1">[1]!InterpCm(10,$A32,Géométrie!$F$13/Géométrie!$B$3)*Géométrie!$B$3^2*PI()/4/$B$1</f>
        <v>#NAME?</v>
      </c>
      <c r="P32" s="41" t="e">
        <f t="shared" ca="1" si="0"/>
        <v>#NAME?</v>
      </c>
      <c r="Q32" s="41" t="e">
        <f t="shared" ca="1" si="1"/>
        <v>#NAME?</v>
      </c>
      <c r="R32" s="41" t="e">
        <f t="shared" ca="1" si="2"/>
        <v>#NAME?</v>
      </c>
      <c r="S32" s="89" t="e">
        <f t="shared" ca="1" si="3"/>
        <v>#NAME?</v>
      </c>
      <c r="T32" s="87" t="e">
        <f t="shared" ca="1" si="5"/>
        <v>#NAME?</v>
      </c>
      <c r="U32" s="41" t="e">
        <f ca="1">[2]!interpol(A32,'[3]CA basé sur Ariane 3'!$A$6:$A$23,'[3]CA basé sur Ariane 3'!$B$6:$B$23)*PI()*(Géométrie!$B$3^2-Géométrie!$B$82^2)/$B$1</f>
        <v>#NAME?</v>
      </c>
      <c r="V32" s="41"/>
      <c r="W32" s="89" t="e">
        <f t="shared" ca="1" si="6"/>
        <v>#NAME?</v>
      </c>
      <c r="X32" s="87"/>
      <c r="Y32" s="41"/>
      <c r="Z32" s="41"/>
      <c r="AA32" s="89"/>
      <c r="AB32" s="41" t="e">
        <f ca="1">[2]!interpol(A32,[4]jupA_data!$A$2:$A$10,[4]jupA_data!$B$2:$B$10)*PI()*(Géométrie!$B$88^2-Géométrie!$B$63^2)/$B$1*COS(ATAN((Géométrie!$B$88-Géométrie!$B$63)/Géométrie!$B$76))^2/100</f>
        <v>#NAME?</v>
      </c>
      <c r="AC32" s="41" t="e">
        <f ca="1">[2]!interpol(A32,[4]jupkp_data5deg!$A$1:$A$106,[4]jupkp_data5deg!$B$1:$B$106)*PI()*(Géométrie!$B$88^2-Géométrie!$B$63^2)/$B$1</f>
        <v>#NAME?</v>
      </c>
      <c r="AD32" s="41">
        <f>0.4*Géométrie!$B$76</f>
        <v>0</v>
      </c>
      <c r="AE32" s="41" t="e">
        <f ca="1">AB32*(AD32+Géométrie!$B$83+Géométrie!$B$56+Géométrie!$B$2)/$B$2</f>
        <v>#NAME?</v>
      </c>
      <c r="AF32" s="87"/>
      <c r="AG32" s="41"/>
      <c r="AH32" s="41"/>
      <c r="AI32" s="89"/>
    </row>
    <row r="33" spans="1:35">
      <c r="A33" s="112">
        <v>3.5</v>
      </c>
      <c r="B33" s="87" t="e">
        <f ca="1">[1]!InterpCn(Géométrie!$B$4,$A33,Géométrie!$B$9)*PI()*Géométrie!$B$3^2/4/$B$1</f>
        <v>#NAME?</v>
      </c>
      <c r="C33" s="41" t="e">
        <f ca="1">'Tableaux aéro'!K101*A33*Géométrie!$B$2</f>
        <v>#NAME?</v>
      </c>
      <c r="D33" s="41" t="e">
        <f ca="1">0.445/POWER(LOG(C33),2.58)/POWER(1+0.15*A33^2,0.58)*Géométrie!$B$10/$B$1</f>
        <v>#NAME?</v>
      </c>
      <c r="E33" s="41" t="e">
        <f ca="1">'Tableaux aéro'!X31</f>
        <v>#NAME?</v>
      </c>
      <c r="F33" s="41" t="e">
        <f t="shared" ca="1" si="4"/>
        <v>#NAME?</v>
      </c>
      <c r="G33" s="87" t="e">
        <f ca="1">'Tableaux aéro'!J31*PI()/180*PI()*Géométrie!$B$3^2/4/$B$1</f>
        <v>#NAME?</v>
      </c>
      <c r="H33" s="41">
        <f>'Tableaux aéro'!B31*PI()*Géométrie!$B$3^2/4/$B$1</f>
        <v>0.16310103124999997</v>
      </c>
      <c r="I33" s="41" t="e">
        <f ca="1">'Tableaux aéro'!R31*Géométrie!$B$3</f>
        <v>#NAME?</v>
      </c>
      <c r="J33" s="41" t="e">
        <f ca="1">G33*(I33-Géométrie!$F$12)/$B$2</f>
        <v>#NAME?</v>
      </c>
      <c r="K33" s="87" t="e">
        <f ca="1">[1]!InterpCn(10,$A33,Géométrie!$F$13/Géométrie!$B$3)*Géométrie!$B$3^2*PI()/4/Aerodynamique!$B$1</f>
        <v>#NAME?</v>
      </c>
      <c r="L33" s="41" t="e">
        <f ca="1">'Tableaux aéro'!K101*A33*Géométrie!$F$13</f>
        <v>#NAME?</v>
      </c>
      <c r="M33" s="41" t="e">
        <f ca="1">0.445/POWER(LOG(L33),2.58)/POWER(1+0.15*A33^2,0.58)*Géométrie!$B$10/$B$1</f>
        <v>#NAME?</v>
      </c>
      <c r="N33" s="41"/>
      <c r="O33" s="89" t="e">
        <f ca="1">[1]!InterpCm(10,$A33,Géométrie!$F$13/Géométrie!$B$3)*Géométrie!$B$3^2*PI()/4/$B$1</f>
        <v>#NAME?</v>
      </c>
      <c r="P33" s="41" t="e">
        <f t="shared" ca="1" si="0"/>
        <v>#NAME?</v>
      </c>
      <c r="Q33" s="41" t="e">
        <f t="shared" ca="1" si="1"/>
        <v>#NAME?</v>
      </c>
      <c r="R33" s="41" t="e">
        <f t="shared" ca="1" si="2"/>
        <v>#NAME?</v>
      </c>
      <c r="S33" s="89" t="e">
        <f t="shared" ca="1" si="3"/>
        <v>#NAME?</v>
      </c>
      <c r="T33" s="87" t="e">
        <f t="shared" ca="1" si="5"/>
        <v>#NAME?</v>
      </c>
      <c r="U33" s="41" t="e">
        <f ca="1">[2]!interpol(A33,'[3]CA basé sur Ariane 3'!$A$6:$A$23,'[3]CA basé sur Ariane 3'!$B$6:$B$23)*PI()*(Géométrie!$B$3^2-Géométrie!$B$82^2)/$B$1</f>
        <v>#NAME?</v>
      </c>
      <c r="V33" s="41"/>
      <c r="W33" s="89" t="e">
        <f t="shared" ca="1" si="6"/>
        <v>#NAME?</v>
      </c>
      <c r="X33" s="87"/>
      <c r="Y33" s="41"/>
      <c r="Z33" s="41"/>
      <c r="AA33" s="89"/>
      <c r="AB33" s="41" t="e">
        <f ca="1">[2]!interpol(A33,[4]jupA_data!$A$2:$A$10,[4]jupA_data!$B$2:$B$10)*PI()*(Géométrie!$B$88^2-Géométrie!$B$63^2)/$B$1*COS(ATAN((Géométrie!$B$88-Géométrie!$B$63)/Géométrie!$B$76))^2/100</f>
        <v>#NAME?</v>
      </c>
      <c r="AC33" s="41" t="e">
        <f ca="1">[2]!interpol(A33,[4]jupkp_data5deg!$A$1:$A$106,[4]jupkp_data5deg!$B$1:$B$106)*PI()*(Géométrie!$B$88^2-Géométrie!$B$63^2)/$B$1</f>
        <v>#NAME?</v>
      </c>
      <c r="AD33" s="41">
        <f>0.4*Géométrie!$B$76</f>
        <v>0</v>
      </c>
      <c r="AE33" s="41" t="e">
        <f ca="1">AB33*(AD33+Géométrie!$B$83+Géométrie!$B$56+Géométrie!$B$2)/$B$2</f>
        <v>#NAME?</v>
      </c>
      <c r="AF33" s="87"/>
      <c r="AG33" s="41"/>
      <c r="AH33" s="41"/>
      <c r="AI33" s="89"/>
    </row>
    <row r="34" spans="1:35">
      <c r="A34" s="112">
        <v>3.7</v>
      </c>
      <c r="B34" s="87" t="e">
        <f ca="1">[1]!InterpCn(Géométrie!$B$4,$A34,Géométrie!$B$9)*PI()*Géométrie!$B$3^2/4/$B$1</f>
        <v>#NAME?</v>
      </c>
      <c r="C34" s="41" t="e">
        <f ca="1">'Tableaux aéro'!K102*A34*Géométrie!$B$2</f>
        <v>#NAME?</v>
      </c>
      <c r="D34" s="41" t="e">
        <f ca="1">0.445/POWER(LOG(C34),2.58)/POWER(1+0.15*A34^2,0.58)*Géométrie!$B$10/$B$1</f>
        <v>#NAME?</v>
      </c>
      <c r="E34" s="41" t="e">
        <f ca="1">'Tableaux aéro'!X32</f>
        <v>#NAME?</v>
      </c>
      <c r="F34" s="41" t="e">
        <f t="shared" ca="1" si="4"/>
        <v>#NAME?</v>
      </c>
      <c r="G34" s="87" t="e">
        <f ca="1">'Tableaux aéro'!J32*PI()/180*PI()*Géométrie!$B$3^2/4/$B$1</f>
        <v>#NAME?</v>
      </c>
      <c r="H34" s="41">
        <f>'Tableaux aéro'!B32*PI()*Géométrie!$B$3^2/4/$B$1</f>
        <v>0.16169132812499998</v>
      </c>
      <c r="I34" s="41" t="e">
        <f ca="1">'Tableaux aéro'!R32*Géométrie!$B$3</f>
        <v>#NAME?</v>
      </c>
      <c r="J34" s="41" t="e">
        <f ca="1">G34*(I34-Géométrie!$F$12)/$B$2</f>
        <v>#NAME?</v>
      </c>
      <c r="K34" s="87" t="e">
        <f ca="1">[1]!InterpCn(10,$A34,Géométrie!$F$13/Géométrie!$B$3)*Géométrie!$B$3^2*PI()/4/Aerodynamique!$B$1</f>
        <v>#NAME?</v>
      </c>
      <c r="L34" s="41" t="e">
        <f ca="1">'Tableaux aéro'!K102*A34*Géométrie!$F$13</f>
        <v>#NAME?</v>
      </c>
      <c r="M34" s="41" t="e">
        <f ca="1">0.445/POWER(LOG(L34),2.58)/POWER(1+0.15*A34^2,0.58)*Géométrie!$B$10/$B$1</f>
        <v>#NAME?</v>
      </c>
      <c r="N34" s="41"/>
      <c r="O34" s="89" t="e">
        <f ca="1">[1]!InterpCm(10,$A34,Géométrie!$F$13/Géométrie!$B$3)*Géométrie!$B$3^2*PI()/4/$B$1</f>
        <v>#NAME?</v>
      </c>
      <c r="P34" s="41" t="e">
        <f t="shared" ca="1" si="0"/>
        <v>#NAME?</v>
      </c>
      <c r="Q34" s="41" t="e">
        <f t="shared" ca="1" si="1"/>
        <v>#NAME?</v>
      </c>
      <c r="R34" s="41" t="e">
        <f t="shared" ca="1" si="2"/>
        <v>#NAME?</v>
      </c>
      <c r="S34" s="89" t="e">
        <f t="shared" ca="1" si="3"/>
        <v>#NAME?</v>
      </c>
      <c r="T34" s="87" t="e">
        <f t="shared" ca="1" si="5"/>
        <v>#NAME?</v>
      </c>
      <c r="U34" s="41" t="e">
        <f ca="1">[2]!interpol(A34,'[3]CA basé sur Ariane 3'!$A$6:$A$23,'[3]CA basé sur Ariane 3'!$B$6:$B$23)*PI()*(Géométrie!$B$3^2-Géométrie!$B$82^2)/$B$1</f>
        <v>#NAME?</v>
      </c>
      <c r="V34" s="41"/>
      <c r="W34" s="89" t="e">
        <f t="shared" ca="1" si="6"/>
        <v>#NAME?</v>
      </c>
      <c r="X34" s="87"/>
      <c r="Y34" s="41"/>
      <c r="Z34" s="41"/>
      <c r="AA34" s="89"/>
      <c r="AB34" s="41" t="e">
        <f ca="1">[2]!interpol(A34,[4]jupA_data!$A$2:$A$10,[4]jupA_data!$B$2:$B$10)*PI()*(Géométrie!$B$88^2-Géométrie!$B$63^2)/$B$1*COS(ATAN((Géométrie!$B$88-Géométrie!$B$63)/Géométrie!$B$76))^2/100</f>
        <v>#NAME?</v>
      </c>
      <c r="AC34" s="41" t="e">
        <f ca="1">[2]!interpol(A34,[4]jupkp_data5deg!$A$1:$A$106,[4]jupkp_data5deg!$B$1:$B$106)*PI()*(Géométrie!$B$88^2-Géométrie!$B$63^2)/$B$1</f>
        <v>#NAME?</v>
      </c>
      <c r="AD34" s="41">
        <f>0.4*Géométrie!$B$76</f>
        <v>0</v>
      </c>
      <c r="AE34" s="41" t="e">
        <f ca="1">AB34*(AD34+Géométrie!$B$83+Géométrie!$B$56+Géométrie!$B$2)/$B$2</f>
        <v>#NAME?</v>
      </c>
      <c r="AF34" s="87"/>
      <c r="AG34" s="41"/>
      <c r="AH34" s="41"/>
      <c r="AI34" s="89"/>
    </row>
    <row r="35" spans="1:35">
      <c r="A35" s="112">
        <v>3.9</v>
      </c>
      <c r="B35" s="87" t="e">
        <f ca="1">[1]!InterpCn(Géométrie!$B$4,$A35,Géométrie!$B$9)*PI()*Géométrie!$B$3^2/4/$B$1</f>
        <v>#NAME?</v>
      </c>
      <c r="C35" s="41" t="e">
        <f ca="1">'Tableaux aéro'!K103*A35*Géométrie!$B$2</f>
        <v>#NAME?</v>
      </c>
      <c r="D35" s="41" t="e">
        <f ca="1">0.445/POWER(LOG(C35),2.58)/POWER(1+0.15*A35^2,0.58)*Géométrie!$B$10/$B$1</f>
        <v>#NAME?</v>
      </c>
      <c r="E35" s="41" t="e">
        <f ca="1">'Tableaux aéro'!X33</f>
        <v>#NAME?</v>
      </c>
      <c r="F35" s="41" t="e">
        <f t="shared" ca="1" si="4"/>
        <v>#NAME?</v>
      </c>
      <c r="G35" s="87" t="e">
        <f ca="1">'Tableaux aéro'!J33*PI()/180*PI()*Géométrie!$B$3^2/4/$B$1</f>
        <v>#NAME?</v>
      </c>
      <c r="H35" s="41">
        <f>'Tableaux aéro'!B33*PI()*Géométrie!$B$3^2/4/$B$1</f>
        <v>0.16028162499999998</v>
      </c>
      <c r="I35" s="41" t="e">
        <f ca="1">'Tableaux aéro'!R33*Géométrie!$B$3</f>
        <v>#NAME?</v>
      </c>
      <c r="J35" s="41" t="e">
        <f ca="1">G35*(I35-Géométrie!$F$12)/$B$2</f>
        <v>#NAME?</v>
      </c>
      <c r="K35" s="87" t="e">
        <f ca="1">[1]!InterpCn(10,$A35,Géométrie!$F$13/Géométrie!$B$3)*Géométrie!$B$3^2*PI()/4/Aerodynamique!$B$1</f>
        <v>#NAME?</v>
      </c>
      <c r="L35" s="41" t="e">
        <f ca="1">'Tableaux aéro'!K103*A35*Géométrie!$F$13</f>
        <v>#NAME?</v>
      </c>
      <c r="M35" s="41" t="e">
        <f ca="1">0.445/POWER(LOG(L35),2.58)/POWER(1+0.15*A35^2,0.58)*Géométrie!$B$10/$B$1</f>
        <v>#NAME?</v>
      </c>
      <c r="N35" s="41"/>
      <c r="O35" s="89" t="e">
        <f ca="1">[1]!InterpCm(10,$A35,Géométrie!$F$13/Géométrie!$B$3)*Géométrie!$B$3^2*PI()/4/$B$1</f>
        <v>#NAME?</v>
      </c>
      <c r="P35" s="41" t="e">
        <f t="shared" ca="1" si="0"/>
        <v>#NAME?</v>
      </c>
      <c r="Q35" s="41" t="e">
        <f t="shared" ca="1" si="1"/>
        <v>#NAME?</v>
      </c>
      <c r="R35" s="41" t="e">
        <f t="shared" ca="1" si="2"/>
        <v>#NAME?</v>
      </c>
      <c r="S35" s="89" t="e">
        <f t="shared" ca="1" si="3"/>
        <v>#NAME?</v>
      </c>
      <c r="T35" s="87" t="e">
        <f t="shared" ca="1" si="5"/>
        <v>#NAME?</v>
      </c>
      <c r="U35" s="41" t="e">
        <f ca="1">[2]!interpol(A35,'[3]CA basé sur Ariane 3'!$A$6:$A$23,'[3]CA basé sur Ariane 3'!$B$6:$B$23)*PI()*(Géométrie!$B$3^2-Géométrie!$B$82^2)/$B$1</f>
        <v>#NAME?</v>
      </c>
      <c r="V35" s="41"/>
      <c r="W35" s="89" t="e">
        <f t="shared" ca="1" si="6"/>
        <v>#NAME?</v>
      </c>
      <c r="X35" s="87"/>
      <c r="Y35" s="41"/>
      <c r="Z35" s="41"/>
      <c r="AA35" s="89"/>
      <c r="AB35" s="41" t="e">
        <f ca="1">[2]!interpol(A35,[4]jupA_data!$A$2:$A$10,[4]jupA_data!$B$2:$B$10)*PI()*(Géométrie!$B$88^2-Géométrie!$B$63^2)/$B$1*COS(ATAN((Géométrie!$B$88-Géométrie!$B$63)/Géométrie!$B$76))^2/100</f>
        <v>#NAME?</v>
      </c>
      <c r="AC35" s="41" t="e">
        <f ca="1">[2]!interpol(A35,[4]jupkp_data5deg!$A$1:$A$106,[4]jupkp_data5deg!$B$1:$B$106)*PI()*(Géométrie!$B$88^2-Géométrie!$B$63^2)/$B$1</f>
        <v>#NAME?</v>
      </c>
      <c r="AD35" s="41">
        <f>0.4*Géométrie!$B$76</f>
        <v>0</v>
      </c>
      <c r="AE35" s="41" t="e">
        <f ca="1">AB35*(AD35+Géométrie!$B$83+Géométrie!$B$56+Géométrie!$B$2)/$B$2</f>
        <v>#NAME?</v>
      </c>
      <c r="AF35" s="87"/>
      <c r="AG35" s="41"/>
      <c r="AH35" s="41"/>
      <c r="AI35" s="89"/>
    </row>
    <row r="36" spans="1:35">
      <c r="A36" s="112">
        <v>4.0999999999999996</v>
      </c>
      <c r="B36" s="87" t="e">
        <f ca="1">[1]!InterpCn(Géométrie!$B$4,$A36,Géométrie!$B$9)*PI()*Géométrie!$B$3^2/4/$B$1</f>
        <v>#NAME?</v>
      </c>
      <c r="C36" s="41" t="e">
        <f ca="1">'Tableaux aéro'!K104*A36*Géométrie!$B$2</f>
        <v>#NAME?</v>
      </c>
      <c r="D36" s="41" t="e">
        <f ca="1">0.445/POWER(LOG(C36),2.58)/POWER(1+0.15*A36^2,0.58)*Géométrie!$B$10/$B$1</f>
        <v>#NAME?</v>
      </c>
      <c r="E36" s="41" t="e">
        <f ca="1">'Tableaux aéro'!X34</f>
        <v>#NAME?</v>
      </c>
      <c r="F36" s="41" t="e">
        <f t="shared" ca="1" si="4"/>
        <v>#NAME?</v>
      </c>
      <c r="G36" s="87" t="e">
        <f ca="1">'Tableaux aéro'!J34*PI()/180*PI()*Géométrie!$B$3^2/4/$B$1</f>
        <v>#NAME?</v>
      </c>
      <c r="H36" s="41">
        <f>'Tableaux aéro'!B34*PI()*Géométrie!$B$3^2/4/$B$1</f>
        <v>0.15973168906249999</v>
      </c>
      <c r="I36" s="41" t="e">
        <f ca="1">'Tableaux aéro'!R34*Géométrie!$B$3</f>
        <v>#NAME?</v>
      </c>
      <c r="J36" s="41" t="e">
        <f ca="1">G36*(I36-Géométrie!$F$12)/$B$2</f>
        <v>#NAME?</v>
      </c>
      <c r="K36" s="87" t="e">
        <f ca="1">[1]!InterpCn(10,$A36,Géométrie!$F$13/Géométrie!$B$3)*Géométrie!$B$3^2*PI()/4/Aerodynamique!$B$1</f>
        <v>#NAME?</v>
      </c>
      <c r="L36" s="41" t="e">
        <f ca="1">'Tableaux aéro'!K104*A36*Géométrie!$F$13</f>
        <v>#NAME?</v>
      </c>
      <c r="M36" s="41" t="e">
        <f ca="1">0.445/POWER(LOG(L36),2.58)/POWER(1+0.15*A36^2,0.58)*Géométrie!$B$10/$B$1</f>
        <v>#NAME?</v>
      </c>
      <c r="N36" s="41"/>
      <c r="O36" s="89" t="e">
        <f ca="1">[1]!InterpCm(10,$A36,Géométrie!$F$13/Géométrie!$B$3)*Géométrie!$B$3^2*PI()/4/$B$1</f>
        <v>#NAME?</v>
      </c>
      <c r="P36" s="41" t="e">
        <f t="shared" ca="1" si="0"/>
        <v>#NAME?</v>
      </c>
      <c r="Q36" s="41" t="e">
        <f t="shared" ca="1" si="1"/>
        <v>#NAME?</v>
      </c>
      <c r="R36" s="41" t="e">
        <f t="shared" ca="1" si="2"/>
        <v>#NAME?</v>
      </c>
      <c r="S36" s="89" t="e">
        <f t="shared" ca="1" si="3"/>
        <v>#NAME?</v>
      </c>
      <c r="T36" s="87" t="e">
        <f t="shared" ca="1" si="5"/>
        <v>#NAME?</v>
      </c>
      <c r="U36" s="41" t="e">
        <f ca="1">[2]!interpol(A36,'[3]CA basé sur Ariane 3'!$A$6:$A$23,'[3]CA basé sur Ariane 3'!$B$6:$B$23)*PI()*(Géométrie!$B$3^2-Géométrie!$B$82^2)/$B$1</f>
        <v>#NAME?</v>
      </c>
      <c r="V36" s="41"/>
      <c r="W36" s="89" t="e">
        <f t="shared" ca="1" si="6"/>
        <v>#NAME?</v>
      </c>
      <c r="X36" s="87"/>
      <c r="Y36" s="41"/>
      <c r="Z36" s="41"/>
      <c r="AA36" s="89"/>
      <c r="AB36" s="41" t="e">
        <f ca="1">[2]!interpol(A36,[4]jupA_data!$A$2:$A$10,[4]jupA_data!$B$2:$B$10)*PI()*(Géométrie!$B$88^2-Géométrie!$B$63^2)/$B$1*COS(ATAN((Géométrie!$B$88-Géométrie!$B$63)/Géométrie!$B$76))^2/100</f>
        <v>#NAME?</v>
      </c>
      <c r="AC36" s="41" t="e">
        <f ca="1">[2]!interpol(A36,[4]jupkp_data5deg!$A$1:$A$106,[4]jupkp_data5deg!$B$1:$B$106)*PI()*(Géométrie!$B$88^2-Géométrie!$B$63^2)/$B$1</f>
        <v>#NAME?</v>
      </c>
      <c r="AD36" s="41">
        <f>0.4*Géométrie!$B$76</f>
        <v>0</v>
      </c>
      <c r="AE36" s="41" t="e">
        <f ca="1">AB36*(AD36+Géométrie!$B$83+Géométrie!$B$56+Géométrie!$B$2)/$B$2</f>
        <v>#NAME?</v>
      </c>
      <c r="AF36" s="87"/>
      <c r="AG36" s="41"/>
      <c r="AH36" s="41"/>
      <c r="AI36" s="89"/>
    </row>
    <row r="37" spans="1:35">
      <c r="A37" s="112">
        <v>4.3</v>
      </c>
      <c r="B37" s="87" t="e">
        <f ca="1">[1]!InterpCn(Géométrie!$B$4,$A37,Géométrie!$B$9)*PI()*Géométrie!$B$3^2/4/$B$1</f>
        <v>#NAME?</v>
      </c>
      <c r="C37" s="41" t="e">
        <f ca="1">'Tableaux aéro'!K105*A37*Géométrie!$B$2</f>
        <v>#NAME?</v>
      </c>
      <c r="D37" s="41" t="e">
        <f ca="1">0.445/POWER(LOG(C37),2.58)/POWER(1+0.15*A37^2,0.58)*Géométrie!$B$10/$B$1</f>
        <v>#NAME?</v>
      </c>
      <c r="E37" s="41" t="e">
        <f ca="1">'Tableaux aéro'!X35</f>
        <v>#NAME?</v>
      </c>
      <c r="F37" s="41" t="e">
        <f t="shared" ca="1" si="4"/>
        <v>#NAME?</v>
      </c>
      <c r="G37" s="87" t="e">
        <f ca="1">'Tableaux aéro'!J35*PI()/180*PI()*Géométrie!$B$3^2/4/$B$1</f>
        <v>#NAME?</v>
      </c>
      <c r="H37" s="41">
        <f>'Tableaux aéro'!B35*PI()*Géométrie!$B$3^2/4/$B$1</f>
        <v>0.15997249531249996</v>
      </c>
      <c r="I37" s="41" t="e">
        <f ca="1">'Tableaux aéro'!R35*Géométrie!$B$3</f>
        <v>#NAME?</v>
      </c>
      <c r="J37" s="41" t="e">
        <f ca="1">G37*(I37-Géométrie!$F$12)/$B$2</f>
        <v>#NAME?</v>
      </c>
      <c r="K37" s="87" t="e">
        <f ca="1">[1]!InterpCn(10,$A37,Géométrie!$F$13/Géométrie!$B$3)*Géométrie!$B$3^2*PI()/4/Aerodynamique!$B$1</f>
        <v>#NAME?</v>
      </c>
      <c r="L37" s="41" t="e">
        <f ca="1">'Tableaux aéro'!K105*A37*Géométrie!$F$13</f>
        <v>#NAME?</v>
      </c>
      <c r="M37" s="41" t="e">
        <f ca="1">0.445/POWER(LOG(L37),2.58)/POWER(1+0.15*A37^2,0.58)*Géométrie!$B$10/$B$1</f>
        <v>#NAME?</v>
      </c>
      <c r="N37" s="41"/>
      <c r="O37" s="89" t="e">
        <f ca="1">[1]!InterpCm(10,$A37,Géométrie!$F$13/Géométrie!$B$3)*Géométrie!$B$3^2*PI()/4/$B$1</f>
        <v>#NAME?</v>
      </c>
      <c r="P37" s="41" t="e">
        <f t="shared" ca="1" si="0"/>
        <v>#NAME?</v>
      </c>
      <c r="Q37" s="41" t="e">
        <f t="shared" ca="1" si="1"/>
        <v>#NAME?</v>
      </c>
      <c r="R37" s="41" t="e">
        <f t="shared" ca="1" si="2"/>
        <v>#NAME?</v>
      </c>
      <c r="S37" s="89" t="e">
        <f t="shared" ca="1" si="3"/>
        <v>#NAME?</v>
      </c>
      <c r="T37" s="87" t="e">
        <f t="shared" ca="1" si="5"/>
        <v>#NAME?</v>
      </c>
      <c r="U37" s="41" t="e">
        <f ca="1">[2]!interpol(A37,'[3]CA basé sur Ariane 3'!$A$6:$A$23,'[3]CA basé sur Ariane 3'!$B$6:$B$23)*PI()*(Géométrie!$B$3^2-Géométrie!$B$82^2)/$B$1</f>
        <v>#NAME?</v>
      </c>
      <c r="V37" s="41"/>
      <c r="W37" s="89" t="e">
        <f t="shared" ca="1" si="6"/>
        <v>#NAME?</v>
      </c>
      <c r="X37" s="87"/>
      <c r="Y37" s="41"/>
      <c r="Z37" s="41"/>
      <c r="AA37" s="89"/>
      <c r="AB37" s="41" t="e">
        <f ca="1">[2]!interpol(A37,[4]jupA_data!$A$2:$A$10,[4]jupA_data!$B$2:$B$10)*PI()*(Géométrie!$B$88^2-Géométrie!$B$63^2)/$B$1*COS(ATAN((Géométrie!$B$88-Géométrie!$B$63)/Géométrie!$B$76))^2/100</f>
        <v>#NAME?</v>
      </c>
      <c r="AC37" s="41" t="e">
        <f ca="1">[2]!interpol(A37,[4]jupkp_data5deg!$A$1:$A$106,[4]jupkp_data5deg!$B$1:$B$106)*PI()*(Géométrie!$B$88^2-Géométrie!$B$63^2)/$B$1</f>
        <v>#NAME?</v>
      </c>
      <c r="AD37" s="41">
        <f>0.4*Géométrie!$B$76</f>
        <v>0</v>
      </c>
      <c r="AE37" s="41" t="e">
        <f ca="1">AB37*(AD37+Géométrie!$B$83+Géométrie!$B$56+Géométrie!$B$2)/$B$2</f>
        <v>#NAME?</v>
      </c>
      <c r="AF37" s="87"/>
      <c r="AG37" s="41"/>
      <c r="AH37" s="41"/>
      <c r="AI37" s="89"/>
    </row>
    <row r="38" spans="1:35">
      <c r="A38" s="112">
        <v>4.5</v>
      </c>
      <c r="B38" s="87" t="e">
        <f ca="1">[1]!InterpCn(Géométrie!$B$4,$A38,Géométrie!$B$9)*PI()*Géométrie!$B$3^2/4/$B$1</f>
        <v>#NAME?</v>
      </c>
      <c r="C38" s="41" t="e">
        <f ca="1">'Tableaux aéro'!K106*A38*Géométrie!$B$2</f>
        <v>#NAME?</v>
      </c>
      <c r="D38" s="41" t="e">
        <f ca="1">0.445/POWER(LOG(C38),2.58)/POWER(1+0.15*A38^2,0.58)*Géométrie!$B$10/$B$1</f>
        <v>#NAME?</v>
      </c>
      <c r="E38" s="41" t="e">
        <f ca="1">'Tableaux aéro'!X36</f>
        <v>#NAME?</v>
      </c>
      <c r="F38" s="41" t="e">
        <f t="shared" ca="1" si="4"/>
        <v>#NAME?</v>
      </c>
      <c r="G38" s="87" t="e">
        <f ca="1">'Tableaux aéro'!J36*PI()/180*PI()*Géométrie!$B$3^2/4/$B$1</f>
        <v>#NAME?</v>
      </c>
      <c r="H38" s="41">
        <f>'Tableaux aéro'!B36*PI()*Géométrie!$B$3^2/4/$B$1</f>
        <v>0.16021330312499996</v>
      </c>
      <c r="I38" s="41" t="e">
        <f ca="1">'Tableaux aéro'!R36*Géométrie!$B$3</f>
        <v>#NAME?</v>
      </c>
      <c r="J38" s="41" t="e">
        <f ca="1">G38*(I38-Géométrie!$F$12)/$B$2</f>
        <v>#NAME?</v>
      </c>
      <c r="K38" s="87" t="e">
        <f ca="1">[1]!InterpCn(10,$A38,Géométrie!$F$13/Géométrie!$B$3)*Géométrie!$B$3^2*PI()/4/Aerodynamique!$B$1</f>
        <v>#NAME?</v>
      </c>
      <c r="L38" s="41" t="e">
        <f ca="1">'Tableaux aéro'!K106*A38*Géométrie!$F$13</f>
        <v>#NAME?</v>
      </c>
      <c r="M38" s="41" t="e">
        <f ca="1">0.445/POWER(LOG(L38),2.58)/POWER(1+0.15*A38^2,0.58)*Géométrie!$B$10/$B$1</f>
        <v>#NAME?</v>
      </c>
      <c r="N38" s="41"/>
      <c r="O38" s="89" t="e">
        <f ca="1">[1]!InterpCm(10,$A38,Géométrie!$F$13/Géométrie!$B$3)*Géométrie!$B$3^2*PI()/4/$B$1</f>
        <v>#NAME?</v>
      </c>
      <c r="P38" s="41" t="e">
        <f t="shared" ca="1" si="0"/>
        <v>#NAME?</v>
      </c>
      <c r="Q38" s="41" t="e">
        <f t="shared" ca="1" si="1"/>
        <v>#NAME?</v>
      </c>
      <c r="R38" s="41" t="e">
        <f t="shared" ca="1" si="2"/>
        <v>#NAME?</v>
      </c>
      <c r="S38" s="89" t="e">
        <f t="shared" ca="1" si="3"/>
        <v>#NAME?</v>
      </c>
      <c r="T38" s="87" t="e">
        <f t="shared" ca="1" si="5"/>
        <v>#NAME?</v>
      </c>
      <c r="U38" s="41" t="e">
        <f ca="1">[2]!interpol(A38,'[3]CA basé sur Ariane 3'!$A$6:$A$23,'[3]CA basé sur Ariane 3'!$B$6:$B$23)*PI()*(Géométrie!$B$3^2-Géométrie!$B$82^2)/$B$1</f>
        <v>#NAME?</v>
      </c>
      <c r="V38" s="41"/>
      <c r="W38" s="89" t="e">
        <f t="shared" ca="1" si="6"/>
        <v>#NAME?</v>
      </c>
      <c r="X38" s="41"/>
      <c r="Y38" s="41"/>
      <c r="Z38" s="41"/>
      <c r="AA38" s="41"/>
      <c r="AB38" s="87" t="e">
        <f ca="1">[2]!interpol(A38,[4]jupA_data!$A$2:$A$10,[4]jupA_data!$B$2:$B$10)*PI()*(Géométrie!$B$88^2-Géométrie!$B$63^2)/$B$1*COS(ATAN((Géométrie!$B$88-Géométrie!$B$63)/Géométrie!$B$76))^2/100</f>
        <v>#NAME?</v>
      </c>
      <c r="AC38" s="41" t="e">
        <f ca="1">[2]!interpol(A38,[4]jupkp_data5deg!$A$1:$A$106,[4]jupkp_data5deg!$B$1:$B$106)*PI()*(Géométrie!$B$88^2-Géométrie!$B$63^2)/$B$1</f>
        <v>#NAME?</v>
      </c>
      <c r="AD38" s="41">
        <f>0.4*Géométrie!$B$76</f>
        <v>0</v>
      </c>
      <c r="AE38" s="89" t="e">
        <f ca="1">AB38*(AD38+Géométrie!$B$83+Géométrie!$B$56+Géométrie!$B$2)/$B$2</f>
        <v>#NAME?</v>
      </c>
      <c r="AF38" s="41"/>
      <c r="AG38" s="41"/>
      <c r="AH38" s="41"/>
      <c r="AI38" s="89"/>
    </row>
    <row r="39" spans="1:35">
      <c r="A39" s="112">
        <v>4.7</v>
      </c>
      <c r="B39" s="87" t="e">
        <f ca="1">[1]!InterpCn(Géométrie!$B$4,$A39,Géométrie!$B$9)*PI()*Géométrie!$B$3^2/4/$B$1</f>
        <v>#NAME?</v>
      </c>
      <c r="C39" s="41" t="e">
        <f ca="1">'Tableaux aéro'!K107*A39*Géométrie!$B$2</f>
        <v>#NAME?</v>
      </c>
      <c r="D39" s="41" t="e">
        <f ca="1">0.445/POWER(LOG(C39),2.58)/POWER(1+0.15*A39^2,0.58)*Géométrie!$B$10/$B$1</f>
        <v>#NAME?</v>
      </c>
      <c r="E39" s="41" t="e">
        <f ca="1">'Tableaux aéro'!X37</f>
        <v>#NAME?</v>
      </c>
      <c r="F39" s="41" t="e">
        <f t="shared" ca="1" si="4"/>
        <v>#NAME?</v>
      </c>
      <c r="G39" s="87" t="e">
        <f ca="1">'Tableaux aéro'!J37*PI()/180*PI()*Géométrie!$B$3^2/4/$B$1</f>
        <v>#NAME?</v>
      </c>
      <c r="H39" s="41">
        <f>'Tableaux aéro'!B37*PI()*Géométrie!$B$3^2/4/$B$1</f>
        <v>0.16045411093749998</v>
      </c>
      <c r="I39" s="41" t="e">
        <f ca="1">'Tableaux aéro'!R37*Géométrie!$B$3</f>
        <v>#NAME?</v>
      </c>
      <c r="J39" s="41" t="e">
        <f ca="1">G39*(I39-Géométrie!$F$12)/$B$2</f>
        <v>#NAME?</v>
      </c>
      <c r="K39" s="87" t="e">
        <f ca="1">[1]!InterpCn(10,$A39,Géométrie!$F$13/Géométrie!$B$3)*Géométrie!$B$3^2*PI()/4/Aerodynamique!$B$1</f>
        <v>#NAME?</v>
      </c>
      <c r="L39" s="41" t="e">
        <f ca="1">'Tableaux aéro'!K107*A39*Géométrie!$F$13</f>
        <v>#NAME?</v>
      </c>
      <c r="M39" s="41" t="e">
        <f ca="1">0.445/POWER(LOG(L39),2.58)/POWER(1+0.15*A39^2,0.58)*Géométrie!$B$10/$B$1</f>
        <v>#NAME?</v>
      </c>
      <c r="N39" s="41"/>
      <c r="O39" s="89" t="e">
        <f ca="1">[1]!InterpCm(10,$A39,Géométrie!$F$13/Géométrie!$B$3)*Géométrie!$B$3^2*PI()/4/$B$1</f>
        <v>#NAME?</v>
      </c>
      <c r="P39" s="41" t="e">
        <f t="shared" ca="1" si="0"/>
        <v>#NAME?</v>
      </c>
      <c r="Q39" s="41" t="e">
        <f t="shared" ca="1" si="1"/>
        <v>#NAME?</v>
      </c>
      <c r="R39" s="41" t="e">
        <f t="shared" ca="1" si="2"/>
        <v>#NAME?</v>
      </c>
      <c r="S39" s="89" t="e">
        <f t="shared" ca="1" si="3"/>
        <v>#NAME?</v>
      </c>
      <c r="T39" s="87" t="e">
        <f t="shared" ca="1" si="5"/>
        <v>#NAME?</v>
      </c>
      <c r="U39" s="41" t="e">
        <f ca="1">[2]!interpol(A39,'[3]CA basé sur Ariane 3'!$A$6:$A$23,'[3]CA basé sur Ariane 3'!$B$6:$B$23)*PI()*(Géométrie!$B$3^2-Géométrie!$B$82^2)/$B$1</f>
        <v>#NAME?</v>
      </c>
      <c r="V39" s="41"/>
      <c r="W39" s="89" t="e">
        <f t="shared" ca="1" si="6"/>
        <v>#NAME?</v>
      </c>
      <c r="X39" s="41"/>
      <c r="Y39" s="41"/>
      <c r="Z39" s="41"/>
      <c r="AA39" s="41"/>
      <c r="AB39" s="87" t="e">
        <f ca="1">[2]!interpol(A39,[4]jupA_data!$A$2:$A$10,[4]jupA_data!$B$2:$B$10)*PI()*(Géométrie!$B$88^2-Géométrie!$B$63^2)/$B$1*COS(ATAN((Géométrie!$B$88-Géométrie!$B$63)/Géométrie!$B$76))^2/100</f>
        <v>#NAME?</v>
      </c>
      <c r="AC39" s="41" t="e">
        <f ca="1">[2]!interpol(A39,[4]jupkp_data5deg!$A$1:$A$106,[4]jupkp_data5deg!$B$1:$B$106)*PI()*(Géométrie!$B$88^2-Géométrie!$B$63^2)/$B$1</f>
        <v>#NAME?</v>
      </c>
      <c r="AD39" s="41">
        <f>0.4*Géométrie!$B$76</f>
        <v>0</v>
      </c>
      <c r="AE39" s="89" t="e">
        <f ca="1">AB39*(AD39+Géométrie!$B$83+Géométrie!$B$56+Géométrie!$B$2)/$B$2</f>
        <v>#NAME?</v>
      </c>
      <c r="AF39" s="41"/>
      <c r="AG39" s="41"/>
      <c r="AH39" s="41"/>
      <c r="AI39" s="89"/>
    </row>
    <row r="40" spans="1:35">
      <c r="A40" s="113">
        <v>4.9000000000000004</v>
      </c>
      <c r="B40" s="90" t="e">
        <f ca="1">[1]!InterpCn(Géométrie!$B$4,$A40,Géométrie!$B$9)*PI()*Géométrie!$B$3^2/4/$B$1</f>
        <v>#NAME?</v>
      </c>
      <c r="C40" s="92" t="e">
        <f ca="1">'Tableaux aéro'!K108*A40*Géométrie!$B$2</f>
        <v>#NAME?</v>
      </c>
      <c r="D40" s="92" t="e">
        <f ca="1">0.445/POWER(LOG(C40),2.58)/POWER(1+0.15*A40^2,0.58)*Géométrie!$B$10/$B$1</f>
        <v>#NAME?</v>
      </c>
      <c r="E40" s="92" t="e">
        <f ca="1">'Tableaux aéro'!X38</f>
        <v>#NAME?</v>
      </c>
      <c r="F40" s="92" t="e">
        <f t="shared" ca="1" si="4"/>
        <v>#NAME?</v>
      </c>
      <c r="G40" s="90" t="e">
        <f ca="1">'Tableaux aéro'!J38*PI()/180*PI()*Géométrie!$B$3^2/4/$B$1</f>
        <v>#NAME?</v>
      </c>
      <c r="H40" s="92">
        <f>'Tableaux aéro'!B38*PI()*Géométrie!$B$3^2/4/$B$1</f>
        <v>0.16069491718749995</v>
      </c>
      <c r="I40" s="92" t="e">
        <f ca="1">'Tableaux aéro'!R38*Géométrie!$B$3</f>
        <v>#NAME?</v>
      </c>
      <c r="J40" s="92" t="e">
        <f ca="1">G40*(I40-Géométrie!$F$12)/$B$2</f>
        <v>#NAME?</v>
      </c>
      <c r="K40" s="90" t="e">
        <f ca="1">[1]!InterpCn(10,$A40,Géométrie!$F$13/Géométrie!$B$3)*Géométrie!$B$3^2*PI()/4/Aerodynamique!$B$1</f>
        <v>#NAME?</v>
      </c>
      <c r="L40" s="92" t="e">
        <f ca="1">'Tableaux aéro'!K108*A40*Géométrie!$F$13</f>
        <v>#NAME?</v>
      </c>
      <c r="M40" s="92" t="e">
        <f ca="1">0.445/POWER(LOG(L40),2.58)/POWER(1+0.15*A40^2,0.58)*Géométrie!$B$10/$B$1</f>
        <v>#NAME?</v>
      </c>
      <c r="N40" s="92"/>
      <c r="O40" s="93" t="e">
        <f ca="1">[1]!InterpCm(10,$A40,Géométrie!$F$13/Géométrie!$B$3)*Géométrie!$B$3^2*PI()/4/$B$1</f>
        <v>#NAME?</v>
      </c>
      <c r="P40" s="92" t="e">
        <f t="shared" ca="1" si="0"/>
        <v>#NAME?</v>
      </c>
      <c r="Q40" s="92" t="e">
        <f t="shared" ca="1" si="1"/>
        <v>#NAME?</v>
      </c>
      <c r="R40" s="92" t="e">
        <f t="shared" ca="1" si="2"/>
        <v>#NAME?</v>
      </c>
      <c r="S40" s="93" t="e">
        <f t="shared" ca="1" si="3"/>
        <v>#NAME?</v>
      </c>
      <c r="T40" s="90" t="e">
        <f t="shared" ca="1" si="5"/>
        <v>#NAME?</v>
      </c>
      <c r="U40" s="92" t="e">
        <f ca="1">[2]!interpol(A40,'[3]CA basé sur Ariane 3'!$A$6:$A$23,'[3]CA basé sur Ariane 3'!$B$6:$B$23)*PI()*(Géométrie!$B$3^2-Géométrie!$B$82^2)/$B$1</f>
        <v>#NAME?</v>
      </c>
      <c r="V40" s="92"/>
      <c r="W40" s="93" t="e">
        <f t="shared" ca="1" si="6"/>
        <v>#NAME?</v>
      </c>
      <c r="X40" s="92"/>
      <c r="Y40" s="92"/>
      <c r="Z40" s="92"/>
      <c r="AA40" s="92"/>
      <c r="AB40" s="90" t="e">
        <f ca="1">[2]!interpol(A40,[4]jupA_data!$A$2:$A$10,[4]jupA_data!$B$2:$B$10)*PI()*(Géométrie!$B$88^2-Géométrie!$B$63^2)/$B$1*COS(ATAN((Géométrie!$B$88-Géométrie!$B$63)/Géométrie!$B$76))^2/100</f>
        <v>#NAME?</v>
      </c>
      <c r="AC40" s="92" t="e">
        <f ca="1">[2]!interpol(A40,[4]jupkp_data5deg!$A$1:$A$106,[4]jupkp_data5deg!$B$1:$B$106)*PI()*(Géométrie!$B$88^2-Géométrie!$B$63^2)/$B$1</f>
        <v>#NAME?</v>
      </c>
      <c r="AD40" s="92">
        <f>0.4*Géométrie!$B$76</f>
        <v>0</v>
      </c>
      <c r="AE40" s="93" t="e">
        <f ca="1">AB40*(AD40+Géométrie!$B$83+Géométrie!$B$56+Géométrie!$B$2)/$B$2</f>
        <v>#NAME?</v>
      </c>
      <c r="AF40" s="92"/>
      <c r="AG40" s="92"/>
      <c r="AH40" s="92"/>
      <c r="AI40" s="93"/>
    </row>
    <row r="42" spans="1:35">
      <c r="A42" s="131"/>
    </row>
    <row r="43" spans="1:35">
      <c r="A43" s="131"/>
    </row>
  </sheetData>
  <mergeCells count="8">
    <mergeCell ref="K5:O5"/>
    <mergeCell ref="AF5:AI5"/>
    <mergeCell ref="B5:F5"/>
    <mergeCell ref="P5:S5"/>
    <mergeCell ref="T5:W5"/>
    <mergeCell ref="X5:AA5"/>
    <mergeCell ref="AB5:AE5"/>
    <mergeCell ref="G5:J5"/>
  </mergeCells>
  <pageMargins left="0.78740157499999996" right="0.78740157499999996" top="0.984251969" bottom="0.984251969" header="0.5" footer="0.5"/>
  <headerFooter alignWithMargins="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1" enableFormatConditionsCalculation="0"/>
  <dimension ref="A1:X128"/>
  <sheetViews>
    <sheetView zoomScale="66" zoomScaleNormal="66" zoomScalePageLayoutView="66" workbookViewId="0">
      <selection activeCell="K75" sqref="K75"/>
    </sheetView>
  </sheetViews>
  <sheetFormatPr baseColWidth="10" defaultRowHeight="13" x14ac:dyDescent="0"/>
  <cols>
    <col min="1" max="1" width="18.7109375" bestFit="1" customWidth="1"/>
    <col min="9" max="11" width="12" bestFit="1" customWidth="1"/>
  </cols>
  <sheetData>
    <row r="1" spans="1:24">
      <c r="A1" s="78" t="s">
        <v>260</v>
      </c>
    </row>
    <row r="2" spans="1:24">
      <c r="A2" s="104" t="s">
        <v>259</v>
      </c>
      <c r="B2" s="83">
        <v>0</v>
      </c>
      <c r="C2" s="85">
        <v>0</v>
      </c>
      <c r="D2" s="85">
        <v>0</v>
      </c>
      <c r="E2" s="85"/>
      <c r="F2" s="85">
        <v>0.4</v>
      </c>
      <c r="G2" s="85">
        <v>0.4</v>
      </c>
      <c r="H2" s="86">
        <v>0.4</v>
      </c>
      <c r="J2" s="83">
        <v>0</v>
      </c>
      <c r="K2" s="85">
        <v>0</v>
      </c>
      <c r="L2" s="85">
        <v>0</v>
      </c>
      <c r="M2" s="85"/>
      <c r="N2" s="85">
        <v>0.4</v>
      </c>
      <c r="O2" s="85">
        <v>0.4</v>
      </c>
      <c r="P2" s="86">
        <v>0.4</v>
      </c>
      <c r="R2" s="83">
        <v>0</v>
      </c>
      <c r="S2" s="85">
        <v>0</v>
      </c>
      <c r="T2" s="85">
        <v>0</v>
      </c>
      <c r="U2" s="85"/>
      <c r="V2" s="85">
        <v>0.4</v>
      </c>
      <c r="W2" s="85">
        <v>0.4</v>
      </c>
      <c r="X2" s="86">
        <v>0.4</v>
      </c>
    </row>
    <row r="3" spans="1:24">
      <c r="A3" s="104" t="s">
        <v>205</v>
      </c>
      <c r="B3" s="87">
        <v>10</v>
      </c>
      <c r="C3" s="41">
        <v>15</v>
      </c>
      <c r="D3" s="41">
        <f>Géométrie!B4</f>
        <v>14.9</v>
      </c>
      <c r="E3" s="41"/>
      <c r="F3" s="41">
        <v>10</v>
      </c>
      <c r="G3" s="41">
        <v>15</v>
      </c>
      <c r="H3" s="89">
        <f>Géométrie!B4</f>
        <v>14.9</v>
      </c>
      <c r="J3" s="87">
        <v>10</v>
      </c>
      <c r="K3" s="41">
        <v>15</v>
      </c>
      <c r="L3" s="41">
        <f>Géométrie!B4</f>
        <v>14.9</v>
      </c>
      <c r="M3" s="41"/>
      <c r="N3" s="41">
        <v>10</v>
      </c>
      <c r="O3" s="41">
        <v>15</v>
      </c>
      <c r="P3" s="89">
        <f>Géométrie!B4</f>
        <v>14.9</v>
      </c>
      <c r="R3" s="87">
        <v>10</v>
      </c>
      <c r="S3" s="41">
        <v>15</v>
      </c>
      <c r="T3" s="41">
        <f>Géométrie!B4</f>
        <v>14.9</v>
      </c>
      <c r="U3" s="41"/>
      <c r="V3" s="41">
        <v>10</v>
      </c>
      <c r="W3" s="41">
        <v>15</v>
      </c>
      <c r="X3" s="89">
        <f>Géométrie!B4</f>
        <v>14.9</v>
      </c>
    </row>
    <row r="4" spans="1:24">
      <c r="A4" s="114" t="s">
        <v>214</v>
      </c>
      <c r="B4" s="90" t="s">
        <v>207</v>
      </c>
      <c r="C4" s="92" t="s">
        <v>207</v>
      </c>
      <c r="D4" s="92" t="s">
        <v>207</v>
      </c>
      <c r="E4" s="92"/>
      <c r="F4" s="92" t="s">
        <v>207</v>
      </c>
      <c r="G4" s="92" t="s">
        <v>207</v>
      </c>
      <c r="H4" s="93" t="s">
        <v>207</v>
      </c>
      <c r="J4" s="90" t="s">
        <v>208</v>
      </c>
      <c r="K4" s="92" t="s">
        <v>208</v>
      </c>
      <c r="L4" s="92" t="s">
        <v>208</v>
      </c>
      <c r="M4" s="92"/>
      <c r="N4" s="92" t="s">
        <v>208</v>
      </c>
      <c r="O4" s="92" t="s">
        <v>208</v>
      </c>
      <c r="P4" s="93" t="s">
        <v>208</v>
      </c>
      <c r="R4" s="90" t="s">
        <v>243</v>
      </c>
      <c r="S4" s="92" t="s">
        <v>243</v>
      </c>
      <c r="T4" s="92" t="s">
        <v>243</v>
      </c>
      <c r="U4" s="92"/>
      <c r="V4" s="92" t="s">
        <v>243</v>
      </c>
      <c r="W4" s="92" t="s">
        <v>243</v>
      </c>
      <c r="X4" s="93" t="s">
        <v>243</v>
      </c>
    </row>
    <row r="5" spans="1:24">
      <c r="A5" s="112">
        <v>0.5</v>
      </c>
      <c r="B5" s="87">
        <v>2.6799164E-2</v>
      </c>
      <c r="C5" s="41" t="e">
        <f ca="1">[2]!interpol(A5,[5]CA_CON15_D0!$A$1:$A$21,[5]CA_CON15_D0!$B$1:$B$21)</f>
        <v>#NAME?</v>
      </c>
      <c r="D5" s="41" t="e">
        <f ca="1">[2]!interpol(D$3,B$3:C$3,B5:C5)</f>
        <v>#NAME?</v>
      </c>
      <c r="E5" s="41"/>
      <c r="F5" s="41" t="e">
        <f ca="1">[2]!interpol(A5,[5]CA_CON10_D4!$A$1:$A$20,[5]CA_CON10_D4!$B$1:$B$20)</f>
        <v>#NAME?</v>
      </c>
      <c r="G5" s="41" t="e">
        <f ca="1">[2]!interpol(A5,[5]CA_CON15_D4!$A$1:$A$20,[5]CA_CON15_D4!$B$1:$B$20)</f>
        <v>#NAME?</v>
      </c>
      <c r="H5" s="89" t="e">
        <f ca="1">[2]!interpol(H$3,F$3:G$3,F5:G5)</f>
        <v>#NAME?</v>
      </c>
      <c r="J5" s="87" t="e">
        <f ca="1">[2]!interpol(A5,[5]CN_CON10_D0!$A$1:$A$21,[5]CN_CON10_D0!$B$1:$B$21)</f>
        <v>#NAME?</v>
      </c>
      <c r="K5" s="41" t="e">
        <f ca="1">[2]!interpol(A5,[5]CN_CON15_D0!$A$1:$A$21,[5]CN_CON15_D0!$B$1:$B$21)</f>
        <v>#NAME?</v>
      </c>
      <c r="L5" s="41" t="e">
        <f ca="1">[2]!interpol(L$3,J$3:K$3,J5:K5)</f>
        <v>#NAME?</v>
      </c>
      <c r="M5" s="41"/>
      <c r="N5" s="41" t="e">
        <f ca="1">[2]!interpol(A5,[5]CN_CON10_D4!$A$1:$A$20,[5]CN_CON10_D4!$B$1:$B$20)</f>
        <v>#NAME?</v>
      </c>
      <c r="O5" s="41" t="e">
        <f ca="1">[2]!interpol(A5,[5]CN_CON15_D4!$A$1:$A$20,[5]CN_CON15_D4!$B$1:$B$20)</f>
        <v>#NAME?</v>
      </c>
      <c r="P5" s="89" t="e">
        <f ca="1">[2]!interpol(P$3,N$3:O$3,N5:O5)</f>
        <v>#NAME?</v>
      </c>
      <c r="R5" s="87" t="e">
        <f ca="1">[2]!interpol($A5,[5]XCP_CON10_D0!$A$1:$A$26,[5]XCP_CON10_D0!$B$1:$B$26)</f>
        <v>#NAME?</v>
      </c>
      <c r="S5" s="41" t="e">
        <f ca="1">[2]!interpol($A5,[5]XCP_CON15_D0!$A$1:$A$26,[5]XCP_CON15_D0!$B$1:$B$26)</f>
        <v>#NAME?</v>
      </c>
      <c r="T5" s="41" t="e">
        <f ca="1">(S5-R5)/(S$3-R$3)*(T$3-R$3)+R5</f>
        <v>#NAME?</v>
      </c>
      <c r="U5" s="41"/>
      <c r="V5" s="41" t="e">
        <f ca="1">[2]!interpol($A5,[5]XCP_CON10_D4!$A$1:$A$26,[5]XCP_CON10_D4!$B$1:$B$26)</f>
        <v>#NAME?</v>
      </c>
      <c r="W5" s="41" t="e">
        <f ca="1">[2]!interpol($A5,[5]XCP_CON15_D4!$A$1:$A$26,[5]XCP_CON15_D4!$B$1:$B$26)</f>
        <v>#NAME?</v>
      </c>
      <c r="X5" s="89" t="e">
        <f ca="1">(W5-V5)/(W$3-V$3)*(X$3-V$3)+V5</f>
        <v>#NAME?</v>
      </c>
    </row>
    <row r="6" spans="1:24">
      <c r="A6" s="112">
        <v>0.6</v>
      </c>
      <c r="B6" s="87">
        <v>3.3620049999999999E-2</v>
      </c>
      <c r="C6" s="41" t="e">
        <f ca="1">[2]!interpol(A6,[5]CA_CON15_D0!$A$1:$A$21,[5]CA_CON15_D0!$B$1:$B$21)</f>
        <v>#NAME?</v>
      </c>
      <c r="D6" s="41" t="e">
        <f ca="1">[2]!interpol(D$3,B$3:C$3,B6:C6)</f>
        <v>#NAME?</v>
      </c>
      <c r="E6" s="41"/>
      <c r="F6" s="41" t="e">
        <f ca="1">[2]!interpol(A6,[5]CA_CON10_D4!$A$1:$A$20,[5]CA_CON10_D4!$B$1:$B$20)</f>
        <v>#NAME?</v>
      </c>
      <c r="G6" s="41" t="e">
        <f ca="1">[2]!interpol(A6,[5]CA_CON15_D4!$A$1:$A$20,[5]CA_CON15_D4!$B$1:$B$20)</f>
        <v>#NAME?</v>
      </c>
      <c r="H6" s="89" t="e">
        <f ca="1">[2]!interpol(H$3,F$3:G$3,F6:G6)</f>
        <v>#NAME?</v>
      </c>
      <c r="J6" s="87" t="e">
        <f ca="1">[2]!interpol(A6,[5]CN_CON10_D0!$A$1:$A$21,[5]CN_CON10_D0!$B$1:$B$21)</f>
        <v>#NAME?</v>
      </c>
      <c r="K6" s="41" t="e">
        <f ca="1">[2]!interpol(A6,[5]CN_CON15_D0!$A$1:$A$21,[5]CN_CON15_D0!$B$1:$B$21)</f>
        <v>#NAME?</v>
      </c>
      <c r="L6" s="41" t="e">
        <f ca="1">[2]!interpol(L$3,J$3:K$3,J6:K6)</f>
        <v>#NAME?</v>
      </c>
      <c r="M6" s="41"/>
      <c r="N6" s="41" t="e">
        <f ca="1">[2]!interpol(A6,[5]CN_CON10_D4!$A$1:$A$20,[5]CN_CON10_D4!$B$1:$B$20)</f>
        <v>#NAME?</v>
      </c>
      <c r="O6" s="41" t="e">
        <f ca="1">[2]!interpol(A6,[5]CN_CON15_D4!$A$1:$A$20,[5]CN_CON15_D4!$B$1:$B$20)</f>
        <v>#NAME?</v>
      </c>
      <c r="P6" s="89" t="e">
        <f ca="1">[2]!interpol(P$3,N$3:O$3,N6:O6)</f>
        <v>#NAME?</v>
      </c>
      <c r="R6" s="87" t="e">
        <f ca="1">[2]!interpol($A6,[5]XCP_CON10_D0!$A$1:$A$26,[5]XCP_CON10_D0!$B$1:$B$26)</f>
        <v>#NAME?</v>
      </c>
      <c r="S6" s="41" t="e">
        <f ca="1">[2]!interpol($A6,[5]XCP_CON15_D0!$A$1:$A$26,[5]XCP_CON15_D0!$B$1:$B$26)</f>
        <v>#NAME?</v>
      </c>
      <c r="T6" s="41" t="e">
        <f t="shared" ref="T6:T38" ca="1" si="0">(S6-R6)/(S$3-R$3)*(T$3-R$3)+R6</f>
        <v>#NAME?</v>
      </c>
      <c r="U6" s="41"/>
      <c r="V6" s="41" t="e">
        <f ca="1">[2]!interpol($A6,[5]XCP_CON10_D4!$A$1:$A$26,[5]XCP_CON10_D4!$B$1:$B$26)</f>
        <v>#NAME?</v>
      </c>
      <c r="W6" s="41" t="e">
        <f ca="1">[2]!interpol($A6,[5]XCP_CON15_D4!$A$1:$A$26,[5]XCP_CON15_D4!$B$1:$B$26)</f>
        <v>#NAME?</v>
      </c>
      <c r="X6" s="89" t="e">
        <f t="shared" ref="X6:X38" ca="1" si="1">(W6-V6)/(W$3-V$3)*(X$3-V$3)+V6</f>
        <v>#NAME?</v>
      </c>
    </row>
    <row r="7" spans="1:24">
      <c r="A7" s="112">
        <v>0.7</v>
      </c>
      <c r="B7" s="87">
        <v>5.0791761999999997E-2</v>
      </c>
      <c r="C7" s="41" t="e">
        <f ca="1">[2]!interpol(A7,[5]CA_CON15_D0!$A$1:$A$21,[5]CA_CON15_D0!$B$1:$B$21)</f>
        <v>#NAME?</v>
      </c>
      <c r="D7" s="41" t="e">
        <f ca="1">[2]!interpol(D$3,B$3:C$3,B7:C7)</f>
        <v>#NAME?</v>
      </c>
      <c r="E7" s="41"/>
      <c r="F7" s="41" t="e">
        <f ca="1">[2]!interpol(A7,[5]CA_CON10_D4!$A$1:$A$20,[5]CA_CON10_D4!$B$1:$B$20)</f>
        <v>#NAME?</v>
      </c>
      <c r="G7" s="41" t="e">
        <f ca="1">[2]!interpol(A7,[5]CA_CON15_D4!$A$1:$A$20,[5]CA_CON15_D4!$B$1:$B$20)</f>
        <v>#NAME?</v>
      </c>
      <c r="H7" s="89" t="e">
        <f ca="1">[2]!interpol(H$3,F$3:G$3,F7:G7)</f>
        <v>#NAME?</v>
      </c>
      <c r="J7" s="87" t="e">
        <f ca="1">[2]!interpol(A7,[5]CN_CON10_D0!$A$1:$A$21,[5]CN_CON10_D0!$B$1:$B$21)</f>
        <v>#NAME?</v>
      </c>
      <c r="K7" s="41" t="e">
        <f ca="1">[2]!interpol(A7,[5]CN_CON15_D0!$A$1:$A$21,[5]CN_CON15_D0!$B$1:$B$21)</f>
        <v>#NAME?</v>
      </c>
      <c r="L7" s="41" t="e">
        <f ca="1">[2]!interpol(L$3,J$3:K$3,J7:K7)</f>
        <v>#NAME?</v>
      </c>
      <c r="M7" s="41"/>
      <c r="N7" s="41" t="e">
        <f ca="1">[2]!interpol(A7,[5]CN_CON10_D4!$A$1:$A$20,[5]CN_CON10_D4!$B$1:$B$20)</f>
        <v>#NAME?</v>
      </c>
      <c r="O7" s="41" t="e">
        <f ca="1">[2]!interpol(A7,[5]CN_CON15_D4!$A$1:$A$20,[5]CN_CON15_D4!$B$1:$B$20)</f>
        <v>#NAME?</v>
      </c>
      <c r="P7" s="89" t="e">
        <f ca="1">[2]!interpol(P$3,N$3:O$3,N7:O7)</f>
        <v>#NAME?</v>
      </c>
      <c r="R7" s="87" t="e">
        <f ca="1">[2]!interpol($A7,[5]XCP_CON10_D0!$A$1:$A$26,[5]XCP_CON10_D0!$B$1:$B$26)</f>
        <v>#NAME?</v>
      </c>
      <c r="S7" s="41" t="e">
        <f ca="1">[2]!interpol($A7,[5]XCP_CON15_D0!$A$1:$A$26,[5]XCP_CON15_D0!$B$1:$B$26)</f>
        <v>#NAME?</v>
      </c>
      <c r="T7" s="41" t="e">
        <f t="shared" ca="1" si="0"/>
        <v>#NAME?</v>
      </c>
      <c r="U7" s="41"/>
      <c r="V7" s="41" t="e">
        <f ca="1">[2]!interpol($A7,[5]XCP_CON10_D4!$A$1:$A$26,[5]XCP_CON10_D4!$B$1:$B$26)</f>
        <v>#NAME?</v>
      </c>
      <c r="W7" s="41" t="e">
        <f ca="1">[2]!interpol($A7,[5]XCP_CON15_D4!$A$1:$A$26,[5]XCP_CON15_D4!$B$1:$B$26)</f>
        <v>#NAME?</v>
      </c>
      <c r="X7" s="89" t="e">
        <f t="shared" ca="1" si="1"/>
        <v>#NAME?</v>
      </c>
    </row>
    <row r="8" spans="1:24">
      <c r="A8" s="112">
        <v>0.8</v>
      </c>
      <c r="B8" s="87">
        <v>7.5105068999999997E-2</v>
      </c>
      <c r="C8" s="41" t="e">
        <f ca="1">[2]!interpol(A8,[5]CA_CON15_D0!$A$1:$A$21,[5]CA_CON15_D0!$B$1:$B$21)</f>
        <v>#NAME?</v>
      </c>
      <c r="D8" s="41" t="e">
        <f ca="1">[2]!interpol(D$3,B$3:C$3,B8:C8)</f>
        <v>#NAME?</v>
      </c>
      <c r="E8" s="41"/>
      <c r="F8" s="41" t="e">
        <f ca="1">[2]!interpol(A8,[5]CA_CON10_D4!$A$1:$A$20,[5]CA_CON10_D4!$B$1:$B$20)</f>
        <v>#NAME?</v>
      </c>
      <c r="G8" s="41" t="e">
        <f ca="1">[2]!interpol(A8,[5]CA_CON15_D4!$A$1:$A$20,[5]CA_CON15_D4!$B$1:$B$20)</f>
        <v>#NAME?</v>
      </c>
      <c r="H8" s="89" t="e">
        <f ca="1">[2]!interpol(H$3,F$3:G$3,F8:G8)</f>
        <v>#NAME?</v>
      </c>
      <c r="J8" s="87" t="e">
        <f ca="1">[2]!interpol(A8,[5]CN_CON10_D0!$A$1:$A$21,[5]CN_CON10_D0!$B$1:$B$21)</f>
        <v>#NAME?</v>
      </c>
      <c r="K8" s="41" t="e">
        <f ca="1">[2]!interpol(A8,[5]CN_CON15_D0!$A$1:$A$21,[5]CN_CON15_D0!$B$1:$B$21)</f>
        <v>#NAME?</v>
      </c>
      <c r="L8" s="41" t="e">
        <f ca="1">[2]!interpol(L$3,J$3:K$3,J8:K8)</f>
        <v>#NAME?</v>
      </c>
      <c r="M8" s="41"/>
      <c r="N8" s="41" t="e">
        <f ca="1">[2]!interpol(A8,[5]CN_CON10_D4!$A$1:$A$20,[5]CN_CON10_D4!$B$1:$B$20)</f>
        <v>#NAME?</v>
      </c>
      <c r="O8" s="41" t="e">
        <f ca="1">[2]!interpol(A8,[5]CN_CON15_D4!$A$1:$A$20,[5]CN_CON15_D4!$B$1:$B$20)</f>
        <v>#NAME?</v>
      </c>
      <c r="P8" s="89" t="e">
        <f ca="1">[2]!interpol(P$3,N$3:O$3,N8:O8)</f>
        <v>#NAME?</v>
      </c>
      <c r="R8" s="87" t="e">
        <f ca="1">[2]!interpol($A8,[5]XCP_CON10_D0!$A$1:$A$26,[5]XCP_CON10_D0!$B$1:$B$26)</f>
        <v>#NAME?</v>
      </c>
      <c r="S8" s="41" t="e">
        <f ca="1">[2]!interpol($A8,[5]XCP_CON15_D0!$A$1:$A$26,[5]XCP_CON15_D0!$B$1:$B$26)</f>
        <v>#NAME?</v>
      </c>
      <c r="T8" s="41" t="e">
        <f t="shared" ca="1" si="0"/>
        <v>#NAME?</v>
      </c>
      <c r="U8" s="41"/>
      <c r="V8" s="41" t="e">
        <f ca="1">[2]!interpol($A8,[5]XCP_CON10_D4!$A$1:$A$26,[5]XCP_CON10_D4!$B$1:$B$26)</f>
        <v>#NAME?</v>
      </c>
      <c r="W8" s="41" t="e">
        <f ca="1">[2]!interpol($A8,[5]XCP_CON15_D4!$A$1:$A$26,[5]XCP_CON15_D4!$B$1:$B$26)</f>
        <v>#NAME?</v>
      </c>
      <c r="X8" s="89" t="e">
        <f t="shared" ca="1" si="1"/>
        <v>#NAME?</v>
      </c>
    </row>
    <row r="9" spans="1:24">
      <c r="A9" s="112">
        <v>0.9</v>
      </c>
      <c r="B9" s="87">
        <v>9.7415430999999997E-2</v>
      </c>
      <c r="C9" s="41" t="e">
        <f ca="1">[2]!interpol(A9,[5]CA_CON15_D0!$A$1:$A$21,[5]CA_CON15_D0!$B$1:$B$21)</f>
        <v>#NAME?</v>
      </c>
      <c r="D9" s="41" t="e">
        <f ca="1">[2]!interpol(D$3,B$3:C$3,B9:C9)</f>
        <v>#NAME?</v>
      </c>
      <c r="E9" s="41"/>
      <c r="F9" s="41" t="e">
        <f ca="1">[2]!interpol(A9,[5]CA_CON10_D4!$A$1:$A$20,[5]CA_CON10_D4!$B$1:$B$20)</f>
        <v>#NAME?</v>
      </c>
      <c r="G9" s="41" t="e">
        <f ca="1">[2]!interpol(A9,[5]CA_CON15_D4!$A$1:$A$20,[5]CA_CON15_D4!$B$1:$B$20)</f>
        <v>#NAME?</v>
      </c>
      <c r="H9" s="89" t="e">
        <f ca="1">[2]!interpol(H$3,F$3:G$3,F9:G9)</f>
        <v>#NAME?</v>
      </c>
      <c r="J9" s="87" t="e">
        <f ca="1">[2]!interpol(A9,[5]CN_CON10_D0!$A$1:$A$21,[5]CN_CON10_D0!$B$1:$B$21)</f>
        <v>#NAME?</v>
      </c>
      <c r="K9" s="41" t="e">
        <f ca="1">[2]!interpol(A9,[5]CN_CON15_D0!$A$1:$A$21,[5]CN_CON15_D0!$B$1:$B$21)</f>
        <v>#NAME?</v>
      </c>
      <c r="L9" s="41" t="e">
        <f ca="1">[2]!interpol(L$3,J$3:K$3,J9:K9)</f>
        <v>#NAME?</v>
      </c>
      <c r="M9" s="41"/>
      <c r="N9" s="41" t="e">
        <f ca="1">[2]!interpol(A9,[5]CN_CON10_D4!$A$1:$A$20,[5]CN_CON10_D4!$B$1:$B$20)</f>
        <v>#NAME?</v>
      </c>
      <c r="O9" s="41" t="e">
        <f ca="1">[2]!interpol(A9,[5]CN_CON15_D4!$A$1:$A$20,[5]CN_CON15_D4!$B$1:$B$20)</f>
        <v>#NAME?</v>
      </c>
      <c r="P9" s="89" t="e">
        <f ca="1">[2]!interpol(P$3,N$3:O$3,N9:O9)</f>
        <v>#NAME?</v>
      </c>
      <c r="R9" s="87" t="e">
        <f ca="1">[2]!interpol($A9,[5]XCP_CON10_D0!$A$1:$A$26,[5]XCP_CON10_D0!$B$1:$B$26)</f>
        <v>#NAME?</v>
      </c>
      <c r="S9" s="41" t="e">
        <f ca="1">[2]!interpol($A9,[5]XCP_CON15_D0!$A$1:$A$26,[5]XCP_CON15_D0!$B$1:$B$26)</f>
        <v>#NAME?</v>
      </c>
      <c r="T9" s="41" t="e">
        <f t="shared" ca="1" si="0"/>
        <v>#NAME?</v>
      </c>
      <c r="U9" s="41"/>
      <c r="V9" s="41" t="e">
        <f ca="1">[2]!interpol($A9,[5]XCP_CON10_D4!$A$1:$A$26,[5]XCP_CON10_D4!$B$1:$B$26)</f>
        <v>#NAME?</v>
      </c>
      <c r="W9" s="41" t="e">
        <f ca="1">[2]!interpol($A9,[5]XCP_CON15_D4!$A$1:$A$26,[5]XCP_CON15_D4!$B$1:$B$26)</f>
        <v>#NAME?</v>
      </c>
      <c r="X9" s="89" t="e">
        <f t="shared" ca="1" si="1"/>
        <v>#NAME?</v>
      </c>
    </row>
    <row r="10" spans="1:24">
      <c r="A10" s="112">
        <v>0.92</v>
      </c>
      <c r="B10" s="87">
        <v>0.10304187200000001</v>
      </c>
      <c r="C10" s="41" t="e">
        <f ca="1">[2]!interpol(A10,[5]CA_CON15_D0!$A$1:$A$21,[5]CA_CON15_D0!$B$1:$B$21)</f>
        <v>#NAME?</v>
      </c>
      <c r="D10" s="41" t="e">
        <f ca="1">[2]!interpol(D$3,B$3:C$3,B10:C10)</f>
        <v>#NAME?</v>
      </c>
      <c r="E10" s="41"/>
      <c r="F10" s="41" t="e">
        <f ca="1">[2]!interpol(A10,[5]CA_CON10_D4!$A$1:$A$20,[5]CA_CON10_D4!$B$1:$B$20)</f>
        <v>#NAME?</v>
      </c>
      <c r="G10" s="41" t="e">
        <f ca="1">[2]!interpol(A10,[5]CA_CON15_D4!$A$1:$A$20,[5]CA_CON15_D4!$B$1:$B$20)</f>
        <v>#NAME?</v>
      </c>
      <c r="H10" s="89" t="e">
        <f ca="1">[2]!interpol(H$3,F$3:G$3,F10:G10)</f>
        <v>#NAME?</v>
      </c>
      <c r="J10" s="87" t="e">
        <f ca="1">[2]!interpol(A10,[5]CN_CON10_D0!$A$1:$A$21,[5]CN_CON10_D0!$B$1:$B$21)</f>
        <v>#NAME?</v>
      </c>
      <c r="K10" s="41" t="e">
        <f ca="1">[2]!interpol(A10,[5]CN_CON15_D0!$A$1:$A$21,[5]CN_CON15_D0!$B$1:$B$21)</f>
        <v>#NAME?</v>
      </c>
      <c r="L10" s="41" t="e">
        <f ca="1">[2]!interpol(L$3,J$3:K$3,J10:K10)</f>
        <v>#NAME?</v>
      </c>
      <c r="M10" s="41"/>
      <c r="N10" s="41" t="e">
        <f ca="1">[2]!interpol(A10,[5]CN_CON10_D4!$A$1:$A$20,[5]CN_CON10_D4!$B$1:$B$20)</f>
        <v>#NAME?</v>
      </c>
      <c r="O10" s="41" t="e">
        <f ca="1">[2]!interpol(A10,[5]CN_CON15_D4!$A$1:$A$20,[5]CN_CON15_D4!$B$1:$B$20)</f>
        <v>#NAME?</v>
      </c>
      <c r="P10" s="89" t="e">
        <f ca="1">[2]!interpol(P$3,N$3:O$3,N10:O10)</f>
        <v>#NAME?</v>
      </c>
      <c r="R10" s="87" t="e">
        <f ca="1">[2]!interpol($A10,[5]XCP_CON10_D0!$A$1:$A$26,[5]XCP_CON10_D0!$B$1:$B$26)</f>
        <v>#NAME?</v>
      </c>
      <c r="S10" s="41" t="e">
        <f ca="1">[2]!interpol($A10,[5]XCP_CON15_D0!$A$1:$A$26,[5]XCP_CON15_D0!$B$1:$B$26)</f>
        <v>#NAME?</v>
      </c>
      <c r="T10" s="41" t="e">
        <f t="shared" ca="1" si="0"/>
        <v>#NAME?</v>
      </c>
      <c r="U10" s="41"/>
      <c r="V10" s="41" t="e">
        <f ca="1">[2]!interpol($A10,[5]XCP_CON10_D4!$A$1:$A$26,[5]XCP_CON10_D4!$B$1:$B$26)</f>
        <v>#NAME?</v>
      </c>
      <c r="W10" s="41" t="e">
        <f ca="1">[2]!interpol($A10,[5]XCP_CON15_D4!$A$1:$A$26,[5]XCP_CON15_D4!$B$1:$B$26)</f>
        <v>#NAME?</v>
      </c>
      <c r="X10" s="89" t="e">
        <f t="shared" ca="1" si="1"/>
        <v>#NAME?</v>
      </c>
    </row>
    <row r="11" spans="1:24">
      <c r="A11" s="112">
        <v>0.94</v>
      </c>
      <c r="B11" s="87">
        <v>0.11093259699999999</v>
      </c>
      <c r="C11" s="41" t="e">
        <f ca="1">[2]!interpol(A11,[5]CA_CON15_D0!$A$1:$A$21,[5]CA_CON15_D0!$B$1:$B$21)</f>
        <v>#NAME?</v>
      </c>
      <c r="D11" s="41" t="e">
        <f ca="1">[2]!interpol(D$3,B$3:C$3,B11:C11)</f>
        <v>#NAME?</v>
      </c>
      <c r="E11" s="41"/>
      <c r="F11" s="41" t="e">
        <f ca="1">[2]!interpol(A11,[5]CA_CON10_D4!$A$1:$A$20,[5]CA_CON10_D4!$B$1:$B$20)</f>
        <v>#NAME?</v>
      </c>
      <c r="G11" s="41" t="e">
        <f ca="1">[2]!interpol(A11,[5]CA_CON15_D4!$A$1:$A$20,[5]CA_CON15_D4!$B$1:$B$20)</f>
        <v>#NAME?</v>
      </c>
      <c r="H11" s="89" t="e">
        <f ca="1">[2]!interpol(H$3,F$3:G$3,F11:G11)</f>
        <v>#NAME?</v>
      </c>
      <c r="J11" s="87" t="e">
        <f ca="1">[2]!interpol(A11,[5]CN_CON10_D0!$A$1:$A$21,[5]CN_CON10_D0!$B$1:$B$21)</f>
        <v>#NAME?</v>
      </c>
      <c r="K11" s="41" t="e">
        <f ca="1">[2]!interpol(A11,[5]CN_CON15_D0!$A$1:$A$21,[5]CN_CON15_D0!$B$1:$B$21)</f>
        <v>#NAME?</v>
      </c>
      <c r="L11" s="41" t="e">
        <f ca="1">[2]!interpol(L$3,J$3:K$3,J11:K11)</f>
        <v>#NAME?</v>
      </c>
      <c r="M11" s="41"/>
      <c r="N11" s="41" t="e">
        <f ca="1">[2]!interpol(A11,[5]CN_CON10_D4!$A$1:$A$20,[5]CN_CON10_D4!$B$1:$B$20)</f>
        <v>#NAME?</v>
      </c>
      <c r="O11" s="41" t="e">
        <f ca="1">[2]!interpol(A11,[5]CN_CON15_D4!$A$1:$A$20,[5]CN_CON15_D4!$B$1:$B$20)</f>
        <v>#NAME?</v>
      </c>
      <c r="P11" s="89" t="e">
        <f ca="1">[2]!interpol(P$3,N$3:O$3,N11:O11)</f>
        <v>#NAME?</v>
      </c>
      <c r="R11" s="87" t="e">
        <f ca="1">[2]!interpol($A11,[5]XCP_CON10_D0!$A$1:$A$26,[5]XCP_CON10_D0!$B$1:$B$26)</f>
        <v>#NAME?</v>
      </c>
      <c r="S11" s="41" t="e">
        <f ca="1">[2]!interpol($A11,[5]XCP_CON15_D0!$A$1:$A$26,[5]XCP_CON15_D0!$B$1:$B$26)</f>
        <v>#NAME?</v>
      </c>
      <c r="T11" s="41" t="e">
        <f t="shared" ca="1" si="0"/>
        <v>#NAME?</v>
      </c>
      <c r="U11" s="41"/>
      <c r="V11" s="41" t="e">
        <f ca="1">[2]!interpol($A11,[5]XCP_CON10_D4!$A$1:$A$26,[5]XCP_CON10_D4!$B$1:$B$26)</f>
        <v>#NAME?</v>
      </c>
      <c r="W11" s="41" t="e">
        <f ca="1">[2]!interpol($A11,[5]XCP_CON15_D4!$A$1:$A$26,[5]XCP_CON15_D4!$B$1:$B$26)</f>
        <v>#NAME?</v>
      </c>
      <c r="X11" s="89" t="e">
        <f t="shared" ca="1" si="1"/>
        <v>#NAME?</v>
      </c>
    </row>
    <row r="12" spans="1:24">
      <c r="A12" s="112">
        <v>0.96</v>
      </c>
      <c r="B12" s="87">
        <v>0.11882332299999999</v>
      </c>
      <c r="C12" s="41" t="e">
        <f ca="1">[2]!interpol(A12,[5]CA_CON15_D0!$A$1:$A$21,[5]CA_CON15_D0!$B$1:$B$21)</f>
        <v>#NAME?</v>
      </c>
      <c r="D12" s="41" t="e">
        <f ca="1">[2]!interpol(D$3,B$3:C$3,B12:C12)</f>
        <v>#NAME?</v>
      </c>
      <c r="E12" s="41"/>
      <c r="F12" s="41" t="e">
        <f ca="1">[2]!interpol(A12,[5]CA_CON10_D4!$A$1:$A$20,[5]CA_CON10_D4!$B$1:$B$20)</f>
        <v>#NAME?</v>
      </c>
      <c r="G12" s="41" t="e">
        <f ca="1">[2]!interpol(A12,[5]CA_CON15_D4!$A$1:$A$20,[5]CA_CON15_D4!$B$1:$B$20)</f>
        <v>#NAME?</v>
      </c>
      <c r="H12" s="89" t="e">
        <f ca="1">[2]!interpol(H$3,F$3:G$3,F12:G12)</f>
        <v>#NAME?</v>
      </c>
      <c r="J12" s="87" t="e">
        <f ca="1">[2]!interpol(A12,[5]CN_CON10_D0!$A$1:$A$21,[5]CN_CON10_D0!$B$1:$B$21)</f>
        <v>#NAME?</v>
      </c>
      <c r="K12" s="41" t="e">
        <f ca="1">[2]!interpol(A12,[5]CN_CON15_D0!$A$1:$A$21,[5]CN_CON15_D0!$B$1:$B$21)</f>
        <v>#NAME?</v>
      </c>
      <c r="L12" s="41" t="e">
        <f ca="1">[2]!interpol(L$3,J$3:K$3,J12:K12)</f>
        <v>#NAME?</v>
      </c>
      <c r="M12" s="41"/>
      <c r="N12" s="41" t="e">
        <f ca="1">[2]!interpol(A12,[5]CN_CON10_D4!$A$1:$A$20,[5]CN_CON10_D4!$B$1:$B$20)</f>
        <v>#NAME?</v>
      </c>
      <c r="O12" s="41" t="e">
        <f ca="1">[2]!interpol(A12,[5]CN_CON15_D4!$A$1:$A$20,[5]CN_CON15_D4!$B$1:$B$20)</f>
        <v>#NAME?</v>
      </c>
      <c r="P12" s="89" t="e">
        <f ca="1">[2]!interpol(P$3,N$3:O$3,N12:O12)</f>
        <v>#NAME?</v>
      </c>
      <c r="R12" s="87" t="e">
        <f ca="1">[2]!interpol($A12,[5]XCP_CON10_D0!$A$1:$A$26,[5]XCP_CON10_D0!$B$1:$B$26)</f>
        <v>#NAME?</v>
      </c>
      <c r="S12" s="41" t="e">
        <f ca="1">[2]!interpol($A12,[5]XCP_CON15_D0!$A$1:$A$26,[5]XCP_CON15_D0!$B$1:$B$26)</f>
        <v>#NAME?</v>
      </c>
      <c r="T12" s="41" t="e">
        <f t="shared" ca="1" si="0"/>
        <v>#NAME?</v>
      </c>
      <c r="U12" s="41"/>
      <c r="V12" s="41" t="e">
        <f ca="1">[2]!interpol($A12,[5]XCP_CON10_D4!$A$1:$A$26,[5]XCP_CON10_D4!$B$1:$B$26)</f>
        <v>#NAME?</v>
      </c>
      <c r="W12" s="41" t="e">
        <f ca="1">[2]!interpol($A12,[5]XCP_CON15_D4!$A$1:$A$26,[5]XCP_CON15_D4!$B$1:$B$26)</f>
        <v>#NAME?</v>
      </c>
      <c r="X12" s="89" t="e">
        <f t="shared" ca="1" si="1"/>
        <v>#NAME?</v>
      </c>
    </row>
    <row r="13" spans="1:24">
      <c r="A13" s="112">
        <v>0.98</v>
      </c>
      <c r="B13" s="87">
        <v>0.126929818</v>
      </c>
      <c r="C13" s="41" t="e">
        <f ca="1">[2]!interpol(A13,[5]CA_CON15_D0!$A$1:$A$21,[5]CA_CON15_D0!$B$1:$B$21)</f>
        <v>#NAME?</v>
      </c>
      <c r="D13" s="41" t="e">
        <f ca="1">[2]!interpol(D$3,B$3:C$3,B13:C13)</f>
        <v>#NAME?</v>
      </c>
      <c r="E13" s="41"/>
      <c r="F13" s="41" t="e">
        <f ca="1">[2]!interpol(A13,[5]CA_CON10_D4!$A$1:$A$20,[5]CA_CON10_D4!$B$1:$B$20)</f>
        <v>#NAME?</v>
      </c>
      <c r="G13" s="41" t="e">
        <f ca="1">[2]!interpol(A13,[5]CA_CON15_D4!$A$1:$A$20,[5]CA_CON15_D4!$B$1:$B$20)</f>
        <v>#NAME?</v>
      </c>
      <c r="H13" s="89" t="e">
        <f ca="1">[2]!interpol(H$3,F$3:G$3,F13:G13)</f>
        <v>#NAME?</v>
      </c>
      <c r="J13" s="87" t="e">
        <f ca="1">[2]!interpol(A13,[5]CN_CON10_D0!$A$1:$A$21,[5]CN_CON10_D0!$B$1:$B$21)</f>
        <v>#NAME?</v>
      </c>
      <c r="K13" s="41" t="e">
        <f ca="1">[2]!interpol(A13,[5]CN_CON15_D0!$A$1:$A$21,[5]CN_CON15_D0!$B$1:$B$21)</f>
        <v>#NAME?</v>
      </c>
      <c r="L13" s="41" t="e">
        <f ca="1">[2]!interpol(L$3,J$3:K$3,J13:K13)</f>
        <v>#NAME?</v>
      </c>
      <c r="M13" s="41"/>
      <c r="N13" s="41" t="e">
        <f ca="1">[2]!interpol(A13,[5]CN_CON10_D4!$A$1:$A$20,[5]CN_CON10_D4!$B$1:$B$20)</f>
        <v>#NAME?</v>
      </c>
      <c r="O13" s="41" t="e">
        <f ca="1">[2]!interpol(A13,[5]CN_CON15_D4!$A$1:$A$20,[5]CN_CON15_D4!$B$1:$B$20)</f>
        <v>#NAME?</v>
      </c>
      <c r="P13" s="89" t="e">
        <f ca="1">[2]!interpol(P$3,N$3:O$3,N13:O13)</f>
        <v>#NAME?</v>
      </c>
      <c r="R13" s="87" t="e">
        <f ca="1">[2]!interpol($A13,[5]XCP_CON10_D0!$A$1:$A$26,[5]XCP_CON10_D0!$B$1:$B$26)</f>
        <v>#NAME?</v>
      </c>
      <c r="S13" s="41" t="e">
        <f ca="1">[2]!interpol($A13,[5]XCP_CON15_D0!$A$1:$A$26,[5]XCP_CON15_D0!$B$1:$B$26)</f>
        <v>#NAME?</v>
      </c>
      <c r="T13" s="41" t="e">
        <f t="shared" ca="1" si="0"/>
        <v>#NAME?</v>
      </c>
      <c r="U13" s="41"/>
      <c r="V13" s="41" t="e">
        <f ca="1">[2]!interpol($A13,[5]XCP_CON10_D4!$A$1:$A$26,[5]XCP_CON10_D4!$B$1:$B$26)</f>
        <v>#NAME?</v>
      </c>
      <c r="W13" s="41" t="e">
        <f ca="1">[2]!interpol($A13,[5]XCP_CON15_D4!$A$1:$A$26,[5]XCP_CON15_D4!$B$1:$B$26)</f>
        <v>#NAME?</v>
      </c>
      <c r="X13" s="89" t="e">
        <f t="shared" ca="1" si="1"/>
        <v>#NAME?</v>
      </c>
    </row>
    <row r="14" spans="1:24">
      <c r="A14" s="112">
        <v>1</v>
      </c>
      <c r="B14" s="87">
        <v>0.13511065899999999</v>
      </c>
      <c r="C14" s="41" t="e">
        <f ca="1">[2]!interpol(A14,[5]CA_CON15_D0!$A$1:$A$21,[5]CA_CON15_D0!$B$1:$B$21)</f>
        <v>#NAME?</v>
      </c>
      <c r="D14" s="41" t="e">
        <f ca="1">[2]!interpol(D$3,B$3:C$3,B14:C14)</f>
        <v>#NAME?</v>
      </c>
      <c r="E14" s="41"/>
      <c r="F14" s="41" t="e">
        <f ca="1">[2]!interpol(A14,[5]CA_CON10_D4!$A$1:$A$20,[5]CA_CON10_D4!$B$1:$B$20)</f>
        <v>#NAME?</v>
      </c>
      <c r="G14" s="41" t="e">
        <f ca="1">[2]!interpol(A14,[5]CA_CON15_D4!$A$1:$A$20,[5]CA_CON15_D4!$B$1:$B$20)</f>
        <v>#NAME?</v>
      </c>
      <c r="H14" s="89" t="e">
        <f ca="1">[2]!interpol(H$3,F$3:G$3,F14:G14)</f>
        <v>#NAME?</v>
      </c>
      <c r="J14" s="87" t="e">
        <f ca="1">[2]!interpol(A14,[5]CN_CON10_D0!$A$1:$A$21,[5]CN_CON10_D0!$B$1:$B$21)</f>
        <v>#NAME?</v>
      </c>
      <c r="K14" s="41" t="e">
        <f ca="1">[2]!interpol(A14,[5]CN_CON15_D0!$A$1:$A$21,[5]CN_CON15_D0!$B$1:$B$21)</f>
        <v>#NAME?</v>
      </c>
      <c r="L14" s="41" t="e">
        <f ca="1">[2]!interpol(L$3,J$3:K$3,J14:K14)</f>
        <v>#NAME?</v>
      </c>
      <c r="M14" s="41"/>
      <c r="N14" s="41" t="e">
        <f ca="1">[2]!interpol(A14,[5]CN_CON10_D4!$A$1:$A$20,[5]CN_CON10_D4!$B$1:$B$20)</f>
        <v>#NAME?</v>
      </c>
      <c r="O14" s="41" t="e">
        <f ca="1">[2]!interpol(A14,[5]CN_CON15_D4!$A$1:$A$20,[5]CN_CON15_D4!$B$1:$B$20)</f>
        <v>#NAME?</v>
      </c>
      <c r="P14" s="89" t="e">
        <f ca="1">[2]!interpol(P$3,N$3:O$3,N14:O14)</f>
        <v>#NAME?</v>
      </c>
      <c r="R14" s="87" t="e">
        <f ca="1">[2]!interpol($A14,[5]XCP_CON10_D0!$A$1:$A$26,[5]XCP_CON10_D0!$B$1:$B$26)</f>
        <v>#NAME?</v>
      </c>
      <c r="S14" s="41" t="e">
        <f ca="1">[2]!interpol($A14,[5]XCP_CON15_D0!$A$1:$A$26,[5]XCP_CON15_D0!$B$1:$B$26)</f>
        <v>#NAME?</v>
      </c>
      <c r="T14" s="41" t="e">
        <f t="shared" ca="1" si="0"/>
        <v>#NAME?</v>
      </c>
      <c r="U14" s="41"/>
      <c r="V14" s="41" t="e">
        <f ca="1">[2]!interpol($A14,[5]XCP_CON10_D4!$A$1:$A$26,[5]XCP_CON10_D4!$B$1:$B$26)</f>
        <v>#NAME?</v>
      </c>
      <c r="W14" s="41" t="e">
        <f ca="1">[2]!interpol($A14,[5]XCP_CON15_D4!$A$1:$A$26,[5]XCP_CON15_D4!$B$1:$B$26)</f>
        <v>#NAME?</v>
      </c>
      <c r="X14" s="89" t="e">
        <f t="shared" ca="1" si="1"/>
        <v>#NAME?</v>
      </c>
    </row>
    <row r="15" spans="1:24">
      <c r="A15" s="112">
        <v>1.02</v>
      </c>
      <c r="B15" s="87">
        <v>0.14329149999999999</v>
      </c>
      <c r="C15" s="41" t="e">
        <f ca="1">[2]!interpol(A15,[5]CA_CON15_D0!$A$1:$A$21,[5]CA_CON15_D0!$B$1:$B$21)</f>
        <v>#NAME?</v>
      </c>
      <c r="D15" s="41" t="e">
        <f ca="1">[2]!interpol(D$3,B$3:C$3,B15:C15)</f>
        <v>#NAME?</v>
      </c>
      <c r="E15" s="41"/>
      <c r="F15" s="41" t="e">
        <f ca="1">[2]!interpol(A15,[5]CA_CON10_D4!$A$1:$A$20,[5]CA_CON10_D4!$B$1:$B$20)</f>
        <v>#NAME?</v>
      </c>
      <c r="G15" s="41" t="e">
        <f ca="1">[2]!interpol(A15,[5]CA_CON15_D4!$A$1:$A$20,[5]CA_CON15_D4!$B$1:$B$20)</f>
        <v>#NAME?</v>
      </c>
      <c r="H15" s="89" t="e">
        <f ca="1">[2]!interpol(H$3,F$3:G$3,F15:G15)</f>
        <v>#NAME?</v>
      </c>
      <c r="J15" s="87" t="e">
        <f ca="1">[2]!interpol(A15,[5]CN_CON10_D0!$A$1:$A$21,[5]CN_CON10_D0!$B$1:$B$21)</f>
        <v>#NAME?</v>
      </c>
      <c r="K15" s="41" t="e">
        <f ca="1">[2]!interpol(A15,[5]CN_CON15_D0!$A$1:$A$21,[5]CN_CON15_D0!$B$1:$B$21)</f>
        <v>#NAME?</v>
      </c>
      <c r="L15" s="41" t="e">
        <f ca="1">[2]!interpol(L$3,J$3:K$3,J15:K15)</f>
        <v>#NAME?</v>
      </c>
      <c r="M15" s="41"/>
      <c r="N15" s="41" t="e">
        <f ca="1">[2]!interpol(A15,[5]CN_CON10_D4!$A$1:$A$20,[5]CN_CON10_D4!$B$1:$B$20)</f>
        <v>#NAME?</v>
      </c>
      <c r="O15" s="41" t="e">
        <f ca="1">[2]!interpol(A15,[5]CN_CON15_D4!$A$1:$A$20,[5]CN_CON15_D4!$B$1:$B$20)</f>
        <v>#NAME?</v>
      </c>
      <c r="P15" s="89" t="e">
        <f ca="1">[2]!interpol(P$3,N$3:O$3,N15:O15)</f>
        <v>#NAME?</v>
      </c>
      <c r="R15" s="87" t="e">
        <f ca="1">[2]!interpol($A15,[5]XCP_CON10_D0!$A$1:$A$26,[5]XCP_CON10_D0!$B$1:$B$26)</f>
        <v>#NAME?</v>
      </c>
      <c r="S15" s="41" t="e">
        <f ca="1">[2]!interpol($A15,[5]XCP_CON15_D0!$A$1:$A$26,[5]XCP_CON15_D0!$B$1:$B$26)</f>
        <v>#NAME?</v>
      </c>
      <c r="T15" s="41" t="e">
        <f t="shared" ca="1" si="0"/>
        <v>#NAME?</v>
      </c>
      <c r="U15" s="41"/>
      <c r="V15" s="41" t="e">
        <f ca="1">[2]!interpol($A15,[5]XCP_CON10_D4!$A$1:$A$26,[5]XCP_CON10_D4!$B$1:$B$26)</f>
        <v>#NAME?</v>
      </c>
      <c r="W15" s="41" t="e">
        <f ca="1">[2]!interpol($A15,[5]XCP_CON15_D4!$A$1:$A$26,[5]XCP_CON15_D4!$B$1:$B$26)</f>
        <v>#NAME?</v>
      </c>
      <c r="X15" s="89" t="e">
        <f t="shared" ca="1" si="1"/>
        <v>#NAME?</v>
      </c>
    </row>
    <row r="16" spans="1:24">
      <c r="A16" s="112">
        <v>1.04</v>
      </c>
      <c r="B16" s="87">
        <v>0.15147234000000001</v>
      </c>
      <c r="C16" s="41" t="e">
        <f ca="1">[2]!interpol(A16,[5]CA_CON15_D0!$A$1:$A$21,[5]CA_CON15_D0!$B$1:$B$21)</f>
        <v>#NAME?</v>
      </c>
      <c r="D16" s="41" t="e">
        <f ca="1">[2]!interpol(D$3,B$3:C$3,B16:C16)</f>
        <v>#NAME?</v>
      </c>
      <c r="E16" s="41"/>
      <c r="F16" s="41" t="e">
        <f ca="1">[2]!interpol(A16,[5]CA_CON10_D4!$A$1:$A$20,[5]CA_CON10_D4!$B$1:$B$20)</f>
        <v>#NAME?</v>
      </c>
      <c r="G16" s="41" t="e">
        <f ca="1">[2]!interpol(A16,[5]CA_CON15_D4!$A$1:$A$20,[5]CA_CON15_D4!$B$1:$B$20)</f>
        <v>#NAME?</v>
      </c>
      <c r="H16" s="89" t="e">
        <f ca="1">[2]!interpol(H$3,F$3:G$3,F16:G16)</f>
        <v>#NAME?</v>
      </c>
      <c r="J16" s="87" t="e">
        <f ca="1">[2]!interpol(A16,[5]CN_CON10_D0!$A$1:$A$21,[5]CN_CON10_D0!$B$1:$B$21)</f>
        <v>#NAME?</v>
      </c>
      <c r="K16" s="41" t="e">
        <f ca="1">[2]!interpol(A16,[5]CN_CON15_D0!$A$1:$A$21,[5]CN_CON15_D0!$B$1:$B$21)</f>
        <v>#NAME?</v>
      </c>
      <c r="L16" s="41" t="e">
        <f ca="1">[2]!interpol(L$3,J$3:K$3,J16:K16)</f>
        <v>#NAME?</v>
      </c>
      <c r="M16" s="41"/>
      <c r="N16" s="41" t="e">
        <f ca="1">[2]!interpol(A16,[5]CN_CON10_D4!$A$1:$A$20,[5]CN_CON10_D4!$B$1:$B$20)</f>
        <v>#NAME?</v>
      </c>
      <c r="O16" s="41" t="e">
        <f ca="1">[2]!interpol(A16,[5]CN_CON15_D4!$A$1:$A$20,[5]CN_CON15_D4!$B$1:$B$20)</f>
        <v>#NAME?</v>
      </c>
      <c r="P16" s="89" t="e">
        <f ca="1">[2]!interpol(P$3,N$3:O$3,N16:O16)</f>
        <v>#NAME?</v>
      </c>
      <c r="R16" s="87" t="e">
        <f ca="1">[2]!interpol($A16,[5]XCP_CON10_D0!$A$1:$A$26,[5]XCP_CON10_D0!$B$1:$B$26)</f>
        <v>#NAME?</v>
      </c>
      <c r="S16" s="41" t="e">
        <f ca="1">[2]!interpol($A16,[5]XCP_CON15_D0!$A$1:$A$26,[5]XCP_CON15_D0!$B$1:$B$26)</f>
        <v>#NAME?</v>
      </c>
      <c r="T16" s="41" t="e">
        <f t="shared" ca="1" si="0"/>
        <v>#NAME?</v>
      </c>
      <c r="U16" s="41"/>
      <c r="V16" s="41" t="e">
        <f ca="1">[2]!interpol($A16,[5]XCP_CON10_D4!$A$1:$A$26,[5]XCP_CON10_D4!$B$1:$B$26)</f>
        <v>#NAME?</v>
      </c>
      <c r="W16" s="41" t="e">
        <f ca="1">[2]!interpol($A16,[5]XCP_CON15_D4!$A$1:$A$26,[5]XCP_CON15_D4!$B$1:$B$26)</f>
        <v>#NAME?</v>
      </c>
      <c r="X16" s="89" t="e">
        <f t="shared" ca="1" si="1"/>
        <v>#NAME?</v>
      </c>
    </row>
    <row r="17" spans="1:24">
      <c r="A17" s="112">
        <v>1.06</v>
      </c>
      <c r="B17" s="87">
        <v>0.15965318100000001</v>
      </c>
      <c r="C17" s="41" t="e">
        <f ca="1">[2]!interpol(A17,[5]CA_CON15_D0!$A$1:$A$21,[5]CA_CON15_D0!$B$1:$B$21)</f>
        <v>#NAME?</v>
      </c>
      <c r="D17" s="41" t="e">
        <f ca="1">[2]!interpol(D$3,B$3:C$3,B17:C17)</f>
        <v>#NAME?</v>
      </c>
      <c r="E17" s="41"/>
      <c r="F17" s="41" t="e">
        <f ca="1">[2]!interpol(A17,[5]CA_CON10_D4!$A$1:$A$20,[5]CA_CON10_D4!$B$1:$B$20)</f>
        <v>#NAME?</v>
      </c>
      <c r="G17" s="41" t="e">
        <f ca="1">[2]!interpol(A17,[5]CA_CON15_D4!$A$1:$A$20,[5]CA_CON15_D4!$B$1:$B$20)</f>
        <v>#NAME?</v>
      </c>
      <c r="H17" s="89" t="e">
        <f ca="1">[2]!interpol(H$3,F$3:G$3,F17:G17)</f>
        <v>#NAME?</v>
      </c>
      <c r="J17" s="87" t="e">
        <f ca="1">[2]!interpol(A17,[5]CN_CON10_D0!$A$1:$A$21,[5]CN_CON10_D0!$B$1:$B$21)</f>
        <v>#NAME?</v>
      </c>
      <c r="K17" s="41" t="e">
        <f ca="1">[2]!interpol(A17,[5]CN_CON15_D0!$A$1:$A$21,[5]CN_CON15_D0!$B$1:$B$21)</f>
        <v>#NAME?</v>
      </c>
      <c r="L17" s="41" t="e">
        <f ca="1">[2]!interpol(L$3,J$3:K$3,J17:K17)</f>
        <v>#NAME?</v>
      </c>
      <c r="M17" s="41"/>
      <c r="N17" s="41" t="e">
        <f ca="1">[2]!interpol(A17,[5]CN_CON10_D4!$A$1:$A$20,[5]CN_CON10_D4!$B$1:$B$20)</f>
        <v>#NAME?</v>
      </c>
      <c r="O17" s="41" t="e">
        <f ca="1">[2]!interpol(A17,[5]CN_CON15_D4!$A$1:$A$20,[5]CN_CON15_D4!$B$1:$B$20)</f>
        <v>#NAME?</v>
      </c>
      <c r="P17" s="89" t="e">
        <f ca="1">[2]!interpol(P$3,N$3:O$3,N17:O17)</f>
        <v>#NAME?</v>
      </c>
      <c r="R17" s="87" t="e">
        <f ca="1">[2]!interpol($A17,[5]XCP_CON10_D0!$A$1:$A$26,[5]XCP_CON10_D0!$B$1:$B$26)</f>
        <v>#NAME?</v>
      </c>
      <c r="S17" s="41" t="e">
        <f ca="1">[2]!interpol($A17,[5]XCP_CON15_D0!$A$1:$A$26,[5]XCP_CON15_D0!$B$1:$B$26)</f>
        <v>#NAME?</v>
      </c>
      <c r="T17" s="41" t="e">
        <f t="shared" ca="1" si="0"/>
        <v>#NAME?</v>
      </c>
      <c r="U17" s="41"/>
      <c r="V17" s="41" t="e">
        <f ca="1">[2]!interpol($A17,[5]XCP_CON10_D4!$A$1:$A$26,[5]XCP_CON10_D4!$B$1:$B$26)</f>
        <v>#NAME?</v>
      </c>
      <c r="W17" s="41" t="e">
        <f ca="1">[2]!interpol($A17,[5]XCP_CON15_D4!$A$1:$A$26,[5]XCP_CON15_D4!$B$1:$B$26)</f>
        <v>#NAME?</v>
      </c>
      <c r="X17" s="89" t="e">
        <f t="shared" ca="1" si="1"/>
        <v>#NAME?</v>
      </c>
    </row>
    <row r="18" spans="1:24">
      <c r="A18" s="112">
        <v>1.08</v>
      </c>
      <c r="B18" s="87">
        <v>0.166518678</v>
      </c>
      <c r="C18" s="41" t="e">
        <f ca="1">[2]!interpol(A18,[5]CA_CON15_D0!$A$1:$A$21,[5]CA_CON15_D0!$B$1:$B$21)</f>
        <v>#NAME?</v>
      </c>
      <c r="D18" s="41" t="e">
        <f ca="1">[2]!interpol(D$3,B$3:C$3,B18:C18)</f>
        <v>#NAME?</v>
      </c>
      <c r="E18" s="41"/>
      <c r="F18" s="41" t="e">
        <f ca="1">[2]!interpol(A18,[5]CA_CON10_D4!$A$1:$A$20,[5]CA_CON10_D4!$B$1:$B$20)</f>
        <v>#NAME?</v>
      </c>
      <c r="G18" s="41" t="e">
        <f ca="1">[2]!interpol(A18,[5]CA_CON15_D4!$A$1:$A$20,[5]CA_CON15_D4!$B$1:$B$20)</f>
        <v>#NAME?</v>
      </c>
      <c r="H18" s="89" t="e">
        <f ca="1">[2]!interpol(H$3,F$3:G$3,F18:G18)</f>
        <v>#NAME?</v>
      </c>
      <c r="J18" s="87" t="e">
        <f ca="1">[2]!interpol(A18,[5]CN_CON10_D0!$A$1:$A$21,[5]CN_CON10_D0!$B$1:$B$21)</f>
        <v>#NAME?</v>
      </c>
      <c r="K18" s="41" t="e">
        <f ca="1">[2]!interpol(A18,[5]CN_CON15_D0!$A$1:$A$21,[5]CN_CON15_D0!$B$1:$B$21)</f>
        <v>#NAME?</v>
      </c>
      <c r="L18" s="41" t="e">
        <f ca="1">[2]!interpol(L$3,J$3:K$3,J18:K18)</f>
        <v>#NAME?</v>
      </c>
      <c r="M18" s="41"/>
      <c r="N18" s="41" t="e">
        <f ca="1">[2]!interpol(A18,[5]CN_CON10_D4!$A$1:$A$20,[5]CN_CON10_D4!$B$1:$B$20)</f>
        <v>#NAME?</v>
      </c>
      <c r="O18" s="41" t="e">
        <f ca="1">[2]!interpol(A18,[5]CN_CON15_D4!$A$1:$A$20,[5]CN_CON15_D4!$B$1:$B$20)</f>
        <v>#NAME?</v>
      </c>
      <c r="P18" s="89" t="e">
        <f ca="1">[2]!interpol(P$3,N$3:O$3,N18:O18)</f>
        <v>#NAME?</v>
      </c>
      <c r="R18" s="87" t="e">
        <f ca="1">[2]!interpol($A18,[5]XCP_CON10_D0!$A$1:$A$26,[5]XCP_CON10_D0!$B$1:$B$26)</f>
        <v>#NAME?</v>
      </c>
      <c r="S18" s="41" t="e">
        <f ca="1">[2]!interpol($A18,[5]XCP_CON15_D0!$A$1:$A$26,[5]XCP_CON15_D0!$B$1:$B$26)</f>
        <v>#NAME?</v>
      </c>
      <c r="T18" s="41" t="e">
        <f t="shared" ca="1" si="0"/>
        <v>#NAME?</v>
      </c>
      <c r="U18" s="41"/>
      <c r="V18" s="41" t="e">
        <f ca="1">[2]!interpol($A18,[5]XCP_CON10_D4!$A$1:$A$26,[5]XCP_CON10_D4!$B$1:$B$26)</f>
        <v>#NAME?</v>
      </c>
      <c r="W18" s="41" t="e">
        <f ca="1">[2]!interpol($A18,[5]XCP_CON15_D4!$A$1:$A$26,[5]XCP_CON15_D4!$B$1:$B$26)</f>
        <v>#NAME?</v>
      </c>
      <c r="X18" s="89" t="e">
        <f t="shared" ca="1" si="1"/>
        <v>#NAME?</v>
      </c>
    </row>
    <row r="19" spans="1:24">
      <c r="A19" s="112">
        <v>1.1000000000000001</v>
      </c>
      <c r="B19" s="87">
        <v>0.17029207299999999</v>
      </c>
      <c r="C19" s="41" t="e">
        <f ca="1">[2]!interpol(A19,[5]CA_CON15_D0!$A$1:$A$21,[5]CA_CON15_D0!$B$1:$B$21)</f>
        <v>#NAME?</v>
      </c>
      <c r="D19" s="41" t="e">
        <f ca="1">[2]!interpol(D$3,B$3:C$3,B19:C19)</f>
        <v>#NAME?</v>
      </c>
      <c r="E19" s="41"/>
      <c r="F19" s="41" t="e">
        <f ca="1">[2]!interpol(A19,[5]CA_CON10_D4!$A$1:$A$20,[5]CA_CON10_D4!$B$1:$B$20)</f>
        <v>#NAME?</v>
      </c>
      <c r="G19" s="41" t="e">
        <f ca="1">[2]!interpol(A19,[5]CA_CON15_D4!$A$1:$A$20,[5]CA_CON15_D4!$B$1:$B$20)</f>
        <v>#NAME?</v>
      </c>
      <c r="H19" s="89" t="e">
        <f ca="1">[2]!interpol(H$3,F$3:G$3,F19:G19)</f>
        <v>#NAME?</v>
      </c>
      <c r="J19" s="87" t="e">
        <f ca="1">[2]!interpol(A19,[5]CN_CON10_D0!$A$1:$A$21,[5]CN_CON10_D0!$B$1:$B$21)</f>
        <v>#NAME?</v>
      </c>
      <c r="K19" s="41" t="e">
        <f ca="1">[2]!interpol(A19,[5]CN_CON15_D0!$A$1:$A$21,[5]CN_CON15_D0!$B$1:$B$21)</f>
        <v>#NAME?</v>
      </c>
      <c r="L19" s="41" t="e">
        <f ca="1">[2]!interpol(L$3,J$3:K$3,J19:K19)</f>
        <v>#NAME?</v>
      </c>
      <c r="M19" s="41"/>
      <c r="N19" s="41" t="e">
        <f ca="1">[2]!interpol(A19,[5]CN_CON10_D4!$A$1:$A$20,[5]CN_CON10_D4!$B$1:$B$20)</f>
        <v>#NAME?</v>
      </c>
      <c r="O19" s="41" t="e">
        <f ca="1">[2]!interpol(A19,[5]CN_CON15_D4!$A$1:$A$20,[5]CN_CON15_D4!$B$1:$B$20)</f>
        <v>#NAME?</v>
      </c>
      <c r="P19" s="89" t="e">
        <f ca="1">[2]!interpol(P$3,N$3:O$3,N19:O19)</f>
        <v>#NAME?</v>
      </c>
      <c r="R19" s="87" t="e">
        <f ca="1">[2]!interpol($A19,[5]XCP_CON10_D0!$A$1:$A$26,[5]XCP_CON10_D0!$B$1:$B$26)</f>
        <v>#NAME?</v>
      </c>
      <c r="S19" s="41" t="e">
        <f ca="1">[2]!interpol($A19,[5]XCP_CON15_D0!$A$1:$A$26,[5]XCP_CON15_D0!$B$1:$B$26)</f>
        <v>#NAME?</v>
      </c>
      <c r="T19" s="41" t="e">
        <f t="shared" ca="1" si="0"/>
        <v>#NAME?</v>
      </c>
      <c r="U19" s="41"/>
      <c r="V19" s="41" t="e">
        <f ca="1">[2]!interpol($A19,[5]XCP_CON10_D4!$A$1:$A$26,[5]XCP_CON10_D4!$B$1:$B$26)</f>
        <v>#NAME?</v>
      </c>
      <c r="W19" s="41" t="e">
        <f ca="1">[2]!interpol($A19,[5]XCP_CON15_D4!$A$1:$A$26,[5]XCP_CON15_D4!$B$1:$B$26)</f>
        <v>#NAME?</v>
      </c>
      <c r="X19" s="89" t="e">
        <f t="shared" ca="1" si="1"/>
        <v>#NAME?</v>
      </c>
    </row>
    <row r="20" spans="1:24">
      <c r="A20" s="112">
        <v>1.3</v>
      </c>
      <c r="B20" s="87">
        <v>0.158302003</v>
      </c>
      <c r="C20" s="41" t="e">
        <f ca="1">[2]!interpol(A20,[5]CA_CON15_D0!$A$1:$A$21,[5]CA_CON15_D0!$B$1:$B$21)</f>
        <v>#NAME?</v>
      </c>
      <c r="D20" s="41" t="e">
        <f ca="1">[2]!interpol(D$3,B$3:C$3,B20:C20)</f>
        <v>#NAME?</v>
      </c>
      <c r="E20" s="41"/>
      <c r="F20" s="41" t="e">
        <f ca="1">[2]!interpol(A20,[5]CA_CON10_D4!$A$1:$A$20,[5]CA_CON10_D4!$B$1:$B$20)</f>
        <v>#NAME?</v>
      </c>
      <c r="G20" s="41" t="e">
        <f ca="1">[2]!interpol(A20,[5]CA_CON15_D4!$A$1:$A$20,[5]CA_CON15_D4!$B$1:$B$20)</f>
        <v>#NAME?</v>
      </c>
      <c r="H20" s="89" t="e">
        <f ca="1">[2]!interpol(H$3,F$3:G$3,F20:G20)</f>
        <v>#NAME?</v>
      </c>
      <c r="J20" s="87" t="e">
        <f ca="1">[2]!interpol(A20,[5]CN_CON10_D0!$A$1:$A$21,[5]CN_CON10_D0!$B$1:$B$21)</f>
        <v>#NAME?</v>
      </c>
      <c r="K20" s="41" t="e">
        <f ca="1">[2]!interpol(A20,[5]CN_CON15_D0!$A$1:$A$21,[5]CN_CON15_D0!$B$1:$B$21)</f>
        <v>#NAME?</v>
      </c>
      <c r="L20" s="41" t="e">
        <f ca="1">[2]!interpol(L$3,J$3:K$3,J20:K20)</f>
        <v>#NAME?</v>
      </c>
      <c r="M20" s="41"/>
      <c r="N20" s="41" t="e">
        <f ca="1">[2]!interpol(A20,[5]CN_CON10_D4!$A$1:$A$20,[5]CN_CON10_D4!$B$1:$B$20)</f>
        <v>#NAME?</v>
      </c>
      <c r="O20" s="41" t="e">
        <f ca="1">[2]!interpol(A20,[5]CN_CON15_D4!$A$1:$A$20,[5]CN_CON15_D4!$B$1:$B$20)</f>
        <v>#NAME?</v>
      </c>
      <c r="P20" s="89" t="e">
        <f ca="1">[2]!interpol(P$3,N$3:O$3,N20:O20)</f>
        <v>#NAME?</v>
      </c>
      <c r="R20" s="87" t="e">
        <f ca="1">[2]!interpol($A20,[5]XCP_CON10_D0!$A$1:$A$26,[5]XCP_CON10_D0!$B$1:$B$26)</f>
        <v>#NAME?</v>
      </c>
      <c r="S20" s="41" t="e">
        <f ca="1">[2]!interpol($A20,[5]XCP_CON15_D0!$A$1:$A$26,[5]XCP_CON15_D0!$B$1:$B$26)</f>
        <v>#NAME?</v>
      </c>
      <c r="T20" s="41" t="e">
        <f t="shared" ca="1" si="0"/>
        <v>#NAME?</v>
      </c>
      <c r="U20" s="41"/>
      <c r="V20" s="41" t="e">
        <f ca="1">[2]!interpol($A20,[5]XCP_CON10_D4!$A$1:$A$26,[5]XCP_CON10_D4!$B$1:$B$26)</f>
        <v>#NAME?</v>
      </c>
      <c r="W20" s="41" t="e">
        <f ca="1">[2]!interpol($A20,[5]XCP_CON15_D4!$A$1:$A$26,[5]XCP_CON15_D4!$B$1:$B$26)</f>
        <v>#NAME?</v>
      </c>
      <c r="X20" s="89" t="e">
        <f t="shared" ca="1" si="1"/>
        <v>#NAME?</v>
      </c>
    </row>
    <row r="21" spans="1:24">
      <c r="A21" s="112">
        <v>1.5</v>
      </c>
      <c r="B21" s="87">
        <v>0.14717382400000001</v>
      </c>
      <c r="C21" s="41" t="e">
        <f ca="1">[2]!interpol(A21,[5]CA_CON15_D0!$A$1:$A$21,[5]CA_CON15_D0!$B$1:$B$21)</f>
        <v>#NAME?</v>
      </c>
      <c r="D21" s="41" t="e">
        <f ca="1">[2]!interpol(D$3,B$3:C$3,B21:C21)</f>
        <v>#NAME?</v>
      </c>
      <c r="E21" s="41"/>
      <c r="F21" s="41" t="e">
        <f ca="1">[2]!interpol(A21,[5]CA_CON10_D4!$A$1:$A$20,[5]CA_CON10_D4!$B$1:$B$20)</f>
        <v>#NAME?</v>
      </c>
      <c r="G21" s="41" t="e">
        <f ca="1">[2]!interpol(A21,[5]CA_CON15_D4!$A$1:$A$20,[5]CA_CON15_D4!$B$1:$B$20)</f>
        <v>#NAME?</v>
      </c>
      <c r="H21" s="89" t="e">
        <f ca="1">[2]!interpol(H$3,F$3:G$3,F21:G21)</f>
        <v>#NAME?</v>
      </c>
      <c r="J21" s="87" t="e">
        <f ca="1">[2]!interpol(A21,[5]CN_CON10_D0!$A$1:$A$21,[5]CN_CON10_D0!$B$1:$B$21)</f>
        <v>#NAME?</v>
      </c>
      <c r="K21" s="41" t="e">
        <f ca="1">[2]!interpol(A21,[5]CN_CON15_D0!$A$1:$A$21,[5]CN_CON15_D0!$B$1:$B$21)</f>
        <v>#NAME?</v>
      </c>
      <c r="L21" s="41" t="e">
        <f ca="1">[2]!interpol(L$3,J$3:K$3,J21:K21)</f>
        <v>#NAME?</v>
      </c>
      <c r="M21" s="41"/>
      <c r="N21" s="41" t="e">
        <f ca="1">[2]!interpol(A21,[5]CN_CON10_D4!$A$1:$A$20,[5]CN_CON10_D4!$B$1:$B$20)</f>
        <v>#NAME?</v>
      </c>
      <c r="O21" s="41" t="e">
        <f ca="1">[2]!interpol(A21,[5]CN_CON15_D4!$A$1:$A$20,[5]CN_CON15_D4!$B$1:$B$20)</f>
        <v>#NAME?</v>
      </c>
      <c r="P21" s="89" t="e">
        <f ca="1">[2]!interpol(P$3,N$3:O$3,N21:O21)</f>
        <v>#NAME?</v>
      </c>
      <c r="R21" s="87" t="e">
        <f ca="1">[2]!interpol($A21,[5]XCP_CON10_D0!$A$1:$A$26,[5]XCP_CON10_D0!$B$1:$B$26)</f>
        <v>#NAME?</v>
      </c>
      <c r="S21" s="41" t="e">
        <f ca="1">[2]!interpol($A21,[5]XCP_CON15_D0!$A$1:$A$26,[5]XCP_CON15_D0!$B$1:$B$26)</f>
        <v>#NAME?</v>
      </c>
      <c r="T21" s="41" t="e">
        <f t="shared" ca="1" si="0"/>
        <v>#NAME?</v>
      </c>
      <c r="U21" s="41"/>
      <c r="V21" s="41" t="e">
        <f ca="1">[2]!interpol($A21,[5]XCP_CON10_D4!$A$1:$A$26,[5]XCP_CON10_D4!$B$1:$B$26)</f>
        <v>#NAME?</v>
      </c>
      <c r="W21" s="41" t="e">
        <f ca="1">[2]!interpol($A21,[5]XCP_CON15_D4!$A$1:$A$26,[5]XCP_CON15_D4!$B$1:$B$26)</f>
        <v>#NAME?</v>
      </c>
      <c r="X21" s="89" t="e">
        <f t="shared" ca="1" si="1"/>
        <v>#NAME?</v>
      </c>
    </row>
    <row r="22" spans="1:24">
      <c r="A22" s="112">
        <v>1.7</v>
      </c>
      <c r="B22" s="87">
        <v>0.13839849700000001</v>
      </c>
      <c r="C22" s="41" t="e">
        <f ca="1">[2]!interpol(A22,[5]CA_CON15_D0!$A$1:$A$21,[5]CA_CON15_D0!$B$1:$B$21)</f>
        <v>#NAME?</v>
      </c>
      <c r="D22" s="41" t="e">
        <f ca="1">[2]!interpol(D$3,B$3:C$3,B22:C22)</f>
        <v>#NAME?</v>
      </c>
      <c r="E22" s="41"/>
      <c r="F22" s="41" t="e">
        <f ca="1">[2]!interpol(A22,[5]CA_CON10_D4!$A$1:$A$20,[5]CA_CON10_D4!$B$1:$B$20)</f>
        <v>#NAME?</v>
      </c>
      <c r="G22" s="41" t="e">
        <f ca="1">[2]!interpol(A22,[5]CA_CON15_D4!$A$1:$A$20,[5]CA_CON15_D4!$B$1:$B$20)</f>
        <v>#NAME?</v>
      </c>
      <c r="H22" s="89" t="e">
        <f ca="1">[2]!interpol(H$3,F$3:G$3,F22:G22)</f>
        <v>#NAME?</v>
      </c>
      <c r="J22" s="87" t="e">
        <f ca="1">[2]!interpol(A22,[5]CN_CON10_D0!$A$1:$A$21,[5]CN_CON10_D0!$B$1:$B$21)</f>
        <v>#NAME?</v>
      </c>
      <c r="K22" s="41" t="e">
        <f ca="1">[2]!interpol(A22,[5]CN_CON15_D0!$A$1:$A$21,[5]CN_CON15_D0!$B$1:$B$21)</f>
        <v>#NAME?</v>
      </c>
      <c r="L22" s="41" t="e">
        <f ca="1">[2]!interpol(L$3,J$3:K$3,J22:K22)</f>
        <v>#NAME?</v>
      </c>
      <c r="M22" s="41"/>
      <c r="N22" s="41" t="e">
        <f ca="1">[2]!interpol(A22,[5]CN_CON10_D4!$A$1:$A$20,[5]CN_CON10_D4!$B$1:$B$20)</f>
        <v>#NAME?</v>
      </c>
      <c r="O22" s="41" t="e">
        <f ca="1">[2]!interpol(A22,[5]CN_CON15_D4!$A$1:$A$20,[5]CN_CON15_D4!$B$1:$B$20)</f>
        <v>#NAME?</v>
      </c>
      <c r="P22" s="89" t="e">
        <f ca="1">[2]!interpol(P$3,N$3:O$3,N22:O22)</f>
        <v>#NAME?</v>
      </c>
      <c r="R22" s="87" t="e">
        <f ca="1">[2]!interpol($A22,[5]XCP_CON10_D0!$A$1:$A$26,[5]XCP_CON10_D0!$B$1:$B$26)</f>
        <v>#NAME?</v>
      </c>
      <c r="S22" s="41" t="e">
        <f ca="1">[2]!interpol($A22,[5]XCP_CON15_D0!$A$1:$A$26,[5]XCP_CON15_D0!$B$1:$B$26)</f>
        <v>#NAME?</v>
      </c>
      <c r="T22" s="41" t="e">
        <f t="shared" ca="1" si="0"/>
        <v>#NAME?</v>
      </c>
      <c r="U22" s="41"/>
      <c r="V22" s="41" t="e">
        <f ca="1">[2]!interpol($A22,[5]XCP_CON10_D4!$A$1:$A$26,[5]XCP_CON10_D4!$B$1:$B$26)</f>
        <v>#NAME?</v>
      </c>
      <c r="W22" s="41" t="e">
        <f ca="1">[2]!interpol($A22,[5]XCP_CON15_D4!$A$1:$A$26,[5]XCP_CON15_D4!$B$1:$B$26)</f>
        <v>#NAME?</v>
      </c>
      <c r="X22" s="89" t="e">
        <f t="shared" ca="1" si="1"/>
        <v>#NAME?</v>
      </c>
    </row>
    <row r="23" spans="1:24">
      <c r="A23" s="112">
        <v>1.9</v>
      </c>
      <c r="B23" s="87">
        <v>0.12962317000000001</v>
      </c>
      <c r="C23" s="41" t="e">
        <f ca="1">[2]!interpol(A23,[5]CA_CON15_D0!$A$1:$A$21,[5]CA_CON15_D0!$B$1:$B$21)</f>
        <v>#NAME?</v>
      </c>
      <c r="D23" s="41" t="e">
        <f ca="1">[2]!interpol(D$3,B$3:C$3,B23:C23)</f>
        <v>#NAME?</v>
      </c>
      <c r="E23" s="41"/>
      <c r="F23" s="41" t="e">
        <f ca="1">[2]!interpol(A23,[5]CA_CON10_D4!$A$1:$A$20,[5]CA_CON10_D4!$B$1:$B$20)</f>
        <v>#NAME?</v>
      </c>
      <c r="G23" s="41" t="e">
        <f ca="1">[2]!interpol(A23,[5]CA_CON15_D4!$A$1:$A$20,[5]CA_CON15_D4!$B$1:$B$20)</f>
        <v>#NAME?</v>
      </c>
      <c r="H23" s="89" t="e">
        <f ca="1">[2]!interpol(H$3,F$3:G$3,F23:G23)</f>
        <v>#NAME?</v>
      </c>
      <c r="J23" s="87" t="e">
        <f ca="1">[2]!interpol(A23,[5]CN_CON10_D0!$A$1:$A$21,[5]CN_CON10_D0!$B$1:$B$21)</f>
        <v>#NAME?</v>
      </c>
      <c r="K23" s="41" t="e">
        <f ca="1">[2]!interpol(A23,[5]CN_CON15_D0!$A$1:$A$21,[5]CN_CON15_D0!$B$1:$B$21)</f>
        <v>#NAME?</v>
      </c>
      <c r="L23" s="41" t="e">
        <f ca="1">[2]!interpol(L$3,J$3:K$3,J23:K23)</f>
        <v>#NAME?</v>
      </c>
      <c r="M23" s="41"/>
      <c r="N23" s="41" t="e">
        <f ca="1">[2]!interpol(A23,[5]CN_CON10_D4!$A$1:$A$20,[5]CN_CON10_D4!$B$1:$B$20)</f>
        <v>#NAME?</v>
      </c>
      <c r="O23" s="41" t="e">
        <f ca="1">[2]!interpol(A23,[5]CN_CON15_D4!$A$1:$A$20,[5]CN_CON15_D4!$B$1:$B$20)</f>
        <v>#NAME?</v>
      </c>
      <c r="P23" s="89" t="e">
        <f ca="1">[2]!interpol(P$3,N$3:O$3,N23:O23)</f>
        <v>#NAME?</v>
      </c>
      <c r="R23" s="87" t="e">
        <f ca="1">[2]!interpol($A23,[5]XCP_CON10_D0!$A$1:$A$26,[5]XCP_CON10_D0!$B$1:$B$26)</f>
        <v>#NAME?</v>
      </c>
      <c r="S23" s="41" t="e">
        <f ca="1">[2]!interpol($A23,[5]XCP_CON15_D0!$A$1:$A$26,[5]XCP_CON15_D0!$B$1:$B$26)</f>
        <v>#NAME?</v>
      </c>
      <c r="T23" s="41" t="e">
        <f t="shared" ca="1" si="0"/>
        <v>#NAME?</v>
      </c>
      <c r="U23" s="41"/>
      <c r="V23" s="41" t="e">
        <f ca="1">[2]!interpol($A23,[5]XCP_CON10_D4!$A$1:$A$26,[5]XCP_CON10_D4!$B$1:$B$26)</f>
        <v>#NAME?</v>
      </c>
      <c r="W23" s="41" t="e">
        <f ca="1">[2]!interpol($A23,[5]XCP_CON15_D4!$A$1:$A$26,[5]XCP_CON15_D4!$B$1:$B$26)</f>
        <v>#NAME?</v>
      </c>
      <c r="X23" s="89" t="e">
        <f t="shared" ca="1" si="1"/>
        <v>#NAME?</v>
      </c>
    </row>
    <row r="24" spans="1:24">
      <c r="A24" s="112">
        <v>2.1</v>
      </c>
      <c r="B24" s="87">
        <v>0.12376724</v>
      </c>
      <c r="C24" s="41" t="e">
        <f ca="1">[2]!interpol(A24,[5]CA_CON15_D0!$A$1:$A$21,[5]CA_CON15_D0!$B$1:$B$21)</f>
        <v>#NAME?</v>
      </c>
      <c r="D24" s="41" t="e">
        <f ca="1">[2]!interpol(D$3,B$3:C$3,B24:C24)</f>
        <v>#NAME?</v>
      </c>
      <c r="E24" s="41"/>
      <c r="F24" s="41" t="e">
        <f ca="1">[2]!interpol(A24,[5]CA_CON10_D4!$A$1:$A$20,[5]CA_CON10_D4!$B$1:$B$20)</f>
        <v>#NAME?</v>
      </c>
      <c r="G24" s="41" t="e">
        <f ca="1">[2]!interpol(A24,[5]CA_CON15_D4!$A$1:$A$20,[5]CA_CON15_D4!$B$1:$B$20)</f>
        <v>#NAME?</v>
      </c>
      <c r="H24" s="89" t="e">
        <f ca="1">[2]!interpol(H$3,F$3:G$3,F24:G24)</f>
        <v>#NAME?</v>
      </c>
      <c r="J24" s="87" t="e">
        <f ca="1">[2]!interpol(A24,[5]CN_CON10_D0!$A$1:$A$21,[5]CN_CON10_D0!$B$1:$B$21)</f>
        <v>#NAME?</v>
      </c>
      <c r="K24" s="41" t="e">
        <f ca="1">[2]!interpol(A24,[5]CN_CON15_D0!$A$1:$A$21,[5]CN_CON15_D0!$B$1:$B$21)</f>
        <v>#NAME?</v>
      </c>
      <c r="L24" s="41" t="e">
        <f ca="1">[2]!interpol(L$3,J$3:K$3,J24:K24)</f>
        <v>#NAME?</v>
      </c>
      <c r="M24" s="41"/>
      <c r="N24" s="41" t="e">
        <f ca="1">[2]!interpol(A24,[5]CN_CON10_D4!$A$1:$A$20,[5]CN_CON10_D4!$B$1:$B$20)</f>
        <v>#NAME?</v>
      </c>
      <c r="O24" s="41" t="e">
        <f ca="1">[2]!interpol(A24,[5]CN_CON15_D4!$A$1:$A$20,[5]CN_CON15_D4!$B$1:$B$20)</f>
        <v>#NAME?</v>
      </c>
      <c r="P24" s="89" t="e">
        <f ca="1">[2]!interpol(P$3,N$3:O$3,N24:O24)</f>
        <v>#NAME?</v>
      </c>
      <c r="R24" s="87" t="e">
        <f ca="1">[2]!interpol($A24,[5]XCP_CON10_D0!$A$1:$A$26,[5]XCP_CON10_D0!$B$1:$B$26)</f>
        <v>#NAME?</v>
      </c>
      <c r="S24" s="41" t="e">
        <f ca="1">[2]!interpol($A24,[5]XCP_CON15_D0!$A$1:$A$26,[5]XCP_CON15_D0!$B$1:$B$26)</f>
        <v>#NAME?</v>
      </c>
      <c r="T24" s="41" t="e">
        <f t="shared" ca="1" si="0"/>
        <v>#NAME?</v>
      </c>
      <c r="U24" s="41"/>
      <c r="V24" s="41" t="e">
        <f ca="1">[2]!interpol($A24,[5]XCP_CON10_D4!$A$1:$A$26,[5]XCP_CON10_D4!$B$1:$B$26)</f>
        <v>#NAME?</v>
      </c>
      <c r="W24" s="41" t="e">
        <f ca="1">[2]!interpol($A24,[5]XCP_CON15_D4!$A$1:$A$26,[5]XCP_CON15_D4!$B$1:$B$26)</f>
        <v>#NAME?</v>
      </c>
      <c r="X24" s="89" t="e">
        <f t="shared" ca="1" si="1"/>
        <v>#NAME?</v>
      </c>
    </row>
    <row r="25" spans="1:24">
      <c r="A25" s="112">
        <v>2.2999999999999998</v>
      </c>
      <c r="B25" s="87">
        <v>0.118820305</v>
      </c>
      <c r="C25" s="41" t="e">
        <f ca="1">[2]!interpol(A25,[5]CA_CON15_D0!$A$1:$A$21,[5]CA_CON15_D0!$B$1:$B$21)</f>
        <v>#NAME?</v>
      </c>
      <c r="D25" s="41" t="e">
        <f ca="1">[2]!interpol(D$3,B$3:C$3,B25:C25)</f>
        <v>#NAME?</v>
      </c>
      <c r="E25" s="41"/>
      <c r="F25" s="41" t="e">
        <f ca="1">[2]!interpol(A25,[5]CA_CON10_D4!$A$1:$A$20,[5]CA_CON10_D4!$B$1:$B$20)</f>
        <v>#NAME?</v>
      </c>
      <c r="G25" s="41" t="e">
        <f ca="1">[2]!interpol(A25,[5]CA_CON15_D4!$A$1:$A$20,[5]CA_CON15_D4!$B$1:$B$20)</f>
        <v>#NAME?</v>
      </c>
      <c r="H25" s="89" t="e">
        <f ca="1">[2]!interpol(H$3,F$3:G$3,F25:G25)</f>
        <v>#NAME?</v>
      </c>
      <c r="J25" s="87" t="e">
        <f ca="1">[2]!interpol(A25,[5]CN_CON10_D0!$A$1:$A$21,[5]CN_CON10_D0!$B$1:$B$21)</f>
        <v>#NAME?</v>
      </c>
      <c r="K25" s="41" t="e">
        <f ca="1">[2]!interpol(A25,[5]CN_CON15_D0!$A$1:$A$21,[5]CN_CON15_D0!$B$1:$B$21)</f>
        <v>#NAME?</v>
      </c>
      <c r="L25" s="41" t="e">
        <f ca="1">[2]!interpol(L$3,J$3:K$3,J25:K25)</f>
        <v>#NAME?</v>
      </c>
      <c r="M25" s="41"/>
      <c r="N25" s="41" t="e">
        <f ca="1">[2]!interpol(A25,[5]CN_CON10_D4!$A$1:$A$20,[5]CN_CON10_D4!$B$1:$B$20)</f>
        <v>#NAME?</v>
      </c>
      <c r="O25" s="41" t="e">
        <f ca="1">[2]!interpol(A25,[5]CN_CON15_D4!$A$1:$A$20,[5]CN_CON15_D4!$B$1:$B$20)</f>
        <v>#NAME?</v>
      </c>
      <c r="P25" s="89" t="e">
        <f ca="1">[2]!interpol(P$3,N$3:O$3,N25:O25)</f>
        <v>#NAME?</v>
      </c>
      <c r="R25" s="87" t="e">
        <f ca="1">[2]!interpol($A25,[5]XCP_CON10_D0!$A$1:$A$26,[5]XCP_CON10_D0!$B$1:$B$26)</f>
        <v>#NAME?</v>
      </c>
      <c r="S25" s="41" t="e">
        <f ca="1">[2]!interpol($A25,[5]XCP_CON15_D0!$A$1:$A$26,[5]XCP_CON15_D0!$B$1:$B$26)</f>
        <v>#NAME?</v>
      </c>
      <c r="T25" s="41" t="e">
        <f t="shared" ca="1" si="0"/>
        <v>#NAME?</v>
      </c>
      <c r="U25" s="41"/>
      <c r="V25" s="41" t="e">
        <f ca="1">[2]!interpol($A25,[5]XCP_CON10_D4!$A$1:$A$26,[5]XCP_CON10_D4!$B$1:$B$26)</f>
        <v>#NAME?</v>
      </c>
      <c r="W25" s="41" t="e">
        <f ca="1">[2]!interpol($A25,[5]XCP_CON15_D4!$A$1:$A$26,[5]XCP_CON15_D4!$B$1:$B$26)</f>
        <v>#NAME?</v>
      </c>
      <c r="X25" s="89" t="e">
        <f t="shared" ca="1" si="1"/>
        <v>#NAME?</v>
      </c>
    </row>
    <row r="26" spans="1:24">
      <c r="A26" s="112">
        <v>2.5</v>
      </c>
      <c r="B26" s="87">
        <v>0.11387337</v>
      </c>
      <c r="C26" s="41" t="e">
        <f ca="1">[2]!interpol(A26,[5]CA_CON15_D0!$A$1:$A$21,[5]CA_CON15_D0!$B$1:$B$21)</f>
        <v>#NAME?</v>
      </c>
      <c r="D26" s="41" t="e">
        <f ca="1">[2]!interpol(D$3,B$3:C$3,B26:C26)</f>
        <v>#NAME?</v>
      </c>
      <c r="E26" s="41"/>
      <c r="F26" s="41" t="e">
        <f ca="1">[2]!interpol(A26,[5]CA_CON10_D4!$A$1:$A$20,[5]CA_CON10_D4!$B$1:$B$20)</f>
        <v>#NAME?</v>
      </c>
      <c r="G26" s="41" t="e">
        <f ca="1">[2]!interpol(A26,[5]CA_CON15_D4!$A$1:$A$20,[5]CA_CON15_D4!$B$1:$B$20)</f>
        <v>#NAME?</v>
      </c>
      <c r="H26" s="89" t="e">
        <f ca="1">[2]!interpol(H$3,F$3:G$3,F26:G26)</f>
        <v>#NAME?</v>
      </c>
      <c r="J26" s="87" t="e">
        <f ca="1">[2]!interpol(A26,[5]CN_CON10_D0!$A$1:$A$21,[5]CN_CON10_D0!$B$1:$B$21)</f>
        <v>#NAME?</v>
      </c>
      <c r="K26" s="41" t="e">
        <f ca="1">[2]!interpol(A26,[5]CN_CON15_D0!$A$1:$A$21,[5]CN_CON15_D0!$B$1:$B$21)</f>
        <v>#NAME?</v>
      </c>
      <c r="L26" s="41" t="e">
        <f ca="1">[2]!interpol(L$3,J$3:K$3,J26:K26)</f>
        <v>#NAME?</v>
      </c>
      <c r="M26" s="41"/>
      <c r="N26" s="41" t="e">
        <f ca="1">[2]!interpol(A26,[5]CN_CON10_D4!$A$1:$A$20,[5]CN_CON10_D4!$B$1:$B$20)</f>
        <v>#NAME?</v>
      </c>
      <c r="O26" s="41" t="e">
        <f ca="1">[2]!interpol(A26,[5]CN_CON15_D4!$A$1:$A$20,[5]CN_CON15_D4!$B$1:$B$20)</f>
        <v>#NAME?</v>
      </c>
      <c r="P26" s="89" t="e">
        <f ca="1">[2]!interpol(P$3,N$3:O$3,N26:O26)</f>
        <v>#NAME?</v>
      </c>
      <c r="R26" s="87" t="e">
        <f ca="1">[2]!interpol($A26,[5]XCP_CON10_D0!$A$1:$A$26,[5]XCP_CON10_D0!$B$1:$B$26)</f>
        <v>#NAME?</v>
      </c>
      <c r="S26" s="41" t="e">
        <f ca="1">[2]!interpol($A26,[5]XCP_CON15_D0!$A$1:$A$26,[5]XCP_CON15_D0!$B$1:$B$26)</f>
        <v>#NAME?</v>
      </c>
      <c r="T26" s="41" t="e">
        <f t="shared" ca="1" si="0"/>
        <v>#NAME?</v>
      </c>
      <c r="U26" s="41"/>
      <c r="V26" s="41" t="e">
        <f ca="1">[2]!interpol($A26,[5]XCP_CON10_D4!$A$1:$A$26,[5]XCP_CON10_D4!$B$1:$B$26)</f>
        <v>#NAME?</v>
      </c>
      <c r="W26" s="41" t="e">
        <f ca="1">[2]!interpol($A26,[5]XCP_CON15_D4!$A$1:$A$26,[5]XCP_CON15_D4!$B$1:$B$26)</f>
        <v>#NAME?</v>
      </c>
      <c r="X26" s="89" t="e">
        <f t="shared" ca="1" si="1"/>
        <v>#NAME?</v>
      </c>
    </row>
    <row r="27" spans="1:24">
      <c r="A27" s="112">
        <v>2.7</v>
      </c>
      <c r="B27" s="87">
        <v>0.108926435</v>
      </c>
      <c r="C27" s="41" t="e">
        <f ca="1">[2]!interpol(A27,[5]CA_CON15_D0!$A$1:$A$21,[5]CA_CON15_D0!$B$1:$B$21)</f>
        <v>#NAME?</v>
      </c>
      <c r="D27" s="41" t="e">
        <f ca="1">[2]!interpol(D$3,B$3:C$3,B27:C27)</f>
        <v>#NAME?</v>
      </c>
      <c r="E27" s="41"/>
      <c r="F27" s="41" t="e">
        <f ca="1">[2]!interpol(A27,[5]CA_CON10_D4!$A$1:$A$20,[5]CA_CON10_D4!$B$1:$B$20)</f>
        <v>#NAME?</v>
      </c>
      <c r="G27" s="41" t="e">
        <f ca="1">[2]!interpol(A27,[5]CA_CON15_D4!$A$1:$A$20,[5]CA_CON15_D4!$B$1:$B$20)</f>
        <v>#NAME?</v>
      </c>
      <c r="H27" s="89" t="e">
        <f ca="1">[2]!interpol(H$3,F$3:G$3,F27:G27)</f>
        <v>#NAME?</v>
      </c>
      <c r="J27" s="87" t="e">
        <f ca="1">[2]!interpol(A27,[5]CN_CON10_D0!$A$1:$A$21,[5]CN_CON10_D0!$B$1:$B$21)</f>
        <v>#NAME?</v>
      </c>
      <c r="K27" s="41" t="e">
        <f ca="1">[2]!interpol(A27,[5]CN_CON15_D0!$A$1:$A$21,[5]CN_CON15_D0!$B$1:$B$21)</f>
        <v>#NAME?</v>
      </c>
      <c r="L27" s="41" t="e">
        <f ca="1">[2]!interpol(L$3,J$3:K$3,J27:K27)</f>
        <v>#NAME?</v>
      </c>
      <c r="M27" s="41"/>
      <c r="N27" s="41" t="e">
        <f ca="1">[2]!interpol(A27,[5]CN_CON10_D4!$A$1:$A$20,[5]CN_CON10_D4!$B$1:$B$20)</f>
        <v>#NAME?</v>
      </c>
      <c r="O27" s="41" t="e">
        <f ca="1">[2]!interpol(A27,[5]CN_CON15_D4!$A$1:$A$20,[5]CN_CON15_D4!$B$1:$B$20)</f>
        <v>#NAME?</v>
      </c>
      <c r="P27" s="89" t="e">
        <f ca="1">[2]!interpol(P$3,N$3:O$3,N27:O27)</f>
        <v>#NAME?</v>
      </c>
      <c r="R27" s="87" t="e">
        <f ca="1">[2]!interpol($A27,[5]XCP_CON10_D0!$A$1:$A$26,[5]XCP_CON10_D0!$B$1:$B$26)</f>
        <v>#NAME?</v>
      </c>
      <c r="S27" s="41" t="e">
        <f ca="1">[2]!interpol($A27,[5]XCP_CON15_D0!$A$1:$A$26,[5]XCP_CON15_D0!$B$1:$B$26)</f>
        <v>#NAME?</v>
      </c>
      <c r="T27" s="41" t="e">
        <f t="shared" ca="1" si="0"/>
        <v>#NAME?</v>
      </c>
      <c r="U27" s="41"/>
      <c r="V27" s="41" t="e">
        <f ca="1">[2]!interpol($A27,[5]XCP_CON10_D4!$A$1:$A$26,[5]XCP_CON10_D4!$B$1:$B$26)</f>
        <v>#NAME?</v>
      </c>
      <c r="W27" s="41" t="e">
        <f ca="1">[2]!interpol($A27,[5]XCP_CON15_D4!$A$1:$A$26,[5]XCP_CON15_D4!$B$1:$B$26)</f>
        <v>#NAME?</v>
      </c>
      <c r="X27" s="89" t="e">
        <f t="shared" ca="1" si="1"/>
        <v>#NAME?</v>
      </c>
    </row>
    <row r="28" spans="1:24">
      <c r="A28" s="112">
        <v>2.9</v>
      </c>
      <c r="B28" s="87">
        <v>0.10709128900000001</v>
      </c>
      <c r="C28" s="41" t="e">
        <f ca="1">[2]!interpol(A28,[5]CA_CON15_D0!$A$1:$A$21,[5]CA_CON15_D0!$B$1:$B$21)</f>
        <v>#NAME?</v>
      </c>
      <c r="D28" s="41" t="e">
        <f ca="1">[2]!interpol(D$3,B$3:C$3,B28:C28)</f>
        <v>#NAME?</v>
      </c>
      <c r="E28" s="41"/>
      <c r="F28" s="41" t="e">
        <f ca="1">[2]!interpol(A28,[5]CA_CON10_D4!$A$1:$A$20,[5]CA_CON10_D4!$B$1:$B$20)</f>
        <v>#NAME?</v>
      </c>
      <c r="G28" s="41" t="e">
        <f ca="1">[2]!interpol(A28,[5]CA_CON15_D4!$A$1:$A$20,[5]CA_CON15_D4!$B$1:$B$20)</f>
        <v>#NAME?</v>
      </c>
      <c r="H28" s="89" t="e">
        <f ca="1">[2]!interpol(H$3,F$3:G$3,F28:G28)</f>
        <v>#NAME?</v>
      </c>
      <c r="J28" s="87" t="e">
        <f ca="1">[2]!interpol(A28,[5]CN_CON10_D0!$A$1:$A$21,[5]CN_CON10_D0!$B$1:$B$21)</f>
        <v>#NAME?</v>
      </c>
      <c r="K28" s="41" t="e">
        <f ca="1">[2]!interpol(A28,[5]CN_CON15_D0!$A$1:$A$21,[5]CN_CON15_D0!$B$1:$B$21)</f>
        <v>#NAME?</v>
      </c>
      <c r="L28" s="41" t="e">
        <f ca="1">[2]!interpol(L$3,J$3:K$3,J28:K28)</f>
        <v>#NAME?</v>
      </c>
      <c r="M28" s="41"/>
      <c r="N28" s="41" t="e">
        <f ca="1">[2]!interpol(A28,[5]CN_CON10_D4!$A$1:$A$20,[5]CN_CON10_D4!$B$1:$B$20)</f>
        <v>#NAME?</v>
      </c>
      <c r="O28" s="41" t="e">
        <f ca="1">[2]!interpol(A28,[5]CN_CON15_D4!$A$1:$A$20,[5]CN_CON15_D4!$B$1:$B$20)</f>
        <v>#NAME?</v>
      </c>
      <c r="P28" s="89" t="e">
        <f ca="1">[2]!interpol(P$3,N$3:O$3,N28:O28)</f>
        <v>#NAME?</v>
      </c>
      <c r="R28" s="87" t="e">
        <f ca="1">[2]!interpol($A28,[5]XCP_CON10_D0!$A$1:$A$26,[5]XCP_CON10_D0!$B$1:$B$26)</f>
        <v>#NAME?</v>
      </c>
      <c r="S28" s="41" t="e">
        <f ca="1">[2]!interpol($A28,[5]XCP_CON15_D0!$A$1:$A$26,[5]XCP_CON15_D0!$B$1:$B$26)</f>
        <v>#NAME?</v>
      </c>
      <c r="T28" s="41" t="e">
        <f t="shared" ca="1" si="0"/>
        <v>#NAME?</v>
      </c>
      <c r="U28" s="41"/>
      <c r="V28" s="41" t="e">
        <f ca="1">[2]!interpol($A28,[5]XCP_CON10_D4!$A$1:$A$26,[5]XCP_CON10_D4!$B$1:$B$26)</f>
        <v>#NAME?</v>
      </c>
      <c r="W28" s="41" t="e">
        <f ca="1">[2]!interpol($A28,[5]XCP_CON15_D4!$A$1:$A$26,[5]XCP_CON15_D4!$B$1:$B$26)</f>
        <v>#NAME?</v>
      </c>
      <c r="X28" s="89" t="e">
        <f t="shared" ca="1" si="1"/>
        <v>#NAME?</v>
      </c>
    </row>
    <row r="29" spans="1:24">
      <c r="A29" s="112">
        <v>3.1</v>
      </c>
      <c r="B29" s="87">
        <v>0.10618907900000001</v>
      </c>
      <c r="C29" s="41" t="e">
        <f ca="1">[2]!interpol(A29,[5]CA_CON15_D0!$A$1:$A$21,[5]CA_CON15_D0!$B$1:$B$21)</f>
        <v>#NAME?</v>
      </c>
      <c r="D29" s="41" t="e">
        <f ca="1">[2]!interpol(D$3,B$3:C$3,B29:C29)</f>
        <v>#NAME?</v>
      </c>
      <c r="E29" s="41"/>
      <c r="F29" s="41" t="e">
        <f ca="1">[2]!interpol(A29,[5]CA_CON10_D4!$A$1:$A$20,[5]CA_CON10_D4!$B$1:$B$20)</f>
        <v>#NAME?</v>
      </c>
      <c r="G29" s="41" t="e">
        <f ca="1">[2]!interpol(A29,[5]CA_CON15_D4!$A$1:$A$20,[5]CA_CON15_D4!$B$1:$B$20)</f>
        <v>#NAME?</v>
      </c>
      <c r="H29" s="89" t="e">
        <f ca="1">[2]!interpol(H$3,F$3:G$3,F29:G29)</f>
        <v>#NAME?</v>
      </c>
      <c r="J29" s="87" t="e">
        <f ca="1">[2]!interpol(A29,[5]CN_CON10_D0!$A$1:$A$21,[5]CN_CON10_D0!$B$1:$B$21)</f>
        <v>#NAME?</v>
      </c>
      <c r="K29" s="41" t="e">
        <f ca="1">[2]!interpol(A29,[5]CN_CON15_D0!$A$1:$A$21,[5]CN_CON15_D0!$B$1:$B$21)</f>
        <v>#NAME?</v>
      </c>
      <c r="L29" s="41" t="e">
        <f ca="1">[2]!interpol(L$3,J$3:K$3,J29:K29)</f>
        <v>#NAME?</v>
      </c>
      <c r="M29" s="41"/>
      <c r="N29" s="41" t="e">
        <f ca="1">[2]!interpol(A29,[5]CN_CON10_D4!$A$1:$A$20,[5]CN_CON10_D4!$B$1:$B$20)</f>
        <v>#NAME?</v>
      </c>
      <c r="O29" s="41" t="e">
        <f ca="1">[2]!interpol(A29,[5]CN_CON15_D4!$A$1:$A$20,[5]CN_CON15_D4!$B$1:$B$20)</f>
        <v>#NAME?</v>
      </c>
      <c r="P29" s="89" t="e">
        <f ca="1">[2]!interpol(P$3,N$3:O$3,N29:O29)</f>
        <v>#NAME?</v>
      </c>
      <c r="R29" s="87" t="e">
        <f ca="1">[2]!interpol($A29,[5]XCP_CON10_D0!$A$1:$A$26,[5]XCP_CON10_D0!$B$1:$B$26)</f>
        <v>#NAME?</v>
      </c>
      <c r="S29" s="41" t="e">
        <f ca="1">[2]!interpol($A29,[5]XCP_CON15_D0!$A$1:$A$26,[5]XCP_CON15_D0!$B$1:$B$26)</f>
        <v>#NAME?</v>
      </c>
      <c r="T29" s="41" t="e">
        <f t="shared" ca="1" si="0"/>
        <v>#NAME?</v>
      </c>
      <c r="U29" s="41"/>
      <c r="V29" s="41" t="e">
        <f ca="1">[2]!interpol($A29,[5]XCP_CON10_D4!$A$1:$A$26,[5]XCP_CON10_D4!$B$1:$B$26)</f>
        <v>#NAME?</v>
      </c>
      <c r="W29" s="41" t="e">
        <f ca="1">[2]!interpol($A29,[5]XCP_CON15_D4!$A$1:$A$26,[5]XCP_CON15_D4!$B$1:$B$26)</f>
        <v>#NAME?</v>
      </c>
      <c r="X29" s="89" t="e">
        <f t="shared" ca="1" si="1"/>
        <v>#NAME?</v>
      </c>
    </row>
    <row r="30" spans="1:24">
      <c r="A30" s="112">
        <v>3.3</v>
      </c>
      <c r="B30" s="87">
        <v>0.10528686900000001</v>
      </c>
      <c r="C30" s="41" t="e">
        <f ca="1">[2]!interpol(A30,[5]CA_CON15_D0!$A$1:$A$21,[5]CA_CON15_D0!$B$1:$B$21)</f>
        <v>#NAME?</v>
      </c>
      <c r="D30" s="41" t="e">
        <f ca="1">[2]!interpol(D$3,B$3:C$3,B30:C30)</f>
        <v>#NAME?</v>
      </c>
      <c r="E30" s="41"/>
      <c r="F30" s="41" t="e">
        <f ca="1">[2]!interpol(A30,[5]CA_CON10_D4!$A$1:$A$20,[5]CA_CON10_D4!$B$1:$B$20)</f>
        <v>#NAME?</v>
      </c>
      <c r="G30" s="41" t="e">
        <f ca="1">[2]!interpol(A30,[5]CA_CON15_D4!$A$1:$A$20,[5]CA_CON15_D4!$B$1:$B$20)</f>
        <v>#NAME?</v>
      </c>
      <c r="H30" s="89" t="e">
        <f ca="1">[2]!interpol(H$3,F$3:G$3,F30:G30)</f>
        <v>#NAME?</v>
      </c>
      <c r="J30" s="87" t="e">
        <f ca="1">[2]!interpol(A30,[5]CN_CON10_D0!$A$1:$A$21,[5]CN_CON10_D0!$B$1:$B$21)</f>
        <v>#NAME?</v>
      </c>
      <c r="K30" s="41" t="e">
        <f ca="1">[2]!interpol(A30,[5]CN_CON15_D0!$A$1:$A$21,[5]CN_CON15_D0!$B$1:$B$21)</f>
        <v>#NAME?</v>
      </c>
      <c r="L30" s="41" t="e">
        <f ca="1">[2]!interpol(L$3,J$3:K$3,J30:K30)</f>
        <v>#NAME?</v>
      </c>
      <c r="M30" s="41"/>
      <c r="N30" s="41" t="e">
        <f ca="1">[2]!interpol(A30,[5]CN_CON10_D4!$A$1:$A$20,[5]CN_CON10_D4!$B$1:$B$20)</f>
        <v>#NAME?</v>
      </c>
      <c r="O30" s="41" t="e">
        <f ca="1">[2]!interpol(A30,[5]CN_CON15_D4!$A$1:$A$20,[5]CN_CON15_D4!$B$1:$B$20)</f>
        <v>#NAME?</v>
      </c>
      <c r="P30" s="89" t="e">
        <f ca="1">[2]!interpol(P$3,N$3:O$3,N30:O30)</f>
        <v>#NAME?</v>
      </c>
      <c r="R30" s="87" t="e">
        <f ca="1">[2]!interpol($A30,[5]XCP_CON10_D0!$A$1:$A$26,[5]XCP_CON10_D0!$B$1:$B$26)</f>
        <v>#NAME?</v>
      </c>
      <c r="S30" s="41" t="e">
        <f ca="1">[2]!interpol($A30,[5]XCP_CON15_D0!$A$1:$A$26,[5]XCP_CON15_D0!$B$1:$B$26)</f>
        <v>#NAME?</v>
      </c>
      <c r="T30" s="41" t="e">
        <f t="shared" ca="1" si="0"/>
        <v>#NAME?</v>
      </c>
      <c r="U30" s="41"/>
      <c r="V30" s="41" t="e">
        <f ca="1">[2]!interpol($A30,[5]XCP_CON10_D4!$A$1:$A$26,[5]XCP_CON10_D4!$B$1:$B$26)</f>
        <v>#NAME?</v>
      </c>
      <c r="W30" s="41" t="e">
        <f ca="1">[2]!interpol($A30,[5]XCP_CON15_D4!$A$1:$A$26,[5]XCP_CON15_D4!$B$1:$B$26)</f>
        <v>#NAME?</v>
      </c>
      <c r="X30" s="89" t="e">
        <f t="shared" ca="1" si="1"/>
        <v>#NAME?</v>
      </c>
    </row>
    <row r="31" spans="1:24">
      <c r="A31" s="112">
        <v>3.5</v>
      </c>
      <c r="B31" s="87">
        <v>0.10438466</v>
      </c>
      <c r="C31" s="41" t="e">
        <f ca="1">[2]!interpol(A31,[5]CA_CON15_D0!$A$1:$A$21,[5]CA_CON15_D0!$B$1:$B$21)</f>
        <v>#NAME?</v>
      </c>
      <c r="D31" s="41" t="e">
        <f ca="1">[2]!interpol(D$3,B$3:C$3,B31:C31)</f>
        <v>#NAME?</v>
      </c>
      <c r="E31" s="41"/>
      <c r="F31" s="41" t="e">
        <f ca="1">[2]!interpol(A31,[5]CA_CON10_D4!$A$1:$A$20,[5]CA_CON10_D4!$B$1:$B$20)</f>
        <v>#NAME?</v>
      </c>
      <c r="G31" s="41" t="e">
        <f ca="1">[2]!interpol(A31,[5]CA_CON15_D4!$A$1:$A$20,[5]CA_CON15_D4!$B$1:$B$20)</f>
        <v>#NAME?</v>
      </c>
      <c r="H31" s="89" t="e">
        <f ca="1">[2]!interpol(H$3,F$3:G$3,F31:G31)</f>
        <v>#NAME?</v>
      </c>
      <c r="J31" s="87" t="e">
        <f ca="1">[2]!interpol(A31,[5]CN_CON10_D0!$A$1:$A$21,[5]CN_CON10_D0!$B$1:$B$21)</f>
        <v>#NAME?</v>
      </c>
      <c r="K31" s="41" t="e">
        <f ca="1">[2]!interpol(A31,[5]CN_CON15_D0!$A$1:$A$21,[5]CN_CON15_D0!$B$1:$B$21)</f>
        <v>#NAME?</v>
      </c>
      <c r="L31" s="41" t="e">
        <f ca="1">[2]!interpol(L$3,J$3:K$3,J31:K31)</f>
        <v>#NAME?</v>
      </c>
      <c r="M31" s="41"/>
      <c r="N31" s="41" t="e">
        <f ca="1">[2]!interpol(A31,[5]CN_CON10_D4!$A$1:$A$20,[5]CN_CON10_D4!$B$1:$B$20)</f>
        <v>#NAME?</v>
      </c>
      <c r="O31" s="41" t="e">
        <f ca="1">[2]!interpol(A31,[5]CN_CON15_D4!$A$1:$A$20,[5]CN_CON15_D4!$B$1:$B$20)</f>
        <v>#NAME?</v>
      </c>
      <c r="P31" s="89" t="e">
        <f ca="1">[2]!interpol(P$3,N$3:O$3,N31:O31)</f>
        <v>#NAME?</v>
      </c>
      <c r="R31" s="87" t="e">
        <f ca="1">[2]!interpol($A31,[5]XCP_CON10_D0!$A$1:$A$26,[5]XCP_CON10_D0!$B$1:$B$26)</f>
        <v>#NAME?</v>
      </c>
      <c r="S31" s="41" t="e">
        <f ca="1">[2]!interpol($A31,[5]XCP_CON15_D0!$A$1:$A$26,[5]XCP_CON15_D0!$B$1:$B$26)</f>
        <v>#NAME?</v>
      </c>
      <c r="T31" s="41" t="e">
        <f t="shared" ca="1" si="0"/>
        <v>#NAME?</v>
      </c>
      <c r="U31" s="41"/>
      <c r="V31" s="41" t="e">
        <f ca="1">[2]!interpol($A31,[5]XCP_CON10_D4!$A$1:$A$26,[5]XCP_CON10_D4!$B$1:$B$26)</f>
        <v>#NAME?</v>
      </c>
      <c r="W31" s="41" t="e">
        <f ca="1">[2]!interpol($A31,[5]XCP_CON15_D4!$A$1:$A$26,[5]XCP_CON15_D4!$B$1:$B$26)</f>
        <v>#NAME?</v>
      </c>
      <c r="X31" s="89" t="e">
        <f t="shared" ca="1" si="1"/>
        <v>#NAME?</v>
      </c>
    </row>
    <row r="32" spans="1:24">
      <c r="A32" s="112">
        <v>3.7</v>
      </c>
      <c r="B32" s="87">
        <v>0.10348245</v>
      </c>
      <c r="C32" s="41" t="e">
        <f ca="1">[2]!interpol(A32,[5]CA_CON15_D0!$A$1:$A$21,[5]CA_CON15_D0!$B$1:$B$21)</f>
        <v>#NAME?</v>
      </c>
      <c r="D32" s="41" t="e">
        <f ca="1">[2]!interpol(D$3,B$3:C$3,B32:C32)</f>
        <v>#NAME?</v>
      </c>
      <c r="E32" s="41"/>
      <c r="F32" s="41" t="e">
        <f ca="1">[2]!interpol(A32,[5]CA_CON10_D4!$A$1:$A$20,[5]CA_CON10_D4!$B$1:$B$20)</f>
        <v>#NAME?</v>
      </c>
      <c r="G32" s="41" t="e">
        <f ca="1">[2]!interpol(A32,[5]CA_CON15_D4!$A$1:$A$20,[5]CA_CON15_D4!$B$1:$B$20)</f>
        <v>#NAME?</v>
      </c>
      <c r="H32" s="89" t="e">
        <f ca="1">[2]!interpol(H$3,F$3:G$3,F32:G32)</f>
        <v>#NAME?</v>
      </c>
      <c r="J32" s="87" t="e">
        <f ca="1">[2]!interpol(A32,[5]CN_CON10_D0!$A$1:$A$21,[5]CN_CON10_D0!$B$1:$B$21)</f>
        <v>#NAME?</v>
      </c>
      <c r="K32" s="41" t="e">
        <f ca="1">[2]!interpol(A32,[5]CN_CON15_D0!$A$1:$A$21,[5]CN_CON15_D0!$B$1:$B$21)</f>
        <v>#NAME?</v>
      </c>
      <c r="L32" s="41" t="e">
        <f ca="1">[2]!interpol(L$3,J$3:K$3,J32:K32)</f>
        <v>#NAME?</v>
      </c>
      <c r="M32" s="41"/>
      <c r="N32" s="41" t="e">
        <f ca="1">[2]!interpol(A32,[5]CN_CON10_D4!$A$1:$A$20,[5]CN_CON10_D4!$B$1:$B$20)</f>
        <v>#NAME?</v>
      </c>
      <c r="O32" s="41" t="e">
        <f ca="1">[2]!interpol(A32,[5]CN_CON15_D4!$A$1:$A$20,[5]CN_CON15_D4!$B$1:$B$20)</f>
        <v>#NAME?</v>
      </c>
      <c r="P32" s="89" t="e">
        <f ca="1">[2]!interpol(P$3,N$3:O$3,N32:O32)</f>
        <v>#NAME?</v>
      </c>
      <c r="R32" s="87" t="e">
        <f ca="1">[2]!interpol($A32,[5]XCP_CON10_D0!$A$1:$A$26,[5]XCP_CON10_D0!$B$1:$B$26)</f>
        <v>#NAME?</v>
      </c>
      <c r="S32" s="41" t="e">
        <f ca="1">[2]!interpol($A32,[5]XCP_CON15_D0!$A$1:$A$26,[5]XCP_CON15_D0!$B$1:$B$26)</f>
        <v>#NAME?</v>
      </c>
      <c r="T32" s="41" t="e">
        <f t="shared" ca="1" si="0"/>
        <v>#NAME?</v>
      </c>
      <c r="U32" s="41"/>
      <c r="V32" s="41" t="e">
        <f ca="1">[2]!interpol($A32,[5]XCP_CON10_D4!$A$1:$A$26,[5]XCP_CON10_D4!$B$1:$B$26)</f>
        <v>#NAME?</v>
      </c>
      <c r="W32" s="41" t="e">
        <f ca="1">[2]!interpol($A32,[5]XCP_CON15_D4!$A$1:$A$26,[5]XCP_CON15_D4!$B$1:$B$26)</f>
        <v>#NAME?</v>
      </c>
      <c r="X32" s="89" t="e">
        <f t="shared" ca="1" si="1"/>
        <v>#NAME?</v>
      </c>
    </row>
    <row r="33" spans="1:24">
      <c r="A33" s="112">
        <v>3.9</v>
      </c>
      <c r="B33" s="87">
        <v>0.10258024</v>
      </c>
      <c r="C33" s="41" t="e">
        <f ca="1">[2]!interpol(A33,[5]CA_CON15_D0!$A$1:$A$21,[5]CA_CON15_D0!$B$1:$B$21)</f>
        <v>#NAME?</v>
      </c>
      <c r="D33" s="41" t="e">
        <f ca="1">[2]!interpol(D$3,B$3:C$3,B33:C33)</f>
        <v>#NAME?</v>
      </c>
      <c r="E33" s="41"/>
      <c r="F33" s="41" t="e">
        <f ca="1">[2]!interpol(A33,[5]CA_CON10_D4!$A$1:$A$20,[5]CA_CON10_D4!$B$1:$B$20)</f>
        <v>#NAME?</v>
      </c>
      <c r="G33" s="41" t="e">
        <f ca="1">[2]!interpol(A33,[5]CA_CON15_D4!$A$1:$A$20,[5]CA_CON15_D4!$B$1:$B$20)</f>
        <v>#NAME?</v>
      </c>
      <c r="H33" s="89" t="e">
        <f ca="1">[2]!interpol(H$3,F$3:G$3,F33:G33)</f>
        <v>#NAME?</v>
      </c>
      <c r="J33" s="87" t="e">
        <f ca="1">[2]!interpol(A33,[5]CN_CON10_D0!$A$1:$A$21,[5]CN_CON10_D0!$B$1:$B$21)</f>
        <v>#NAME?</v>
      </c>
      <c r="K33" s="41" t="e">
        <f ca="1">[2]!interpol(A33,[5]CN_CON15_D0!$A$1:$A$21,[5]CN_CON15_D0!$B$1:$B$21)</f>
        <v>#NAME?</v>
      </c>
      <c r="L33" s="41" t="e">
        <f ca="1">[2]!interpol(L$3,J$3:K$3,J33:K33)</f>
        <v>#NAME?</v>
      </c>
      <c r="M33" s="41"/>
      <c r="N33" s="41" t="e">
        <f ca="1">[2]!interpol(A33,[5]CN_CON10_D4!$A$1:$A$20,[5]CN_CON10_D4!$B$1:$B$20)</f>
        <v>#NAME?</v>
      </c>
      <c r="O33" s="41" t="e">
        <f ca="1">[2]!interpol(A33,[5]CN_CON15_D4!$A$1:$A$20,[5]CN_CON15_D4!$B$1:$B$20)</f>
        <v>#NAME?</v>
      </c>
      <c r="P33" s="89" t="e">
        <f ca="1">[2]!interpol(P$3,N$3:O$3,N33:O33)</f>
        <v>#NAME?</v>
      </c>
      <c r="R33" s="87" t="e">
        <f ca="1">[2]!interpol($A33,[5]XCP_CON10_D0!$A$1:$A$26,[5]XCP_CON10_D0!$B$1:$B$26)</f>
        <v>#NAME?</v>
      </c>
      <c r="S33" s="41" t="e">
        <f ca="1">[2]!interpol($A33,[5]XCP_CON15_D0!$A$1:$A$26,[5]XCP_CON15_D0!$B$1:$B$26)</f>
        <v>#NAME?</v>
      </c>
      <c r="T33" s="41" t="e">
        <f t="shared" ca="1" si="0"/>
        <v>#NAME?</v>
      </c>
      <c r="U33" s="41"/>
      <c r="V33" s="41" t="e">
        <f ca="1">[2]!interpol($A33,[5]XCP_CON10_D4!$A$1:$A$26,[5]XCP_CON10_D4!$B$1:$B$26)</f>
        <v>#NAME?</v>
      </c>
      <c r="W33" s="41" t="e">
        <f ca="1">[2]!interpol($A33,[5]XCP_CON15_D4!$A$1:$A$26,[5]XCP_CON15_D4!$B$1:$B$26)</f>
        <v>#NAME?</v>
      </c>
      <c r="X33" s="89" t="e">
        <f t="shared" ca="1" si="1"/>
        <v>#NAME?</v>
      </c>
    </row>
    <row r="34" spans="1:24">
      <c r="A34" s="112">
        <v>4.0999999999999996</v>
      </c>
      <c r="B34" s="87">
        <v>0.102228281</v>
      </c>
      <c r="C34" s="41" t="e">
        <f ca="1">[2]!interpol(A34,[5]CA_CON15_D0!$A$1:$A$21,[5]CA_CON15_D0!$B$1:$B$21)</f>
        <v>#NAME?</v>
      </c>
      <c r="D34" s="41" t="e">
        <f ca="1">[2]!interpol(D$3,B$3:C$3,B34:C34)</f>
        <v>#NAME?</v>
      </c>
      <c r="E34" s="41"/>
      <c r="F34" s="41" t="e">
        <f ca="1">[2]!interpol(A34,[5]CA_CON10_D4!$A$1:$A$20,[5]CA_CON10_D4!$B$1:$B$20)</f>
        <v>#NAME?</v>
      </c>
      <c r="G34" s="41" t="e">
        <f ca="1">[2]!interpol(A34,[5]CA_CON15_D4!$A$1:$A$20,[5]CA_CON15_D4!$B$1:$B$20)</f>
        <v>#NAME?</v>
      </c>
      <c r="H34" s="89" t="e">
        <f ca="1">[2]!interpol(H$3,F$3:G$3,F34:G34)</f>
        <v>#NAME?</v>
      </c>
      <c r="J34" s="87" t="e">
        <f ca="1">[2]!interpol(A34,[5]CN_CON10_D0!$A$1:$A$21,[5]CN_CON10_D0!$B$1:$B$21)</f>
        <v>#NAME?</v>
      </c>
      <c r="K34" s="41" t="e">
        <f ca="1">[2]!interpol(A34,[5]CN_CON15_D0!$A$1:$A$21,[5]CN_CON15_D0!$B$1:$B$21)</f>
        <v>#NAME?</v>
      </c>
      <c r="L34" s="41" t="e">
        <f ca="1">[2]!interpol(L$3,J$3:K$3,J34:K34)</f>
        <v>#NAME?</v>
      </c>
      <c r="M34" s="41"/>
      <c r="N34" s="41" t="e">
        <f ca="1">[2]!interpol(A34,[5]CN_CON10_D4!$A$1:$A$20,[5]CN_CON10_D4!$B$1:$B$20)</f>
        <v>#NAME?</v>
      </c>
      <c r="O34" s="41" t="e">
        <f ca="1">[2]!interpol(A34,[5]CN_CON15_D4!$A$1:$A$20,[5]CN_CON15_D4!$B$1:$B$20)</f>
        <v>#NAME?</v>
      </c>
      <c r="P34" s="89" t="e">
        <f ca="1">[2]!interpol(P$3,N$3:O$3,N34:O34)</f>
        <v>#NAME?</v>
      </c>
      <c r="R34" s="87" t="e">
        <f ca="1">[2]!interpol($A34,[5]XCP_CON10_D0!$A$1:$A$26,[5]XCP_CON10_D0!$B$1:$B$26)</f>
        <v>#NAME?</v>
      </c>
      <c r="S34" s="41" t="e">
        <f ca="1">[2]!interpol($A34,[5]XCP_CON15_D0!$A$1:$A$26,[5]XCP_CON15_D0!$B$1:$B$26)</f>
        <v>#NAME?</v>
      </c>
      <c r="T34" s="41" t="e">
        <f t="shared" ca="1" si="0"/>
        <v>#NAME?</v>
      </c>
      <c r="U34" s="41"/>
      <c r="V34" s="41" t="e">
        <f ca="1">[2]!interpol($A34,[5]XCP_CON10_D4!$A$1:$A$26,[5]XCP_CON10_D4!$B$1:$B$26)</f>
        <v>#NAME?</v>
      </c>
      <c r="W34" s="41" t="e">
        <f ca="1">[2]!interpol($A34,[5]XCP_CON15_D4!$A$1:$A$26,[5]XCP_CON15_D4!$B$1:$B$26)</f>
        <v>#NAME?</v>
      </c>
      <c r="X34" s="89" t="e">
        <f t="shared" ca="1" si="1"/>
        <v>#NAME?</v>
      </c>
    </row>
    <row r="35" spans="1:24">
      <c r="A35" s="112">
        <v>4.3</v>
      </c>
      <c r="B35" s="87">
        <v>0.102382397</v>
      </c>
      <c r="C35" s="41" t="e">
        <f ca="1">[2]!interpol(A35,[5]CA_CON15_D0!$A$1:$A$21,[5]CA_CON15_D0!$B$1:$B$21)</f>
        <v>#NAME?</v>
      </c>
      <c r="D35" s="41" t="e">
        <f ca="1">[2]!interpol(D$3,B$3:C$3,B35:C35)</f>
        <v>#NAME?</v>
      </c>
      <c r="E35" s="41"/>
      <c r="F35" s="41" t="e">
        <f ca="1">[2]!interpol(A35,[5]CA_CON10_D4!$A$1:$A$20,[5]CA_CON10_D4!$B$1:$B$20)</f>
        <v>#NAME?</v>
      </c>
      <c r="G35" s="41" t="e">
        <f ca="1">[2]!interpol(A35,[5]CA_CON15_D4!$A$1:$A$20,[5]CA_CON15_D4!$B$1:$B$20)</f>
        <v>#NAME?</v>
      </c>
      <c r="H35" s="89" t="e">
        <f ca="1">[2]!interpol(H$3,F$3:G$3,F35:G35)</f>
        <v>#NAME?</v>
      </c>
      <c r="J35" s="87" t="e">
        <f ca="1">[2]!interpol(A35,[5]CN_CON10_D0!$A$1:$A$21,[5]CN_CON10_D0!$B$1:$B$21)</f>
        <v>#NAME?</v>
      </c>
      <c r="K35" s="41" t="e">
        <f ca="1">[2]!interpol(A35,[5]CN_CON15_D0!$A$1:$A$21,[5]CN_CON15_D0!$B$1:$B$21)</f>
        <v>#NAME?</v>
      </c>
      <c r="L35" s="41" t="e">
        <f ca="1">[2]!interpol(L$3,J$3:K$3,J35:K35)</f>
        <v>#NAME?</v>
      </c>
      <c r="M35" s="41"/>
      <c r="N35" s="41" t="e">
        <f ca="1">[2]!interpol(A35,[5]CN_CON10_D4!$A$1:$A$20,[5]CN_CON10_D4!$B$1:$B$20)</f>
        <v>#NAME?</v>
      </c>
      <c r="O35" s="41" t="e">
        <f ca="1">[2]!interpol(A35,[5]CN_CON15_D4!$A$1:$A$20,[5]CN_CON15_D4!$B$1:$B$20)</f>
        <v>#NAME?</v>
      </c>
      <c r="P35" s="89" t="e">
        <f ca="1">[2]!interpol(P$3,N$3:O$3,N35:O35)</f>
        <v>#NAME?</v>
      </c>
      <c r="R35" s="87" t="e">
        <f ca="1">[2]!interpol($A35,[5]XCP_CON10_D0!$A$1:$A$26,[5]XCP_CON10_D0!$B$1:$B$26)</f>
        <v>#NAME?</v>
      </c>
      <c r="S35" s="41" t="e">
        <f ca="1">[2]!interpol($A35,[5]XCP_CON15_D0!$A$1:$A$26,[5]XCP_CON15_D0!$B$1:$B$26)</f>
        <v>#NAME?</v>
      </c>
      <c r="T35" s="41" t="e">
        <f t="shared" ca="1" si="0"/>
        <v>#NAME?</v>
      </c>
      <c r="U35" s="41"/>
      <c r="V35" s="41" t="e">
        <f ca="1">[2]!interpol($A35,[5]XCP_CON10_D4!$A$1:$A$26,[5]XCP_CON10_D4!$B$1:$B$26)</f>
        <v>#NAME?</v>
      </c>
      <c r="W35" s="41" t="e">
        <f ca="1">[2]!interpol($A35,[5]XCP_CON15_D4!$A$1:$A$26,[5]XCP_CON15_D4!$B$1:$B$26)</f>
        <v>#NAME?</v>
      </c>
      <c r="X35" s="89" t="e">
        <f t="shared" ca="1" si="1"/>
        <v>#NAME?</v>
      </c>
    </row>
    <row r="36" spans="1:24">
      <c r="A36" s="112">
        <v>4.5</v>
      </c>
      <c r="B36" s="87">
        <v>0.102536514</v>
      </c>
      <c r="C36" s="41" t="e">
        <f ca="1">[2]!interpol(A36,[5]CA_CON15_D0!$A$1:$A$21,[5]CA_CON15_D0!$B$1:$B$21)</f>
        <v>#NAME?</v>
      </c>
      <c r="D36" s="41" t="e">
        <f ca="1">[2]!interpol(D$3,B$3:C$3,B36:C36)</f>
        <v>#NAME?</v>
      </c>
      <c r="E36" s="41"/>
      <c r="F36" s="41" t="e">
        <f ca="1">[2]!interpol(A36,[5]CA_CON10_D4!$A$1:$A$20,[5]CA_CON10_D4!$B$1:$B$20)</f>
        <v>#NAME?</v>
      </c>
      <c r="G36" s="41" t="e">
        <f ca="1">[2]!interpol(A36,[5]CA_CON15_D4!$A$1:$A$20,[5]CA_CON15_D4!$B$1:$B$20)</f>
        <v>#NAME?</v>
      </c>
      <c r="H36" s="89" t="e">
        <f ca="1">[2]!interpol(H$3,F$3:G$3,F36:G36)</f>
        <v>#NAME?</v>
      </c>
      <c r="J36" s="87" t="e">
        <f ca="1">[2]!interpol(A36,[5]CN_CON10_D0!$A$1:$A$21,[5]CN_CON10_D0!$B$1:$B$21)</f>
        <v>#NAME?</v>
      </c>
      <c r="K36" s="41" t="e">
        <f ca="1">[2]!interpol(A36,[5]CN_CON15_D0!$A$1:$A$21,[5]CN_CON15_D0!$B$1:$B$21)</f>
        <v>#NAME?</v>
      </c>
      <c r="L36" s="41" t="e">
        <f ca="1">[2]!interpol(L$3,J$3:K$3,J36:K36)</f>
        <v>#NAME?</v>
      </c>
      <c r="M36" s="41"/>
      <c r="N36" s="41" t="e">
        <f ca="1">[2]!interpol(A36,[5]CN_CON10_D4!$A$1:$A$20,[5]CN_CON10_D4!$B$1:$B$20)</f>
        <v>#NAME?</v>
      </c>
      <c r="O36" s="41" t="e">
        <f ca="1">[2]!interpol(A36,[5]CN_CON15_D4!$A$1:$A$20,[5]CN_CON15_D4!$B$1:$B$20)</f>
        <v>#NAME?</v>
      </c>
      <c r="P36" s="89" t="e">
        <f ca="1">[2]!interpol(P$3,N$3:O$3,N36:O36)</f>
        <v>#NAME?</v>
      </c>
      <c r="R36" s="87" t="e">
        <f ca="1">[2]!interpol($A36,[5]XCP_CON10_D0!$A$1:$A$26,[5]XCP_CON10_D0!$B$1:$B$26)</f>
        <v>#NAME?</v>
      </c>
      <c r="S36" s="41" t="e">
        <f ca="1">[2]!interpol($A36,[5]XCP_CON15_D0!$A$1:$A$26,[5]XCP_CON15_D0!$B$1:$B$26)</f>
        <v>#NAME?</v>
      </c>
      <c r="T36" s="41" t="e">
        <f t="shared" ca="1" si="0"/>
        <v>#NAME?</v>
      </c>
      <c r="U36" s="41"/>
      <c r="V36" s="41" t="e">
        <f ca="1">[2]!interpol($A36,[5]XCP_CON10_D4!$A$1:$A$26,[5]XCP_CON10_D4!$B$1:$B$26)</f>
        <v>#NAME?</v>
      </c>
      <c r="W36" s="41" t="e">
        <f ca="1">[2]!interpol($A36,[5]XCP_CON15_D4!$A$1:$A$26,[5]XCP_CON15_D4!$B$1:$B$26)</f>
        <v>#NAME?</v>
      </c>
      <c r="X36" s="89" t="e">
        <f t="shared" ca="1" si="1"/>
        <v>#NAME?</v>
      </c>
    </row>
    <row r="37" spans="1:24">
      <c r="A37" s="112">
        <v>4.7</v>
      </c>
      <c r="B37" s="87">
        <v>0.102690631</v>
      </c>
      <c r="C37" s="41" t="e">
        <f ca="1">[2]!interpol(A37,[5]CA_CON15_D0!$A$1:$A$21,[5]CA_CON15_D0!$B$1:$B$21)</f>
        <v>#NAME?</v>
      </c>
      <c r="D37" s="41" t="e">
        <f ca="1">[2]!interpol(D$3,B$3:C$3,B37:C37)</f>
        <v>#NAME?</v>
      </c>
      <c r="E37" s="41"/>
      <c r="F37" s="41" t="e">
        <f ca="1">[2]!interpol(A37,[5]CA_CON10_D4!$A$1:$A$20,[5]CA_CON10_D4!$B$1:$B$20)</f>
        <v>#NAME?</v>
      </c>
      <c r="G37" s="41" t="e">
        <f ca="1">[2]!interpol(A37,[5]CA_CON15_D4!$A$1:$A$20,[5]CA_CON15_D4!$B$1:$B$20)</f>
        <v>#NAME?</v>
      </c>
      <c r="H37" s="89" t="e">
        <f ca="1">[2]!interpol(H$3,F$3:G$3,F37:G37)</f>
        <v>#NAME?</v>
      </c>
      <c r="J37" s="87" t="e">
        <f ca="1">[2]!interpol(A37,[5]CN_CON10_D0!$A$1:$A$21,[5]CN_CON10_D0!$B$1:$B$21)</f>
        <v>#NAME?</v>
      </c>
      <c r="K37" s="41" t="e">
        <f ca="1">[2]!interpol(A37,[5]CN_CON15_D0!$A$1:$A$21,[5]CN_CON15_D0!$B$1:$B$21)</f>
        <v>#NAME?</v>
      </c>
      <c r="L37" s="41" t="e">
        <f ca="1">[2]!interpol(L$3,J$3:K$3,J37:K37)</f>
        <v>#NAME?</v>
      </c>
      <c r="M37" s="41"/>
      <c r="N37" s="41" t="e">
        <f ca="1">[2]!interpol(A37,[5]CN_CON10_D4!$A$1:$A$20,[5]CN_CON10_D4!$B$1:$B$20)</f>
        <v>#NAME?</v>
      </c>
      <c r="O37" s="41" t="e">
        <f ca="1">[2]!interpol(A37,[5]CN_CON15_D4!$A$1:$A$20,[5]CN_CON15_D4!$B$1:$B$20)</f>
        <v>#NAME?</v>
      </c>
      <c r="P37" s="89" t="e">
        <f ca="1">[2]!interpol(P$3,N$3:O$3,N37:O37)</f>
        <v>#NAME?</v>
      </c>
      <c r="R37" s="87" t="e">
        <f ca="1">[2]!interpol($A37,[5]XCP_CON10_D0!$A$1:$A$26,[5]XCP_CON10_D0!$B$1:$B$26)</f>
        <v>#NAME?</v>
      </c>
      <c r="S37" s="41" t="e">
        <f ca="1">[2]!interpol($A37,[5]XCP_CON15_D0!$A$1:$A$26,[5]XCP_CON15_D0!$B$1:$B$26)</f>
        <v>#NAME?</v>
      </c>
      <c r="T37" s="41" t="e">
        <f t="shared" ca="1" si="0"/>
        <v>#NAME?</v>
      </c>
      <c r="U37" s="41"/>
      <c r="V37" s="41" t="e">
        <f ca="1">[2]!interpol($A37,[5]XCP_CON10_D4!$A$1:$A$26,[5]XCP_CON10_D4!$B$1:$B$26)</f>
        <v>#NAME?</v>
      </c>
      <c r="W37" s="41" t="e">
        <f ca="1">[2]!interpol($A37,[5]XCP_CON15_D4!$A$1:$A$26,[5]XCP_CON15_D4!$B$1:$B$26)</f>
        <v>#NAME?</v>
      </c>
      <c r="X37" s="89" t="e">
        <f t="shared" ca="1" si="1"/>
        <v>#NAME?</v>
      </c>
    </row>
    <row r="38" spans="1:24">
      <c r="A38" s="113">
        <v>4.9000000000000004</v>
      </c>
      <c r="B38" s="90">
        <v>0.102844747</v>
      </c>
      <c r="C38" s="92" t="e">
        <f ca="1">[2]!interpol(A38,[5]CA_CON15_D0!$A$1:$A$21,[5]CA_CON15_D0!$B$1:$B$21)</f>
        <v>#NAME?</v>
      </c>
      <c r="D38" s="92" t="e">
        <f ca="1">[2]!interpol(D$3,B$3:C$3,B38:C38)</f>
        <v>#NAME?</v>
      </c>
      <c r="E38" s="92"/>
      <c r="F38" s="92" t="e">
        <f ca="1">[2]!interpol(A38,[5]CA_CON10_D4!$A$1:$A$20,[5]CA_CON10_D4!$B$1:$B$20)</f>
        <v>#NAME?</v>
      </c>
      <c r="G38" s="92" t="e">
        <f ca="1">[2]!interpol(A38,[5]CA_CON15_D4!$A$1:$A$20,[5]CA_CON15_D4!$B$1:$B$20)</f>
        <v>#NAME?</v>
      </c>
      <c r="H38" s="93" t="e">
        <f ca="1">[2]!interpol(H$3,F$3:G$3,F38:G38)</f>
        <v>#NAME?</v>
      </c>
      <c r="J38" s="90" t="e">
        <f ca="1">[2]!interpol(A38,[5]CN_CON10_D0!$A$1:$A$21,[5]CN_CON10_D0!$B$1:$B$21)</f>
        <v>#NAME?</v>
      </c>
      <c r="K38" s="92" t="e">
        <f ca="1">[2]!interpol(A38,[5]CN_CON15_D0!$A$1:$A$21,[5]CN_CON15_D0!$B$1:$B$21)</f>
        <v>#NAME?</v>
      </c>
      <c r="L38" s="92" t="e">
        <f ca="1">[2]!interpol(L$3,J$3:K$3,J38:K38)</f>
        <v>#NAME?</v>
      </c>
      <c r="M38" s="92"/>
      <c r="N38" s="92" t="e">
        <f ca="1">[2]!interpol(A38,[5]CN_CON10_D4!$A$1:$A$20,[5]CN_CON10_D4!$B$1:$B$20)</f>
        <v>#NAME?</v>
      </c>
      <c r="O38" s="92" t="e">
        <f ca="1">[2]!interpol(A38,[5]CN_CON15_D4!$A$1:$A$20,[5]CN_CON15_D4!$B$1:$B$20)</f>
        <v>#NAME?</v>
      </c>
      <c r="P38" s="93" t="e">
        <f ca="1">[2]!interpol(P$3,N$3:O$3,N38:O38)</f>
        <v>#NAME?</v>
      </c>
      <c r="R38" s="90" t="e">
        <f ca="1">[2]!interpol($A38,[5]XCP_CON10_D0!$A$1:$A$26,[5]XCP_CON10_D0!$B$1:$B$26)</f>
        <v>#NAME?</v>
      </c>
      <c r="S38" s="92" t="e">
        <f ca="1">[2]!interpol($A38,[5]XCP_CON15_D0!$A$1:$A$26,[5]XCP_CON15_D0!$B$1:$B$26)</f>
        <v>#NAME?</v>
      </c>
      <c r="T38" s="92" t="e">
        <f t="shared" ca="1" si="0"/>
        <v>#NAME?</v>
      </c>
      <c r="U38" s="92"/>
      <c r="V38" s="92" t="e">
        <f ca="1">[2]!interpol($A38,[5]XCP_CON10_D4!$A$1:$A$26,[5]XCP_CON10_D4!$B$1:$B$26)</f>
        <v>#NAME?</v>
      </c>
      <c r="W38" s="92" t="e">
        <f ca="1">[2]!interpol($A38,[5]XCP_CON15_D4!$A$1:$A$26,[5]XCP_CON15_D4!$B$1:$B$26)</f>
        <v>#NAME?</v>
      </c>
      <c r="X38" s="93" t="e">
        <f t="shared" ca="1" si="1"/>
        <v>#NAME?</v>
      </c>
    </row>
    <row r="40" spans="1:24">
      <c r="A40" s="78" t="s">
        <v>244</v>
      </c>
    </row>
    <row r="41" spans="1:24">
      <c r="A41" s="104" t="s">
        <v>205</v>
      </c>
      <c r="B41" s="83">
        <v>5</v>
      </c>
      <c r="C41" s="85">
        <v>8</v>
      </c>
      <c r="D41" s="85">
        <v>10</v>
      </c>
      <c r="E41" s="85">
        <v>13</v>
      </c>
      <c r="F41" s="85">
        <v>15</v>
      </c>
      <c r="G41" s="85">
        <v>18</v>
      </c>
      <c r="H41" s="86">
        <v>20</v>
      </c>
      <c r="I41" s="118">
        <v>12</v>
      </c>
      <c r="J41" t="s">
        <v>246</v>
      </c>
      <c r="K41">
        <v>2</v>
      </c>
    </row>
    <row r="42" spans="1:24">
      <c r="A42" s="115" t="s">
        <v>214</v>
      </c>
      <c r="B42" s="90" t="s">
        <v>245</v>
      </c>
      <c r="C42" s="92" t="s">
        <v>245</v>
      </c>
      <c r="D42" s="92" t="s">
        <v>245</v>
      </c>
      <c r="E42" s="92" t="s">
        <v>245</v>
      </c>
      <c r="F42" s="92" t="s">
        <v>245</v>
      </c>
      <c r="G42" s="92" t="s">
        <v>245</v>
      </c>
      <c r="H42" s="93" t="s">
        <v>245</v>
      </c>
      <c r="I42" s="117" t="s">
        <v>245</v>
      </c>
      <c r="J42" s="75" t="s">
        <v>247</v>
      </c>
      <c r="K42" s="75">
        <v>10</v>
      </c>
      <c r="L42" s="130" t="s">
        <v>207</v>
      </c>
    </row>
    <row r="43" spans="1:24">
      <c r="A43" s="116">
        <v>0.5</v>
      </c>
      <c r="B43" s="83">
        <v>4.8120123554382332E-2</v>
      </c>
      <c r="C43" s="85">
        <v>6.3946714130694846E-2</v>
      </c>
      <c r="D43" s="85">
        <v>5.7795449398834027E-2</v>
      </c>
      <c r="E43" s="85">
        <v>0.10501581689027148</v>
      </c>
      <c r="F43" s="85">
        <v>0.11981484834126789</v>
      </c>
      <c r="G43" s="85">
        <v>0.14125713751929028</v>
      </c>
      <c r="H43" s="86">
        <v>0.1625755492562603</v>
      </c>
      <c r="I43" s="112" t="e">
        <f ca="1">[2]!interpol(I$41,B$41:H$41,B43:H43)</f>
        <v>#NAME?</v>
      </c>
      <c r="J43" t="s">
        <v>248</v>
      </c>
      <c r="K43">
        <v>5</v>
      </c>
      <c r="L43" s="112" t="e">
        <f ca="1">I43*PI()*(K$42^2-K$41^2)/K$43</f>
        <v>#NAME?</v>
      </c>
    </row>
    <row r="44" spans="1:24">
      <c r="A44" s="112">
        <v>0.6</v>
      </c>
      <c r="B44" s="87">
        <v>5.2004385424457608E-2</v>
      </c>
      <c r="C44" s="41">
        <v>6.8533053142707037E-2</v>
      </c>
      <c r="D44" s="41">
        <v>8.0498968555217432E-2</v>
      </c>
      <c r="E44" s="41">
        <v>0.12166612083413023</v>
      </c>
      <c r="F44" s="41">
        <v>0.13350472752581211</v>
      </c>
      <c r="G44" s="41">
        <v>0.15587372462212723</v>
      </c>
      <c r="H44" s="89">
        <v>0.18183645743843155</v>
      </c>
      <c r="I44" s="112" t="e">
        <f ca="1">[2]!interpol(I$41,B$41:H$41,B44:H44)</f>
        <v>#NAME?</v>
      </c>
      <c r="L44" s="112" t="e">
        <f t="shared" ref="L44:L71" ca="1" si="2">I44*PI()*(K$42^2-K$41^2)/K$43</f>
        <v>#NAME?</v>
      </c>
    </row>
    <row r="45" spans="1:24">
      <c r="A45" s="112">
        <v>0.7</v>
      </c>
      <c r="B45" s="87">
        <v>5.6633115813711006E-2</v>
      </c>
      <c r="C45" s="41">
        <v>7.5899319211984229E-2</v>
      </c>
      <c r="D45" s="41">
        <v>0.10320248771160083</v>
      </c>
      <c r="E45" s="41">
        <v>0.14455212148037203</v>
      </c>
      <c r="F45" s="41">
        <v>0.1548484857884205</v>
      </c>
      <c r="G45" s="41">
        <v>0.18043788493431853</v>
      </c>
      <c r="H45" s="89">
        <v>0.20736008858597935</v>
      </c>
      <c r="I45" s="112" t="e">
        <f ca="1">[2]!interpol(I$41,B$41:H$41,B45:H45)</f>
        <v>#NAME?</v>
      </c>
      <c r="L45" s="112" t="e">
        <f t="shared" ca="1" si="2"/>
        <v>#NAME?</v>
      </c>
    </row>
    <row r="46" spans="1:24">
      <c r="A46" s="112">
        <v>0.8</v>
      </c>
      <c r="B46" s="87">
        <v>6.5477215222205815E-2</v>
      </c>
      <c r="C46" s="41">
        <v>8.5213191159939028E-2</v>
      </c>
      <c r="D46" s="41">
        <v>0.12691558989307675</v>
      </c>
      <c r="E46" s="41">
        <v>0.17069767738670524</v>
      </c>
      <c r="F46" s="41">
        <v>0.18078361219365804</v>
      </c>
      <c r="G46" s="41">
        <v>0.21038884530825336</v>
      </c>
      <c r="H46" s="89">
        <v>0.23904979432109758</v>
      </c>
      <c r="I46" s="112" t="e">
        <f ca="1">[2]!interpol(I$41,B$41:H$41,B46:H46)</f>
        <v>#NAME?</v>
      </c>
      <c r="L46" s="112" t="e">
        <f t="shared" ca="1" si="2"/>
        <v>#NAME?</v>
      </c>
    </row>
    <row r="47" spans="1:24">
      <c r="A47" s="112">
        <v>0.9</v>
      </c>
      <c r="B47" s="87">
        <v>8.3270011256288398E-2</v>
      </c>
      <c r="C47" s="41">
        <v>0.1099782720897705</v>
      </c>
      <c r="D47" s="41">
        <v>0.15987368005962221</v>
      </c>
      <c r="E47" s="41">
        <v>0.20335826757077446</v>
      </c>
      <c r="F47" s="41">
        <v>0.22469576754675286</v>
      </c>
      <c r="G47" s="41">
        <v>0.26013139157690363</v>
      </c>
      <c r="H47" s="89">
        <v>0.32305924863706714</v>
      </c>
      <c r="I47" s="112" t="e">
        <f ca="1">[2]!interpol(I$41,B$41:H$41,B47:H47)</f>
        <v>#NAME?</v>
      </c>
      <c r="L47" s="112" t="e">
        <f t="shared" ca="1" si="2"/>
        <v>#NAME?</v>
      </c>
    </row>
    <row r="48" spans="1:24">
      <c r="A48" s="112">
        <v>0.92</v>
      </c>
      <c r="B48" s="87">
        <v>8.8486843239211882E-2</v>
      </c>
      <c r="C48" s="41">
        <v>0.11562762969869153</v>
      </c>
      <c r="D48" s="41">
        <v>0.16646529809293131</v>
      </c>
      <c r="E48" s="41">
        <v>0.21145260226049298</v>
      </c>
      <c r="F48" s="41">
        <v>0.2359308885935863</v>
      </c>
      <c r="G48" s="41">
        <v>0.28413123354507724</v>
      </c>
      <c r="H48" s="89">
        <v>0.36969972510319932</v>
      </c>
      <c r="I48" s="112" t="e">
        <f ca="1">[2]!interpol(I$41,B$41:H$41,B48:H48)</f>
        <v>#NAME?</v>
      </c>
      <c r="L48" s="112" t="e">
        <f t="shared" ca="1" si="2"/>
        <v>#NAME?</v>
      </c>
    </row>
    <row r="49" spans="1:12">
      <c r="A49" s="112">
        <v>0.94</v>
      </c>
      <c r="B49" s="87">
        <v>9.4017609682369885E-2</v>
      </c>
      <c r="C49" s="41">
        <v>0.12374759616926223</v>
      </c>
      <c r="D49" s="41">
        <v>0.1771232657813194</v>
      </c>
      <c r="E49" s="41">
        <v>0.21954693695021146</v>
      </c>
      <c r="F49" s="41">
        <v>0.24716600964041968</v>
      </c>
      <c r="G49" s="41">
        <v>0.31122302299669485</v>
      </c>
      <c r="H49" s="89">
        <v>0.42071503481676764</v>
      </c>
      <c r="I49" s="112" t="e">
        <f ca="1">[2]!interpol(I$41,B$41:H$41,B49:H49)</f>
        <v>#NAME?</v>
      </c>
      <c r="L49" s="112" t="e">
        <f t="shared" ca="1" si="2"/>
        <v>#NAME?</v>
      </c>
    </row>
    <row r="50" spans="1:12">
      <c r="A50" s="112">
        <v>0.96</v>
      </c>
      <c r="B50" s="87">
        <v>9.9292639526506909E-2</v>
      </c>
      <c r="C50" s="41">
        <v>0.13252922324120076</v>
      </c>
      <c r="D50" s="41">
        <v>0.18857301104585239</v>
      </c>
      <c r="E50" s="41">
        <v>0.22764127163992998</v>
      </c>
      <c r="F50" s="41">
        <v>0.26488331429341805</v>
      </c>
      <c r="G50" s="41">
        <v>0.34620649752359456</v>
      </c>
      <c r="H50" s="89">
        <v>0.46646420046318204</v>
      </c>
      <c r="I50" s="112" t="e">
        <f ca="1">[2]!interpol(I$41,B$41:H$41,B50:H50)</f>
        <v>#NAME?</v>
      </c>
      <c r="L50" s="112" t="e">
        <f t="shared" ca="1" si="2"/>
        <v>#NAME?</v>
      </c>
    </row>
    <row r="51" spans="1:12">
      <c r="A51" s="112">
        <v>0.98</v>
      </c>
      <c r="B51" s="87">
        <v>0.10431459721411597</v>
      </c>
      <c r="C51" s="41">
        <v>0.14131085031313931</v>
      </c>
      <c r="D51" s="41">
        <v>0.20002275631038541</v>
      </c>
      <c r="E51" s="41">
        <v>0.25087856984284007</v>
      </c>
      <c r="F51" s="41">
        <v>0.29531960387451656</v>
      </c>
      <c r="G51" s="41">
        <v>0.37852771932781437</v>
      </c>
      <c r="H51" s="89">
        <v>0.50282399716551252</v>
      </c>
      <c r="I51" s="112" t="e">
        <f ca="1">[2]!interpol(I$41,B$41:H$41,B51:H51)</f>
        <v>#NAME?</v>
      </c>
      <c r="L51" s="112" t="e">
        <f t="shared" ca="1" si="2"/>
        <v>#NAME?</v>
      </c>
    </row>
    <row r="52" spans="1:12">
      <c r="A52" s="112">
        <v>1</v>
      </c>
      <c r="B52" s="87">
        <v>0.10985306717548897</v>
      </c>
      <c r="C52" s="41">
        <v>0.15009247738507783</v>
      </c>
      <c r="D52" s="41">
        <v>0.2115566807853837</v>
      </c>
      <c r="E52" s="41">
        <v>0.277866541414094</v>
      </c>
      <c r="F52" s="41">
        <v>0.33263689805309898</v>
      </c>
      <c r="G52" s="41">
        <v>0.40841206969712002</v>
      </c>
      <c r="H52" s="89">
        <v>0.52887181059965838</v>
      </c>
      <c r="I52" s="112" t="e">
        <f ca="1">[2]!interpol(I$41,B$41:H$41,B52:H52)</f>
        <v>#NAME?</v>
      </c>
      <c r="L52" s="112" t="e">
        <f t="shared" ca="1" si="2"/>
        <v>#NAME?</v>
      </c>
    </row>
    <row r="53" spans="1:12">
      <c r="A53" s="112">
        <v>1.02</v>
      </c>
      <c r="B53" s="87">
        <v>0.11669745809762203</v>
      </c>
      <c r="C53" s="41">
        <v>0.16594378598530293</v>
      </c>
      <c r="D53" s="41">
        <v>0.23184878009038876</v>
      </c>
      <c r="E53" s="41">
        <v>0.3129147778921994</v>
      </c>
      <c r="F53" s="41">
        <v>0.36341142609711574</v>
      </c>
      <c r="G53" s="41">
        <v>0.4309458534882416</v>
      </c>
      <c r="H53" s="89">
        <v>0.54618831561904768</v>
      </c>
      <c r="I53" s="112" t="e">
        <f ca="1">[2]!interpol(I$41,B$41:H$41,B53:H53)</f>
        <v>#NAME?</v>
      </c>
      <c r="L53" s="112" t="e">
        <f t="shared" ca="1" si="2"/>
        <v>#NAME?</v>
      </c>
    </row>
    <row r="54" spans="1:12">
      <c r="A54" s="112">
        <v>1.04</v>
      </c>
      <c r="B54" s="87">
        <v>0.12487006041637688</v>
      </c>
      <c r="C54" s="41">
        <v>0.18211583907468512</v>
      </c>
      <c r="D54" s="41">
        <v>0.25214087939539381</v>
      </c>
      <c r="E54" s="41">
        <v>0.34796301437030475</v>
      </c>
      <c r="F54" s="41">
        <v>0.38207911779291559</v>
      </c>
      <c r="G54" s="41">
        <v>0.44626885960599427</v>
      </c>
      <c r="H54" s="89">
        <v>0.55206348578674547</v>
      </c>
      <c r="I54" s="112" t="e">
        <f ca="1">[2]!interpol(I$41,B$41:H$41,B54:H54)</f>
        <v>#NAME?</v>
      </c>
      <c r="L54" s="112" t="e">
        <f t="shared" ca="1" si="2"/>
        <v>#NAME?</v>
      </c>
    </row>
    <row r="55" spans="1:12">
      <c r="A55" s="112">
        <v>1.06</v>
      </c>
      <c r="B55" s="87">
        <v>0.13329541785937832</v>
      </c>
      <c r="C55" s="41">
        <v>0.1975931260544142</v>
      </c>
      <c r="D55" s="41">
        <v>0.27423801823858746</v>
      </c>
      <c r="E55" s="41">
        <v>0.36808996108413183</v>
      </c>
      <c r="F55" s="41">
        <v>0.39770053101558223</v>
      </c>
      <c r="G55" s="41">
        <v>0.45830852371625375</v>
      </c>
      <c r="H55" s="89">
        <v>0.55667515737695783</v>
      </c>
      <c r="I55" s="112" t="e">
        <f ca="1">[2]!interpol(I$41,B$41:H$41,B55:H55)</f>
        <v>#NAME?</v>
      </c>
      <c r="L55" s="112" t="e">
        <f t="shared" ca="1" si="2"/>
        <v>#NAME?</v>
      </c>
    </row>
    <row r="56" spans="1:12">
      <c r="A56" s="112">
        <v>1.08</v>
      </c>
      <c r="B56" s="87">
        <v>0.14159304573559028</v>
      </c>
      <c r="C56" s="41">
        <v>0.2113644669473449</v>
      </c>
      <c r="D56" s="41">
        <v>0.29304861159229323</v>
      </c>
      <c r="E56" s="41">
        <v>0.38189036513849667</v>
      </c>
      <c r="F56" s="41">
        <v>0.40500651025110324</v>
      </c>
      <c r="G56" s="41">
        <v>0.46766078071642053</v>
      </c>
      <c r="H56" s="89">
        <v>0.56007772552075952</v>
      </c>
      <c r="I56" s="112" t="e">
        <f ca="1">[2]!interpol(I$41,B$41:H$41,B56:H56)</f>
        <v>#NAME?</v>
      </c>
      <c r="L56" s="112" t="e">
        <f t="shared" ca="1" si="2"/>
        <v>#NAME?</v>
      </c>
    </row>
    <row r="57" spans="1:12">
      <c r="A57" s="112">
        <v>1.1000000000000001</v>
      </c>
      <c r="B57" s="87">
        <v>0.15076750574675329</v>
      </c>
      <c r="C57" s="41">
        <v>0.22513580784027556</v>
      </c>
      <c r="D57" s="41">
        <v>0.30390669058371039</v>
      </c>
      <c r="E57" s="41">
        <v>0.38800368605419699</v>
      </c>
      <c r="F57" s="41">
        <v>0.40963916675866102</v>
      </c>
      <c r="G57" s="41">
        <v>0.47091972317429409</v>
      </c>
      <c r="H57" s="89">
        <v>0.56230633788645312</v>
      </c>
      <c r="I57" s="112" t="e">
        <f ca="1">[2]!interpol(I$41,B$41:H$41,B57:H57)</f>
        <v>#NAME?</v>
      </c>
      <c r="L57" s="112" t="e">
        <f t="shared" ca="1" si="2"/>
        <v>#NAME?</v>
      </c>
    </row>
    <row r="58" spans="1:12">
      <c r="A58" s="112">
        <v>1.3</v>
      </c>
      <c r="B58" s="87">
        <v>0.19503379648746638</v>
      </c>
      <c r="C58" s="41">
        <v>0.24002450072962742</v>
      </c>
      <c r="D58" s="41">
        <v>0.29911815658815727</v>
      </c>
      <c r="E58" s="41">
        <v>0.36769460157366873</v>
      </c>
      <c r="F58" s="41">
        <v>0.38135988059462256</v>
      </c>
      <c r="G58" s="41">
        <v>0.45059952065081815</v>
      </c>
      <c r="H58" s="89">
        <v>0.54114566398555131</v>
      </c>
      <c r="I58" s="112" t="e">
        <f ca="1">[2]!interpol(I$41,B$41:H$41,B58:H58)</f>
        <v>#NAME?</v>
      </c>
      <c r="L58" s="112" t="e">
        <f t="shared" ca="1" si="2"/>
        <v>#NAME?</v>
      </c>
    </row>
    <row r="59" spans="1:12">
      <c r="A59" s="112">
        <v>1.5</v>
      </c>
      <c r="B59" s="87">
        <v>0.16116089290710917</v>
      </c>
      <c r="C59" s="41">
        <v>0.19918873769384521</v>
      </c>
      <c r="D59" s="41">
        <v>0.25666287599175686</v>
      </c>
      <c r="E59" s="41">
        <v>0.31989813106481019</v>
      </c>
      <c r="F59" s="41">
        <v>0.33614422814955297</v>
      </c>
      <c r="G59" s="41">
        <v>0.41201473091280272</v>
      </c>
      <c r="H59" s="89">
        <v>0.49432552826929965</v>
      </c>
      <c r="I59" s="112" t="e">
        <f ca="1">[2]!interpol(I$41,B$41:H$41,B59:H59)</f>
        <v>#NAME?</v>
      </c>
      <c r="L59" s="112" t="e">
        <f t="shared" ca="1" si="2"/>
        <v>#NAME?</v>
      </c>
    </row>
    <row r="60" spans="1:12">
      <c r="A60" s="112">
        <v>1.7</v>
      </c>
      <c r="B60" s="87">
        <v>0.1333224683842795</v>
      </c>
      <c r="C60" s="41">
        <v>0.17013381800841648</v>
      </c>
      <c r="D60" s="41">
        <v>0.22292606163265308</v>
      </c>
      <c r="E60" s="41">
        <v>0.27673674419471594</v>
      </c>
      <c r="F60" s="41">
        <v>0.30238140139823366</v>
      </c>
      <c r="G60" s="41">
        <v>0.37302136242305861</v>
      </c>
      <c r="H60" s="89">
        <v>0.44631479303333538</v>
      </c>
      <c r="I60" s="112" t="e">
        <f ca="1">[2]!interpol(I$41,B$41:H$41,B60:H60)</f>
        <v>#NAME?</v>
      </c>
      <c r="L60" s="112" t="e">
        <f t="shared" ca="1" si="2"/>
        <v>#NAME?</v>
      </c>
    </row>
    <row r="61" spans="1:12">
      <c r="A61" s="112">
        <v>1.9</v>
      </c>
      <c r="B61" s="87">
        <v>0.11189129606215854</v>
      </c>
      <c r="C61" s="41">
        <v>0.14435857954817632</v>
      </c>
      <c r="D61" s="41">
        <v>0.1937379329582376</v>
      </c>
      <c r="E61" s="41">
        <v>0.24406880693185992</v>
      </c>
      <c r="F61" s="41">
        <v>0.2745878111005628</v>
      </c>
      <c r="G61" s="41">
        <v>0.34084583926413448</v>
      </c>
      <c r="H61" s="89">
        <v>0.4085131481309871</v>
      </c>
      <c r="I61" s="112" t="e">
        <f ca="1">[2]!interpol(I$41,B$41:H$41,B61:H61)</f>
        <v>#NAME?</v>
      </c>
      <c r="L61" s="112" t="e">
        <f t="shared" ca="1" si="2"/>
        <v>#NAME?</v>
      </c>
    </row>
    <row r="62" spans="1:12">
      <c r="A62" s="112">
        <v>2.1</v>
      </c>
      <c r="B62" s="87">
        <v>9.048422553846569E-2</v>
      </c>
      <c r="C62" s="41">
        <v>0.12349997493844297</v>
      </c>
      <c r="D62" s="41">
        <v>0.16873109159581498</v>
      </c>
      <c r="E62" s="41">
        <v>0.22006023535753971</v>
      </c>
      <c r="F62" s="41">
        <v>0.25196462931217017</v>
      </c>
      <c r="G62" s="41">
        <v>0.31403449567447994</v>
      </c>
      <c r="H62" s="89">
        <v>0.37786468143486773</v>
      </c>
      <c r="I62" s="112" t="e">
        <f ca="1">[2]!interpol(I$41,B$41:H$41,B62:H62)</f>
        <v>#NAME?</v>
      </c>
      <c r="L62" s="112" t="e">
        <f t="shared" ca="1" si="2"/>
        <v>#NAME?</v>
      </c>
    </row>
    <row r="63" spans="1:12">
      <c r="A63" s="112">
        <v>2.2999999999999998</v>
      </c>
      <c r="B63" s="87">
        <v>7.8397792954919887E-2</v>
      </c>
      <c r="C63" s="41">
        <v>0.10822247523287995</v>
      </c>
      <c r="D63" s="41">
        <v>0.14740647300081797</v>
      </c>
      <c r="E63" s="41">
        <v>0.19966163742182827</v>
      </c>
      <c r="F63" s="41">
        <v>0.23283599193069787</v>
      </c>
      <c r="G63" s="41">
        <v>0.29179614183891989</v>
      </c>
      <c r="H63" s="89">
        <v>0.35475671839897721</v>
      </c>
      <c r="I63" s="112" t="e">
        <f ca="1">[2]!interpol(I$41,B$41:H$41,B63:H63)</f>
        <v>#NAME?</v>
      </c>
      <c r="L63" s="112" t="e">
        <f t="shared" ca="1" si="2"/>
        <v>#NAME?</v>
      </c>
    </row>
    <row r="64" spans="1:12">
      <c r="A64" s="112">
        <v>2.5</v>
      </c>
      <c r="B64" s="87">
        <v>6.7630735324764171E-2</v>
      </c>
      <c r="C64" s="41">
        <v>9.7287816086089454E-2</v>
      </c>
      <c r="D64" s="41">
        <v>0.13431950966916692</v>
      </c>
      <c r="E64" s="41">
        <v>0.1817957759230685</v>
      </c>
      <c r="F64" s="41">
        <v>0.21629255765214042</v>
      </c>
      <c r="G64" s="41">
        <v>0.27254880635288126</v>
      </c>
      <c r="H64" s="89">
        <v>0.3366261841518251</v>
      </c>
      <c r="I64" s="112" t="e">
        <f ca="1">[2]!interpol(I$41,B$41:H$41,B64:H64)</f>
        <v>#NAME?</v>
      </c>
      <c r="L64" s="112" t="e">
        <f t="shared" ca="1" si="2"/>
        <v>#NAME?</v>
      </c>
    </row>
    <row r="65" spans="1:13">
      <c r="A65" s="112">
        <v>2.7</v>
      </c>
      <c r="B65" s="87">
        <v>6.1778441194858501E-2</v>
      </c>
      <c r="C65" s="41">
        <v>8.95436415511561E-2</v>
      </c>
      <c r="D65" s="41">
        <v>0.12315446680068165</v>
      </c>
      <c r="E65" s="41">
        <v>0.16686335517094314</v>
      </c>
      <c r="F65" s="41">
        <v>0.20328355797968076</v>
      </c>
      <c r="G65" s="41">
        <v>0.25613868223413733</v>
      </c>
      <c r="H65" s="89">
        <v>0.32137984319787427</v>
      </c>
      <c r="I65" s="112" t="e">
        <f ca="1">[2]!interpol(I$41,B$41:H$41,B65:H65)</f>
        <v>#NAME?</v>
      </c>
      <c r="L65" s="112" t="e">
        <f t="shared" ca="1" si="2"/>
        <v>#NAME?</v>
      </c>
    </row>
    <row r="66" spans="1:13">
      <c r="A66" s="112">
        <v>2.9</v>
      </c>
      <c r="B66" s="87">
        <v>5.5926147064952837E-2</v>
      </c>
      <c r="C66" s="41">
        <v>8.3237231152911095E-2</v>
      </c>
      <c r="D66" s="41">
        <v>0.11561769540378221</v>
      </c>
      <c r="E66" s="41">
        <v>0.15469553772626418</v>
      </c>
      <c r="F66" s="41">
        <v>0.19129548083472392</v>
      </c>
      <c r="G66" s="41">
        <v>0.24631385541010348</v>
      </c>
      <c r="H66" s="89">
        <v>0.30613350224392349</v>
      </c>
      <c r="I66" s="112" t="e">
        <f ca="1">[2]!interpol(I$41,B$41:H$41,B66:H66)</f>
        <v>#NAME?</v>
      </c>
      <c r="L66" s="112" t="e">
        <f t="shared" ca="1" si="2"/>
        <v>#NAME?</v>
      </c>
    </row>
    <row r="67" spans="1:13">
      <c r="A67" s="112">
        <v>3.1</v>
      </c>
      <c r="B67" s="87">
        <v>5.16E-2</v>
      </c>
      <c r="C67" s="41">
        <v>7.8479770122504455E-2</v>
      </c>
      <c r="D67" s="41">
        <v>0.10928610965934743</v>
      </c>
      <c r="E67" s="41">
        <v>0.14336734277075242</v>
      </c>
      <c r="F67" s="41">
        <v>0.18144766148187291</v>
      </c>
      <c r="G67" s="41">
        <v>0.23660973668312127</v>
      </c>
      <c r="H67" s="89">
        <v>0.29373374602771507</v>
      </c>
      <c r="I67" s="112" t="e">
        <f ca="1">[2]!interpol(I$41,B$41:H$41,B67:H67)</f>
        <v>#NAME?</v>
      </c>
      <c r="L67" s="112" t="e">
        <f t="shared" ca="1" si="2"/>
        <v>#NAME?</v>
      </c>
    </row>
    <row r="68" spans="1:13">
      <c r="A68" s="112">
        <v>3.3</v>
      </c>
      <c r="B68" s="87">
        <v>4.8800000000000003E-2</v>
      </c>
      <c r="C68" s="41">
        <v>7.5213824088103218E-2</v>
      </c>
      <c r="D68" s="41">
        <v>0.10400184171337093</v>
      </c>
      <c r="E68" s="41">
        <v>0.13296751967209719</v>
      </c>
      <c r="F68" s="41">
        <v>0.17260353742980517</v>
      </c>
      <c r="G68" s="41">
        <v>0.22690561795613909</v>
      </c>
      <c r="H68" s="89">
        <v>0.28370824514775511</v>
      </c>
      <c r="I68" s="112" t="e">
        <f ca="1">[2]!interpol(I$41,B$41:H$41,B68:H68)</f>
        <v>#NAME?</v>
      </c>
      <c r="L68" s="112" t="e">
        <f t="shared" ca="1" si="2"/>
        <v>#NAME?</v>
      </c>
    </row>
    <row r="69" spans="1:13">
      <c r="A69" s="112">
        <v>3.5</v>
      </c>
      <c r="B69" s="87">
        <v>4.5999999999999999E-2</v>
      </c>
      <c r="C69" s="41">
        <v>7.1924930935741885E-2</v>
      </c>
      <c r="D69" s="41">
        <v>9.8193540314124791E-2</v>
      </c>
      <c r="E69" s="41">
        <v>0.12612168598406501</v>
      </c>
      <c r="F69" s="41">
        <v>0.16429927892418153</v>
      </c>
      <c r="G69" s="41">
        <v>0.21963003302989095</v>
      </c>
      <c r="H69" s="89">
        <v>0.27438452032162242</v>
      </c>
      <c r="I69" s="112" t="e">
        <f ca="1">[2]!interpol(I$41,B$41:H$41,B69:H69)</f>
        <v>#NAME?</v>
      </c>
      <c r="L69" s="112" t="e">
        <f t="shared" ca="1" si="2"/>
        <v>#NAME?</v>
      </c>
    </row>
    <row r="70" spans="1:13">
      <c r="A70" s="112">
        <v>3.7</v>
      </c>
      <c r="B70" s="87">
        <v>4.3199999999999995E-2</v>
      </c>
      <c r="C70" s="41">
        <v>6.8584848343840987E-2</v>
      </c>
      <c r="D70" s="41">
        <v>9.3214081039762656E-2</v>
      </c>
      <c r="E70" s="41">
        <v>0.11927585229603282</v>
      </c>
      <c r="F70" s="41">
        <v>0.15599502041855787</v>
      </c>
      <c r="G70" s="41">
        <v>0.21284867177907518</v>
      </c>
      <c r="H70" s="89">
        <v>0.26828723692740164</v>
      </c>
      <c r="I70" s="112" t="e">
        <f ca="1">[2]!interpol(I$41,B$41:H$41,B70:H70)</f>
        <v>#NAME?</v>
      </c>
      <c r="L70" s="112" t="e">
        <f t="shared" ca="1" si="2"/>
        <v>#NAME?</v>
      </c>
    </row>
    <row r="71" spans="1:13">
      <c r="A71" s="113">
        <v>3.9</v>
      </c>
      <c r="B71" s="90">
        <v>4.0400000000000005E-2</v>
      </c>
      <c r="C71" s="92">
        <v>6.6146239809038068E-2</v>
      </c>
      <c r="D71" s="92">
        <v>8.9372727028022014E-2</v>
      </c>
      <c r="E71" s="92">
        <v>0.1155791084212212</v>
      </c>
      <c r="F71" s="92">
        <v>0.15172486454707337</v>
      </c>
      <c r="G71" s="92">
        <v>0.20702932347115308</v>
      </c>
      <c r="H71" s="93">
        <v>0.26218995353318081</v>
      </c>
      <c r="I71" s="113" t="e">
        <f ca="1">[2]!interpol(I$41,B$41:H$41,B71:H71)</f>
        <v>#NAME?</v>
      </c>
      <c r="L71" s="113" t="e">
        <f t="shared" ca="1" si="2"/>
        <v>#NAME?</v>
      </c>
    </row>
    <row r="73" spans="1:13">
      <c r="A73" s="78" t="s">
        <v>257</v>
      </c>
    </row>
    <row r="74" spans="1:13" ht="15">
      <c r="A74" t="s">
        <v>252</v>
      </c>
      <c r="B74" t="s">
        <v>251</v>
      </c>
      <c r="D74" s="119" t="s">
        <v>249</v>
      </c>
      <c r="E74" s="119" t="s">
        <v>250</v>
      </c>
      <c r="G74" s="129" t="s">
        <v>255</v>
      </c>
      <c r="H74" s="121"/>
      <c r="I74" s="122" t="s">
        <v>214</v>
      </c>
      <c r="J74" s="123" t="s">
        <v>254</v>
      </c>
      <c r="K74" s="124" t="s">
        <v>250</v>
      </c>
      <c r="L74" s="125" t="s">
        <v>253</v>
      </c>
      <c r="M74" s="125" t="s">
        <v>207</v>
      </c>
    </row>
    <row r="75" spans="1:13" ht="15">
      <c r="A75">
        <v>1536</v>
      </c>
      <c r="B75">
        <v>0.5</v>
      </c>
      <c r="D75" s="119">
        <v>5</v>
      </c>
      <c r="E75" s="120">
        <v>14490000</v>
      </c>
      <c r="G75" s="126">
        <v>10</v>
      </c>
      <c r="H75" s="121"/>
      <c r="I75" s="87">
        <v>0.5</v>
      </c>
      <c r="J75" s="41" t="e">
        <f ca="1">[2]!interpol(I75,$B$75:$B$87,$A$75:$A$87)</f>
        <v>#NAME?</v>
      </c>
      <c r="K75" s="89" t="e">
        <f ca="1">[2]!interpol(J75/1000,$D$75:$D$90,$E$75:$E$90)</f>
        <v>#NAME?</v>
      </c>
      <c r="L75" s="112" t="e">
        <f t="shared" ref="L75:L108" ca="1" si="3">K75*G$75*I75</f>
        <v>#NAME?</v>
      </c>
      <c r="M75" s="116" t="e">
        <f t="shared" ref="M75:M108" ca="1" si="4">0.445/POWER(LOG(L75),2.58)/POWER(1+0.15*I75^2,0.58)*G$77/G$79</f>
        <v>#NAME?</v>
      </c>
    </row>
    <row r="76" spans="1:13" ht="15">
      <c r="A76">
        <v>2920</v>
      </c>
      <c r="B76">
        <v>0.7</v>
      </c>
      <c r="D76" s="119">
        <v>10</v>
      </c>
      <c r="E76" s="120">
        <v>8482000</v>
      </c>
      <c r="G76" s="128" t="s">
        <v>256</v>
      </c>
      <c r="H76" s="121"/>
      <c r="I76" s="87">
        <v>0.6</v>
      </c>
      <c r="J76" s="41" t="e">
        <f ca="1">[2]!interpol(I76,$B$75:$B$87,$A$75:$A$87)</f>
        <v>#NAME?</v>
      </c>
      <c r="K76" s="89" t="e">
        <f ca="1">[2]!interpol(J76/1000,$D$75:$D$90,$E$75:$E$90)</f>
        <v>#NAME?</v>
      </c>
      <c r="L76" s="112" t="e">
        <f t="shared" ca="1" si="3"/>
        <v>#NAME?</v>
      </c>
      <c r="M76" s="112" t="e">
        <f t="shared" ca="1" si="4"/>
        <v>#NAME?</v>
      </c>
    </row>
    <row r="77" spans="1:13" ht="15">
      <c r="A77">
        <v>5114</v>
      </c>
      <c r="B77">
        <v>0.9</v>
      </c>
      <c r="D77" s="119">
        <v>15</v>
      </c>
      <c r="E77" s="120">
        <v>4020000</v>
      </c>
      <c r="G77" s="126">
        <v>5</v>
      </c>
      <c r="H77" s="121"/>
      <c r="I77" s="87">
        <v>0.7</v>
      </c>
      <c r="J77" s="41" t="e">
        <f ca="1">[2]!interpol(I77,$B$75:$B$87,$A$75:$A$87)</f>
        <v>#NAME?</v>
      </c>
      <c r="K77" s="89" t="e">
        <f ca="1">[2]!interpol(J77/1000,$D$75:$D$90,$E$75:$E$90)</f>
        <v>#NAME?</v>
      </c>
      <c r="L77" s="112" t="e">
        <f t="shared" ca="1" si="3"/>
        <v>#NAME?</v>
      </c>
      <c r="M77" s="112" t="e">
        <f t="shared" ca="1" si="4"/>
        <v>#NAME?</v>
      </c>
    </row>
    <row r="78" spans="1:13" ht="15">
      <c r="A78">
        <v>5713</v>
      </c>
      <c r="B78">
        <v>0.95</v>
      </c>
      <c r="D78" s="119">
        <v>20</v>
      </c>
      <c r="E78" s="120">
        <v>1827000</v>
      </c>
      <c r="G78" s="128" t="s">
        <v>248</v>
      </c>
      <c r="H78" s="121"/>
      <c r="I78" s="87">
        <v>0.8</v>
      </c>
      <c r="J78" s="41" t="e">
        <f ca="1">[2]!interpol(I78,$B$75:$B$87,$A$75:$A$87)</f>
        <v>#NAME?</v>
      </c>
      <c r="K78" s="89" t="e">
        <f ca="1">[2]!interpol(J78/1000,$D$75:$D$90,$E$75:$E$90)</f>
        <v>#NAME?</v>
      </c>
      <c r="L78" s="112" t="e">
        <f t="shared" ca="1" si="3"/>
        <v>#NAME?</v>
      </c>
      <c r="M78" s="112" t="e">
        <f t="shared" ca="1" si="4"/>
        <v>#NAME?</v>
      </c>
    </row>
    <row r="79" spans="1:13" ht="15">
      <c r="A79">
        <v>6308</v>
      </c>
      <c r="B79">
        <v>1</v>
      </c>
      <c r="D79" s="119">
        <v>25</v>
      </c>
      <c r="E79" s="120">
        <v>812900</v>
      </c>
      <c r="G79" s="127">
        <v>5</v>
      </c>
      <c r="H79" s="121"/>
      <c r="I79" s="87">
        <v>0.9</v>
      </c>
      <c r="J79" s="41" t="e">
        <f ca="1">[2]!interpol(I79,$B$75:$B$87,$A$75:$A$87)</f>
        <v>#NAME?</v>
      </c>
      <c r="K79" s="89" t="e">
        <f ca="1">[2]!interpol(J79/1000,$D$75:$D$90,$E$75:$E$90)</f>
        <v>#NAME?</v>
      </c>
      <c r="L79" s="112" t="e">
        <f t="shared" ca="1" si="3"/>
        <v>#NAME?</v>
      </c>
      <c r="M79" s="112" t="e">
        <f t="shared" ca="1" si="4"/>
        <v>#NAME?</v>
      </c>
    </row>
    <row r="80" spans="1:13" ht="15">
      <c r="A80">
        <v>6992</v>
      </c>
      <c r="B80">
        <v>1.05</v>
      </c>
      <c r="D80" s="119">
        <v>30</v>
      </c>
      <c r="E80" s="120">
        <v>368300</v>
      </c>
      <c r="G80" s="121"/>
      <c r="H80" s="121"/>
      <c r="I80" s="87">
        <v>0.92</v>
      </c>
      <c r="J80" s="41" t="e">
        <f ca="1">[2]!interpol(I80,$B$75:$B$87,$A$75:$A$87)</f>
        <v>#NAME?</v>
      </c>
      <c r="K80" s="89" t="e">
        <f ca="1">[2]!interpol(J80/1000,$D$75:$D$90,$E$75:$E$90)</f>
        <v>#NAME?</v>
      </c>
      <c r="L80" s="112" t="e">
        <f t="shared" ca="1" si="3"/>
        <v>#NAME?</v>
      </c>
      <c r="M80" s="112" t="e">
        <f t="shared" ca="1" si="4"/>
        <v>#NAME?</v>
      </c>
    </row>
    <row r="81" spans="1:13" ht="15">
      <c r="A81">
        <v>7459</v>
      </c>
      <c r="B81">
        <v>1.1000000000000001</v>
      </c>
      <c r="D81" s="119">
        <v>35</v>
      </c>
      <c r="E81" s="120">
        <v>165500</v>
      </c>
      <c r="G81" s="121"/>
      <c r="H81" s="121"/>
      <c r="I81" s="87">
        <v>0.94</v>
      </c>
      <c r="J81" s="41" t="e">
        <f ca="1">[2]!interpol(I81,$B$75:$B$87,$A$75:$A$87)</f>
        <v>#NAME?</v>
      </c>
      <c r="K81" s="89" t="e">
        <f ca="1">[2]!interpol(J81/1000,$D$75:$D$90,$E$75:$E$90)</f>
        <v>#NAME?</v>
      </c>
      <c r="L81" s="112" t="e">
        <f t="shared" ca="1" si="3"/>
        <v>#NAME?</v>
      </c>
      <c r="M81" s="112" t="e">
        <f t="shared" ca="1" si="4"/>
        <v>#NAME?</v>
      </c>
    </row>
    <row r="82" spans="1:13" ht="15">
      <c r="A82">
        <v>8505</v>
      </c>
      <c r="B82">
        <v>1.2</v>
      </c>
      <c r="D82" s="119">
        <v>40</v>
      </c>
      <c r="E82" s="120">
        <v>76230</v>
      </c>
      <c r="G82" s="121"/>
      <c r="H82" s="121"/>
      <c r="I82" s="87">
        <v>0.96</v>
      </c>
      <c r="J82" s="41" t="e">
        <f ca="1">[2]!interpol(I82,$B$75:$B$87,$A$75:$A$87)</f>
        <v>#NAME?</v>
      </c>
      <c r="K82" s="89" t="e">
        <f ca="1">[2]!interpol(J82/1000,$D$75:$D$90,$E$75:$E$90)</f>
        <v>#NAME?</v>
      </c>
      <c r="L82" s="112" t="e">
        <f t="shared" ca="1" si="3"/>
        <v>#NAME?</v>
      </c>
      <c r="M82" s="112" t="e">
        <f t="shared" ca="1" si="4"/>
        <v>#NAME?</v>
      </c>
    </row>
    <row r="83" spans="1:13" ht="15">
      <c r="A83">
        <v>11022</v>
      </c>
      <c r="B83">
        <v>1.5</v>
      </c>
      <c r="D83" s="119">
        <v>45</v>
      </c>
      <c r="E83" s="120">
        <v>36640</v>
      </c>
      <c r="G83" s="121"/>
      <c r="H83" s="121"/>
      <c r="I83" s="87">
        <v>0.98</v>
      </c>
      <c r="J83" s="41" t="e">
        <f ca="1">[2]!interpol(I83,$B$75:$B$87,$A$75:$A$87)</f>
        <v>#NAME?</v>
      </c>
      <c r="K83" s="89" t="e">
        <f ca="1">[2]!interpol(J83/1000,$D$75:$D$90,$E$75:$E$90)</f>
        <v>#NAME?</v>
      </c>
      <c r="L83" s="112" t="e">
        <f t="shared" ca="1" si="3"/>
        <v>#NAME?</v>
      </c>
      <c r="M83" s="112" t="e">
        <f t="shared" ca="1" si="4"/>
        <v>#NAME?</v>
      </c>
    </row>
    <row r="84" spans="1:13" ht="15">
      <c r="A84">
        <v>14428</v>
      </c>
      <c r="B84">
        <v>2</v>
      </c>
      <c r="D84" s="119">
        <v>50</v>
      </c>
      <c r="E84" s="120">
        <v>18920</v>
      </c>
      <c r="G84" s="121"/>
      <c r="H84" s="121"/>
      <c r="I84" s="87">
        <v>1</v>
      </c>
      <c r="J84" s="41" t="e">
        <f ca="1">[2]!interpol(I84,$B$75:$B$87,$A$75:$A$87)</f>
        <v>#NAME?</v>
      </c>
      <c r="K84" s="89" t="e">
        <f ca="1">[2]!interpol(J84/1000,$D$75:$D$90,$E$75:$E$90)</f>
        <v>#NAME?</v>
      </c>
      <c r="L84" s="112" t="e">
        <f t="shared" ca="1" si="3"/>
        <v>#NAME?</v>
      </c>
      <c r="M84" s="112" t="e">
        <f t="shared" ca="1" si="4"/>
        <v>#NAME?</v>
      </c>
    </row>
    <row r="85" spans="1:13" ht="15">
      <c r="A85">
        <v>22287</v>
      </c>
      <c r="B85">
        <v>3</v>
      </c>
      <c r="D85" s="119">
        <v>55</v>
      </c>
      <c r="E85" s="120">
        <v>10520</v>
      </c>
      <c r="G85" s="121"/>
      <c r="H85" s="121"/>
      <c r="I85" s="87">
        <v>1.02</v>
      </c>
      <c r="J85" s="41" t="e">
        <f ca="1">[2]!interpol(I85,$B$75:$B$87,$A$75:$A$87)</f>
        <v>#NAME?</v>
      </c>
      <c r="K85" s="89" t="e">
        <f ca="1">[2]!interpol(J85/1000,$D$75:$D$90,$E$75:$E$90)</f>
        <v>#NAME?</v>
      </c>
      <c r="L85" s="112" t="e">
        <f t="shared" ca="1" si="3"/>
        <v>#NAME?</v>
      </c>
      <c r="M85" s="112" t="e">
        <f t="shared" ca="1" si="4"/>
        <v>#NAME?</v>
      </c>
    </row>
    <row r="86" spans="1:13" ht="15">
      <c r="A86">
        <v>29924</v>
      </c>
      <c r="B86">
        <v>4</v>
      </c>
      <c r="D86" s="119">
        <v>60</v>
      </c>
      <c r="E86" s="120">
        <v>5747</v>
      </c>
      <c r="G86" s="121"/>
      <c r="H86" s="121"/>
      <c r="I86" s="87">
        <v>1.04</v>
      </c>
      <c r="J86" s="41" t="e">
        <f ca="1">[2]!interpol(I86,$B$75:$B$87,$A$75:$A$87)</f>
        <v>#NAME?</v>
      </c>
      <c r="K86" s="89" t="e">
        <f ca="1">[2]!interpol(J86/1000,$D$75:$D$90,$E$75:$E$90)</f>
        <v>#NAME?</v>
      </c>
      <c r="L86" s="112" t="e">
        <f t="shared" ca="1" si="3"/>
        <v>#NAME?</v>
      </c>
      <c r="M86" s="112" t="e">
        <f t="shared" ca="1" si="4"/>
        <v>#NAME?</v>
      </c>
    </row>
    <row r="87" spans="1:13" ht="15">
      <c r="A87">
        <v>37678</v>
      </c>
      <c r="B87">
        <v>5</v>
      </c>
      <c r="D87" s="119">
        <v>65</v>
      </c>
      <c r="E87" s="120">
        <v>3033</v>
      </c>
      <c r="G87" s="121"/>
      <c r="H87" s="121"/>
      <c r="I87" s="87">
        <v>1.06</v>
      </c>
      <c r="J87" s="41" t="e">
        <f ca="1">[2]!interpol(I87,$B$75:$B$87,$A$75:$A$87)</f>
        <v>#NAME?</v>
      </c>
      <c r="K87" s="89" t="e">
        <f ca="1">[2]!interpol(J87/1000,$D$75:$D$90,$E$75:$E$90)</f>
        <v>#NAME?</v>
      </c>
      <c r="L87" s="112" t="e">
        <f t="shared" ca="1" si="3"/>
        <v>#NAME?</v>
      </c>
      <c r="M87" s="112" t="e">
        <f t="shared" ca="1" si="4"/>
        <v>#NAME?</v>
      </c>
    </row>
    <row r="88" spans="1:13" ht="15">
      <c r="D88" s="119">
        <v>70</v>
      </c>
      <c r="E88" s="120">
        <v>1539</v>
      </c>
      <c r="G88" s="121"/>
      <c r="H88" s="121"/>
      <c r="I88" s="87">
        <v>1.08</v>
      </c>
      <c r="J88" s="41" t="e">
        <f ca="1">[2]!interpol(I88,$B$75:$B$87,$A$75:$A$87)</f>
        <v>#NAME?</v>
      </c>
      <c r="K88" s="89" t="e">
        <f ca="1">[2]!interpol(J88/1000,$D$75:$D$90,$E$75:$E$90)</f>
        <v>#NAME?</v>
      </c>
      <c r="L88" s="112" t="e">
        <f t="shared" ca="1" si="3"/>
        <v>#NAME?</v>
      </c>
      <c r="M88" s="112" t="e">
        <f t="shared" ca="1" si="4"/>
        <v>#NAME?</v>
      </c>
    </row>
    <row r="89" spans="1:13" ht="15">
      <c r="D89" s="119">
        <v>75</v>
      </c>
      <c r="E89" s="120">
        <v>735.4</v>
      </c>
      <c r="G89" s="121"/>
      <c r="H89" s="121"/>
      <c r="I89" s="87">
        <v>1.1000000000000001</v>
      </c>
      <c r="J89" s="41" t="e">
        <f ca="1">[2]!interpol(I89,$B$75:$B$87,$A$75:$A$87)</f>
        <v>#NAME?</v>
      </c>
      <c r="K89" s="89" t="e">
        <f ca="1">[2]!interpol(J89/1000,$D$75:$D$90,$E$75:$E$90)</f>
        <v>#NAME?</v>
      </c>
      <c r="L89" s="112" t="e">
        <f t="shared" ca="1" si="3"/>
        <v>#NAME?</v>
      </c>
      <c r="M89" s="112" t="e">
        <f t="shared" ca="1" si="4"/>
        <v>#NAME?</v>
      </c>
    </row>
    <row r="90" spans="1:13" ht="15">
      <c r="D90" s="119">
        <v>80</v>
      </c>
      <c r="E90" s="120">
        <v>337.1</v>
      </c>
      <c r="G90" s="121"/>
      <c r="H90" s="121"/>
      <c r="I90" s="87">
        <v>1.3</v>
      </c>
      <c r="J90" s="41" t="e">
        <f ca="1">[2]!interpol(I90,$B$75:$B$87,$A$75:$A$87)</f>
        <v>#NAME?</v>
      </c>
      <c r="K90" s="89" t="e">
        <f ca="1">[2]!interpol(J90/1000,$D$75:$D$90,$E$75:$E$90)</f>
        <v>#NAME?</v>
      </c>
      <c r="L90" s="112" t="e">
        <f t="shared" ca="1" si="3"/>
        <v>#NAME?</v>
      </c>
      <c r="M90" s="112" t="e">
        <f t="shared" ca="1" si="4"/>
        <v>#NAME?</v>
      </c>
    </row>
    <row r="91" spans="1:13" ht="15">
      <c r="G91" s="121"/>
      <c r="H91" s="121"/>
      <c r="I91" s="87">
        <v>1.5</v>
      </c>
      <c r="J91" s="41" t="e">
        <f ca="1">[2]!interpol(I91,$B$75:$B$87,$A$75:$A$87)</f>
        <v>#NAME?</v>
      </c>
      <c r="K91" s="89" t="e">
        <f ca="1">[2]!interpol(J91/1000,$D$75:$D$90,$E$75:$E$90)</f>
        <v>#NAME?</v>
      </c>
      <c r="L91" s="112" t="e">
        <f t="shared" ca="1" si="3"/>
        <v>#NAME?</v>
      </c>
      <c r="M91" s="112" t="e">
        <f t="shared" ca="1" si="4"/>
        <v>#NAME?</v>
      </c>
    </row>
    <row r="92" spans="1:13" ht="15">
      <c r="G92" s="121"/>
      <c r="H92" s="121"/>
      <c r="I92" s="87">
        <v>1.7</v>
      </c>
      <c r="J92" s="41" t="e">
        <f ca="1">[2]!interpol(I92,$B$75:$B$87,$A$75:$A$87)</f>
        <v>#NAME?</v>
      </c>
      <c r="K92" s="89" t="e">
        <f ca="1">[2]!interpol(J92/1000,$D$75:$D$90,$E$75:$E$90)</f>
        <v>#NAME?</v>
      </c>
      <c r="L92" s="112" t="e">
        <f t="shared" ca="1" si="3"/>
        <v>#NAME?</v>
      </c>
      <c r="M92" s="112" t="e">
        <f t="shared" ca="1" si="4"/>
        <v>#NAME?</v>
      </c>
    </row>
    <row r="93" spans="1:13" ht="15">
      <c r="G93" s="121"/>
      <c r="H93" s="121"/>
      <c r="I93" s="87">
        <v>1.9</v>
      </c>
      <c r="J93" s="41" t="e">
        <f ca="1">[2]!interpol(I93,$B$75:$B$87,$A$75:$A$87)</f>
        <v>#NAME?</v>
      </c>
      <c r="K93" s="89" t="e">
        <f ca="1">[2]!interpol(J93/1000,$D$75:$D$90,$E$75:$E$90)</f>
        <v>#NAME?</v>
      </c>
      <c r="L93" s="112" t="e">
        <f t="shared" ca="1" si="3"/>
        <v>#NAME?</v>
      </c>
      <c r="M93" s="112" t="e">
        <f t="shared" ca="1" si="4"/>
        <v>#NAME?</v>
      </c>
    </row>
    <row r="94" spans="1:13" ht="15">
      <c r="G94" s="121"/>
      <c r="H94" s="121"/>
      <c r="I94" s="87">
        <v>2.1</v>
      </c>
      <c r="J94" s="41" t="e">
        <f ca="1">[2]!interpol(I94,$B$75:$B$87,$A$75:$A$87)</f>
        <v>#NAME?</v>
      </c>
      <c r="K94" s="89" t="e">
        <f ca="1">[2]!interpol(J94/1000,$D$75:$D$90,$E$75:$E$90)</f>
        <v>#NAME?</v>
      </c>
      <c r="L94" s="112" t="e">
        <f t="shared" ca="1" si="3"/>
        <v>#NAME?</v>
      </c>
      <c r="M94" s="112" t="e">
        <f t="shared" ca="1" si="4"/>
        <v>#NAME?</v>
      </c>
    </row>
    <row r="95" spans="1:13" ht="15">
      <c r="G95" s="121"/>
      <c r="H95" s="121"/>
      <c r="I95" s="87">
        <v>2.2999999999999998</v>
      </c>
      <c r="J95" s="41" t="e">
        <f ca="1">[2]!interpol(I95,$B$75:$B$87,$A$75:$A$87)</f>
        <v>#NAME?</v>
      </c>
      <c r="K95" s="89" t="e">
        <f ca="1">[2]!interpol(J95/1000,$D$75:$D$90,$E$75:$E$90)</f>
        <v>#NAME?</v>
      </c>
      <c r="L95" s="112" t="e">
        <f t="shared" ca="1" si="3"/>
        <v>#NAME?</v>
      </c>
      <c r="M95" s="112" t="e">
        <f t="shared" ca="1" si="4"/>
        <v>#NAME?</v>
      </c>
    </row>
    <row r="96" spans="1:13" ht="15">
      <c r="G96" s="121"/>
      <c r="H96" s="121"/>
      <c r="I96" s="87">
        <v>2.5</v>
      </c>
      <c r="J96" s="41" t="e">
        <f ca="1">[2]!interpol(I96,$B$75:$B$87,$A$75:$A$87)</f>
        <v>#NAME?</v>
      </c>
      <c r="K96" s="89" t="e">
        <f ca="1">[2]!interpol(J96/1000,$D$75:$D$90,$E$75:$E$90)</f>
        <v>#NAME?</v>
      </c>
      <c r="L96" s="112" t="e">
        <f t="shared" ca="1" si="3"/>
        <v>#NAME?</v>
      </c>
      <c r="M96" s="112" t="e">
        <f t="shared" ca="1" si="4"/>
        <v>#NAME?</v>
      </c>
    </row>
    <row r="97" spans="7:13" ht="15">
      <c r="G97" s="121"/>
      <c r="H97" s="121"/>
      <c r="I97" s="87">
        <v>2.7</v>
      </c>
      <c r="J97" s="41" t="e">
        <f ca="1">[2]!interpol(I97,$B$75:$B$87,$A$75:$A$87)</f>
        <v>#NAME?</v>
      </c>
      <c r="K97" s="89" t="e">
        <f ca="1">[2]!interpol(J97/1000,$D$75:$D$90,$E$75:$E$90)</f>
        <v>#NAME?</v>
      </c>
      <c r="L97" s="112" t="e">
        <f t="shared" ca="1" si="3"/>
        <v>#NAME?</v>
      </c>
      <c r="M97" s="112" t="e">
        <f t="shared" ca="1" si="4"/>
        <v>#NAME?</v>
      </c>
    </row>
    <row r="98" spans="7:13" ht="15">
      <c r="G98" s="121"/>
      <c r="H98" s="121"/>
      <c r="I98" s="87">
        <v>2.9</v>
      </c>
      <c r="J98" s="41" t="e">
        <f ca="1">[2]!interpol(I98,$B$75:$B$87,$A$75:$A$87)</f>
        <v>#NAME?</v>
      </c>
      <c r="K98" s="89" t="e">
        <f ca="1">[2]!interpol(J98/1000,$D$75:$D$90,$E$75:$E$90)</f>
        <v>#NAME?</v>
      </c>
      <c r="L98" s="112" t="e">
        <f t="shared" ca="1" si="3"/>
        <v>#NAME?</v>
      </c>
      <c r="M98" s="112" t="e">
        <f t="shared" ca="1" si="4"/>
        <v>#NAME?</v>
      </c>
    </row>
    <row r="99" spans="7:13" ht="15">
      <c r="G99" s="121"/>
      <c r="H99" s="121"/>
      <c r="I99" s="87">
        <v>3.1</v>
      </c>
      <c r="J99" s="41" t="e">
        <f ca="1">[2]!interpol(I99,$B$75:$B$87,$A$75:$A$87)</f>
        <v>#NAME?</v>
      </c>
      <c r="K99" s="89" t="e">
        <f ca="1">[2]!interpol(J99/1000,$D$75:$D$90,$E$75:$E$90)</f>
        <v>#NAME?</v>
      </c>
      <c r="L99" s="112" t="e">
        <f t="shared" ca="1" si="3"/>
        <v>#NAME?</v>
      </c>
      <c r="M99" s="112" t="e">
        <f t="shared" ca="1" si="4"/>
        <v>#NAME?</v>
      </c>
    </row>
    <row r="100" spans="7:13" ht="15">
      <c r="G100" s="121"/>
      <c r="H100" s="121"/>
      <c r="I100" s="87">
        <v>3.3</v>
      </c>
      <c r="J100" s="41" t="e">
        <f ca="1">[2]!interpol(I100,$B$75:$B$87,$A$75:$A$87)</f>
        <v>#NAME?</v>
      </c>
      <c r="K100" s="89" t="e">
        <f ca="1">[2]!interpol(J100/1000,$D$75:$D$90,$E$75:$E$90)</f>
        <v>#NAME?</v>
      </c>
      <c r="L100" s="112" t="e">
        <f t="shared" ca="1" si="3"/>
        <v>#NAME?</v>
      </c>
      <c r="M100" s="112" t="e">
        <f t="shared" ca="1" si="4"/>
        <v>#NAME?</v>
      </c>
    </row>
    <row r="101" spans="7:13" ht="15">
      <c r="G101" s="121"/>
      <c r="H101" s="121"/>
      <c r="I101" s="87">
        <v>3.5</v>
      </c>
      <c r="J101" s="41" t="e">
        <f ca="1">[2]!interpol(I101,$B$75:$B$87,$A$75:$A$87)</f>
        <v>#NAME?</v>
      </c>
      <c r="K101" s="89" t="e">
        <f ca="1">[2]!interpol(J101/1000,$D$75:$D$90,$E$75:$E$90)</f>
        <v>#NAME?</v>
      </c>
      <c r="L101" s="112" t="e">
        <f t="shared" ca="1" si="3"/>
        <v>#NAME?</v>
      </c>
      <c r="M101" s="112" t="e">
        <f t="shared" ca="1" si="4"/>
        <v>#NAME?</v>
      </c>
    </row>
    <row r="102" spans="7:13" ht="15">
      <c r="G102" s="121"/>
      <c r="H102" s="121"/>
      <c r="I102" s="87">
        <v>3.7</v>
      </c>
      <c r="J102" s="41" t="e">
        <f ca="1">[2]!interpol(I102,$B$75:$B$87,$A$75:$A$87)</f>
        <v>#NAME?</v>
      </c>
      <c r="K102" s="89" t="e">
        <f ca="1">[2]!interpol(J102/1000,$D$75:$D$90,$E$75:$E$90)</f>
        <v>#NAME?</v>
      </c>
      <c r="L102" s="112" t="e">
        <f t="shared" ca="1" si="3"/>
        <v>#NAME?</v>
      </c>
      <c r="M102" s="112" t="e">
        <f t="shared" ca="1" si="4"/>
        <v>#NAME?</v>
      </c>
    </row>
    <row r="103" spans="7:13" ht="15">
      <c r="G103" s="121"/>
      <c r="H103" s="121"/>
      <c r="I103" s="87">
        <v>3.9</v>
      </c>
      <c r="J103" s="41" t="e">
        <f ca="1">[2]!interpol(I103,$B$75:$B$87,$A$75:$A$87)</f>
        <v>#NAME?</v>
      </c>
      <c r="K103" s="89" t="e">
        <f ca="1">[2]!interpol(J103/1000,$D$75:$D$90,$E$75:$E$90)</f>
        <v>#NAME?</v>
      </c>
      <c r="L103" s="112" t="e">
        <f t="shared" ca="1" si="3"/>
        <v>#NAME?</v>
      </c>
      <c r="M103" s="112" t="e">
        <f t="shared" ca="1" si="4"/>
        <v>#NAME?</v>
      </c>
    </row>
    <row r="104" spans="7:13" ht="15">
      <c r="G104" s="121"/>
      <c r="H104" s="121"/>
      <c r="I104" s="87">
        <v>4.0999999999999996</v>
      </c>
      <c r="J104" s="41" t="e">
        <f ca="1">[2]!interpol(I104,$B$75:$B$87,$A$75:$A$87)</f>
        <v>#NAME?</v>
      </c>
      <c r="K104" s="41" t="e">
        <f ca="1">[2]!interpol(J104/1000,$D$75:$D$90,$E$75:$E$90)</f>
        <v>#NAME?</v>
      </c>
      <c r="L104" s="112" t="e">
        <f t="shared" ca="1" si="3"/>
        <v>#NAME?</v>
      </c>
      <c r="M104" s="112" t="e">
        <f t="shared" ca="1" si="4"/>
        <v>#NAME?</v>
      </c>
    </row>
    <row r="105" spans="7:13" ht="15">
      <c r="G105" s="121"/>
      <c r="H105" s="121"/>
      <c r="I105" s="87">
        <v>4.3</v>
      </c>
      <c r="J105" s="41" t="e">
        <f ca="1">[2]!interpol(I105,$B$75:$B$87,$A$75:$A$87)</f>
        <v>#NAME?</v>
      </c>
      <c r="K105" s="41" t="e">
        <f ca="1">[2]!interpol(J105/1000,$D$75:$D$90,$E$75:$E$90)</f>
        <v>#NAME?</v>
      </c>
      <c r="L105" s="112" t="e">
        <f t="shared" ca="1" si="3"/>
        <v>#NAME?</v>
      </c>
      <c r="M105" s="112" t="e">
        <f t="shared" ca="1" si="4"/>
        <v>#NAME?</v>
      </c>
    </row>
    <row r="106" spans="7:13" ht="15">
      <c r="G106" s="121"/>
      <c r="H106" s="121"/>
      <c r="I106" s="87">
        <v>4.5</v>
      </c>
      <c r="J106" s="41" t="e">
        <f ca="1">[2]!interpol(I106,$B$75:$B$87,$A$75:$A$87)</f>
        <v>#NAME?</v>
      </c>
      <c r="K106" s="41" t="e">
        <f ca="1">[2]!interpol(J106/1000,$D$75:$D$90,$E$75:$E$90)</f>
        <v>#NAME?</v>
      </c>
      <c r="L106" s="112" t="e">
        <f t="shared" ca="1" si="3"/>
        <v>#NAME?</v>
      </c>
      <c r="M106" s="112" t="e">
        <f t="shared" ca="1" si="4"/>
        <v>#NAME?</v>
      </c>
    </row>
    <row r="107" spans="7:13" ht="15">
      <c r="G107" s="121"/>
      <c r="H107" s="121"/>
      <c r="I107" s="87">
        <v>4.7</v>
      </c>
      <c r="J107" s="41" t="e">
        <f ca="1">[2]!interpol(I107,$B$75:$B$87,$A$75:$A$87)</f>
        <v>#NAME?</v>
      </c>
      <c r="K107" s="41" t="e">
        <f ca="1">[2]!interpol(J107/1000,$D$75:$D$90,$E$75:$E$90)</f>
        <v>#NAME?</v>
      </c>
      <c r="L107" s="112" t="e">
        <f t="shared" ca="1" si="3"/>
        <v>#NAME?</v>
      </c>
      <c r="M107" s="112" t="e">
        <f t="shared" ca="1" si="4"/>
        <v>#NAME?</v>
      </c>
    </row>
    <row r="108" spans="7:13" ht="15">
      <c r="G108" s="121"/>
      <c r="H108" s="121"/>
      <c r="I108" s="90">
        <v>4.9000000000000004</v>
      </c>
      <c r="J108" s="92" t="e">
        <f ca="1">[2]!interpol(I108,$B$75:$B$87,$A$75:$A$87)</f>
        <v>#NAME?</v>
      </c>
      <c r="K108" s="92" t="e">
        <f ca="1">[2]!interpol(J108/1000,$D$75:$D$90,$E$75:$E$90)</f>
        <v>#NAME?</v>
      </c>
      <c r="L108" s="113" t="e">
        <f t="shared" ca="1" si="3"/>
        <v>#NAME?</v>
      </c>
      <c r="M108" s="113" t="e">
        <f t="shared" ca="1" si="4"/>
        <v>#NAME?</v>
      </c>
    </row>
    <row r="109" spans="7:13" ht="15">
      <c r="G109" s="121"/>
      <c r="H109" s="121"/>
      <c r="I109" s="121"/>
    </row>
    <row r="110" spans="7:13" ht="15">
      <c r="G110" s="121"/>
      <c r="H110" s="121"/>
      <c r="I110" s="121"/>
    </row>
    <row r="111" spans="7:13" ht="15">
      <c r="G111" s="121"/>
      <c r="H111" s="121"/>
      <c r="I111" s="121"/>
    </row>
    <row r="112" spans="7:13" ht="15">
      <c r="G112" s="121"/>
      <c r="H112" s="121"/>
      <c r="I112" s="121"/>
    </row>
    <row r="113" spans="7:9" ht="15">
      <c r="G113" s="121"/>
      <c r="H113" s="121"/>
      <c r="I113" s="121"/>
    </row>
    <row r="114" spans="7:9" ht="15">
      <c r="G114" s="121"/>
      <c r="H114" s="121"/>
      <c r="I114" s="121"/>
    </row>
    <row r="115" spans="7:9" ht="15">
      <c r="G115" s="121"/>
      <c r="H115" s="121"/>
      <c r="I115" s="121"/>
    </row>
    <row r="116" spans="7:9" ht="15">
      <c r="G116" s="121"/>
      <c r="H116" s="121"/>
      <c r="I116" s="121"/>
    </row>
    <row r="117" spans="7:9" ht="15">
      <c r="G117" s="121"/>
      <c r="H117" s="121"/>
      <c r="I117" s="121"/>
    </row>
    <row r="118" spans="7:9" ht="15">
      <c r="G118" s="121"/>
      <c r="H118" s="121"/>
      <c r="I118" s="121"/>
    </row>
    <row r="119" spans="7:9" ht="15">
      <c r="G119" s="121"/>
      <c r="H119" s="121"/>
      <c r="I119" s="121"/>
    </row>
    <row r="120" spans="7:9" ht="15">
      <c r="G120" s="121"/>
      <c r="H120" s="121"/>
      <c r="I120" s="121"/>
    </row>
    <row r="121" spans="7:9" ht="15">
      <c r="G121" s="121"/>
      <c r="H121" s="121"/>
      <c r="I121" s="121"/>
    </row>
    <row r="122" spans="7:9" ht="15">
      <c r="G122" s="121"/>
      <c r="H122" s="121"/>
      <c r="I122" s="121"/>
    </row>
    <row r="123" spans="7:9" ht="15">
      <c r="G123" s="121"/>
      <c r="H123" s="121"/>
      <c r="I123" s="121"/>
    </row>
    <row r="124" spans="7:9" ht="15">
      <c r="G124" s="121"/>
      <c r="H124" s="121"/>
      <c r="I124" s="121"/>
    </row>
    <row r="125" spans="7:9" ht="15">
      <c r="G125" s="121"/>
      <c r="H125" s="121"/>
      <c r="I125" s="121"/>
    </row>
    <row r="126" spans="7:9" ht="15">
      <c r="G126" s="121"/>
      <c r="H126" s="121"/>
      <c r="I126" s="121"/>
    </row>
    <row r="127" spans="7:9" ht="15">
      <c r="G127" s="121"/>
      <c r="H127" s="121"/>
      <c r="I127" s="121"/>
    </row>
    <row r="128" spans="7:9" ht="15">
      <c r="G128" s="121"/>
      <c r="H128" s="121"/>
      <c r="I128" s="121"/>
    </row>
  </sheetData>
  <pageMargins left="0.78740157499999996" right="0.78740157499999996" top="0.984251969" bottom="0.984251969" header="0.5" footer="0.5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2" enableFormatConditionsCalculation="0"/>
  <dimension ref="A1:E21"/>
  <sheetViews>
    <sheetView workbookViewId="0">
      <selection activeCell="M33" sqref="M33"/>
    </sheetView>
  </sheetViews>
  <sheetFormatPr baseColWidth="10" defaultRowHeight="13" x14ac:dyDescent="0"/>
  <sheetData>
    <row r="1" spans="1:5">
      <c r="A1" s="78" t="s">
        <v>93</v>
      </c>
    </row>
    <row r="2" spans="1:5">
      <c r="A2" t="s">
        <v>94</v>
      </c>
      <c r="C2" t="s">
        <v>92</v>
      </c>
    </row>
    <row r="3" spans="1:5">
      <c r="A3" t="s">
        <v>90</v>
      </c>
      <c r="B3" t="s">
        <v>91</v>
      </c>
      <c r="C3" t="s">
        <v>116</v>
      </c>
      <c r="D3">
        <f ca="1">'Moteur Etage 1'!B30/2</f>
        <v>0.43071246262961632</v>
      </c>
      <c r="E3" t="s">
        <v>119</v>
      </c>
    </row>
    <row r="4" spans="1:5">
      <c r="A4">
        <v>0</v>
      </c>
      <c r="B4" s="80">
        <f ca="1">'Moteur Etage 1'!$B$16</f>
        <v>1528.4606052606839</v>
      </c>
      <c r="C4" t="s">
        <v>117</v>
      </c>
      <c r="D4">
        <f ca="1">'Moteur Etage 1'!B31/2</f>
        <v>1.3620323985297436</v>
      </c>
      <c r="E4" t="s">
        <v>120</v>
      </c>
    </row>
    <row r="5" spans="1:5">
      <c r="A5">
        <f>'Moteur Etage 1'!$B$18*('Moteur Etage 1'!B15-1/100)</f>
        <v>19.089599999999997</v>
      </c>
      <c r="B5" s="80">
        <f ca="1">'Moteur Etage 1'!$B$16</f>
        <v>1528.4606052606839</v>
      </c>
      <c r="C5" t="s">
        <v>118</v>
      </c>
      <c r="D5" s="80">
        <f ca="1">'Moteur Etage 1'!B33</f>
        <v>2.7047494884374994</v>
      </c>
      <c r="E5" t="s">
        <v>114</v>
      </c>
    </row>
    <row r="6" spans="1:5">
      <c r="A6">
        <f>'Moteur Etage 1'!$B$18*'Moteur Etage 1'!B15</f>
        <v>19.68</v>
      </c>
      <c r="B6" s="80">
        <f ca="1">'Moteur Etage 1'!$B$19</f>
        <v>1132.279468548257</v>
      </c>
      <c r="C6" t="s">
        <v>115</v>
      </c>
      <c r="D6" t="s">
        <v>95</v>
      </c>
      <c r="E6" t="s">
        <v>96</v>
      </c>
    </row>
    <row r="7" spans="1:5">
      <c r="A7" s="80">
        <f>'Moteur Etage 1'!$B$18</f>
        <v>59.04</v>
      </c>
      <c r="B7" s="80">
        <f ca="1">'Moteur Etage 1'!$B$19</f>
        <v>1132.279468548257</v>
      </c>
      <c r="C7" s="83">
        <f ca="1">$D$5*(D7^2-$D$3^2)/($D$4^2-$D$3^2)</f>
        <v>0</v>
      </c>
      <c r="D7" s="86">
        <f ca="1">D3</f>
        <v>0.43071246262961632</v>
      </c>
      <c r="E7">
        <f ca="1">-D7</f>
        <v>-0.43071246262961632</v>
      </c>
    </row>
    <row r="8" spans="1:5">
      <c r="C8" s="87">
        <f t="shared" ref="C8:C21" ca="1" si="0">$D$5*(D8^2-$D$3^2)/($D$4^2-$D$3^2)</f>
        <v>0.10000093518772346</v>
      </c>
      <c r="D8" s="89">
        <f ca="1">D7+($D$21-$D$7)/14</f>
        <v>0.49723531519391112</v>
      </c>
      <c r="E8">
        <f ca="1">-D8</f>
        <v>-0.49723531519391112</v>
      </c>
    </row>
    <row r="9" spans="1:5">
      <c r="C9" s="87">
        <f t="shared" ca="1" si="0"/>
        <v>0.21433963296675881</v>
      </c>
      <c r="D9" s="89">
        <f t="shared" ref="D9:D20" ca="1" si="1">D8+($D$21-$D$7)/14</f>
        <v>0.56375816775820597</v>
      </c>
      <c r="E9">
        <f t="shared" ref="E9:E21" ca="1" si="2">-D9</f>
        <v>-0.56375816775820597</v>
      </c>
    </row>
    <row r="10" spans="1:5">
      <c r="C10" s="87">
        <f t="shared" ca="1" si="0"/>
        <v>0.3430160933371057</v>
      </c>
      <c r="D10" s="89">
        <f t="shared" ca="1" si="1"/>
        <v>0.63028102032250077</v>
      </c>
      <c r="E10">
        <f t="shared" ca="1" si="2"/>
        <v>-0.63028102032250077</v>
      </c>
    </row>
    <row r="11" spans="1:5">
      <c r="C11" s="87">
        <f t="shared" ca="1" si="0"/>
        <v>0.48603031629876453</v>
      </c>
      <c r="D11" s="89">
        <f t="shared" ca="1" si="1"/>
        <v>0.69680387288679557</v>
      </c>
      <c r="E11">
        <f t="shared" ca="1" si="2"/>
        <v>-0.69680387288679557</v>
      </c>
    </row>
    <row r="12" spans="1:5">
      <c r="C12" s="87">
        <f t="shared" ca="1" si="0"/>
        <v>0.64338230185173517</v>
      </c>
      <c r="D12" s="89">
        <f t="shared" ca="1" si="1"/>
        <v>0.76332672545109037</v>
      </c>
      <c r="E12">
        <f t="shared" ca="1" si="2"/>
        <v>-0.76332672545109037</v>
      </c>
    </row>
    <row r="13" spans="1:5">
      <c r="C13" s="87">
        <f t="shared" ca="1" si="0"/>
        <v>0.81507204999601723</v>
      </c>
      <c r="D13" s="89">
        <f t="shared" ca="1" si="1"/>
        <v>0.82984957801538517</v>
      </c>
      <c r="E13">
        <f t="shared" ca="1" si="2"/>
        <v>-0.82984957801538517</v>
      </c>
    </row>
    <row r="14" spans="1:5">
      <c r="C14" s="87">
        <f t="shared" ca="1" si="0"/>
        <v>1.0010995607316115</v>
      </c>
      <c r="D14" s="89">
        <f t="shared" ca="1" si="1"/>
        <v>0.89637243057967997</v>
      </c>
      <c r="E14">
        <f t="shared" ca="1" si="2"/>
        <v>-0.89637243057967997</v>
      </c>
    </row>
    <row r="15" spans="1:5">
      <c r="C15" s="87">
        <f t="shared" ca="1" si="0"/>
        <v>1.2014648340585175</v>
      </c>
      <c r="D15" s="89">
        <f t="shared" ca="1" si="1"/>
        <v>0.96289528314397477</v>
      </c>
      <c r="E15">
        <f t="shared" ca="1" si="2"/>
        <v>-0.96289528314397477</v>
      </c>
    </row>
    <row r="16" spans="1:5">
      <c r="C16" s="87">
        <f t="shared" ca="1" si="0"/>
        <v>1.4161678699767353</v>
      </c>
      <c r="D16" s="89">
        <f t="shared" ca="1" si="1"/>
        <v>1.0294181357082697</v>
      </c>
      <c r="E16">
        <f t="shared" ca="1" si="2"/>
        <v>-1.0294181357082697</v>
      </c>
    </row>
    <row r="17" spans="3:5">
      <c r="C17" s="87">
        <f t="shared" ca="1" si="0"/>
        <v>1.6452086684862641</v>
      </c>
      <c r="D17" s="89">
        <f t="shared" ca="1" si="1"/>
        <v>1.0959409882725644</v>
      </c>
      <c r="E17">
        <f t="shared" ca="1" si="2"/>
        <v>-1.0959409882725644</v>
      </c>
    </row>
    <row r="18" spans="3:5">
      <c r="C18" s="87">
        <f t="shared" ca="1" si="0"/>
        <v>1.8885872295871049</v>
      </c>
      <c r="D18" s="89">
        <f t="shared" ca="1" si="1"/>
        <v>1.1624638408368591</v>
      </c>
      <c r="E18">
        <f t="shared" ca="1" si="2"/>
        <v>-1.1624638408368591</v>
      </c>
    </row>
    <row r="19" spans="3:5">
      <c r="C19" s="87">
        <f t="shared" ca="1" si="0"/>
        <v>2.1463035532792571</v>
      </c>
      <c r="D19" s="89">
        <f t="shared" ca="1" si="1"/>
        <v>1.2289866934011537</v>
      </c>
      <c r="E19">
        <f t="shared" ca="1" si="2"/>
        <v>-1.2289866934011537</v>
      </c>
    </row>
    <row r="20" spans="3:5">
      <c r="C20" s="87">
        <f t="shared" ca="1" si="0"/>
        <v>2.4183576395627218</v>
      </c>
      <c r="D20" s="89">
        <f t="shared" ca="1" si="1"/>
        <v>1.2955095459654484</v>
      </c>
      <c r="E20">
        <f t="shared" ca="1" si="2"/>
        <v>-1.2955095459654484</v>
      </c>
    </row>
    <row r="21" spans="3:5">
      <c r="C21" s="90">
        <f t="shared" ca="1" si="0"/>
        <v>2.704749488437499</v>
      </c>
      <c r="D21" s="93">
        <f ca="1">D4</f>
        <v>1.3620323985297436</v>
      </c>
      <c r="E21">
        <f t="shared" ca="1" si="2"/>
        <v>-1.3620323985297436</v>
      </c>
    </row>
  </sheetData>
  <pageMargins left="0.78740157499999996" right="0.78740157499999996" top="0.984251969" bottom="0.984251969" header="0.5" footer="0.5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Feuilles de calcul</vt:lpstr>
      </vt:variant>
      <vt:variant>
        <vt:i4>11</vt:i4>
      </vt:variant>
    </vt:vector>
  </HeadingPairs>
  <TitlesOfParts>
    <vt:vector size="11" baseType="lpstr">
      <vt:lpstr>TODO</vt:lpstr>
      <vt:lpstr>Etagement</vt:lpstr>
      <vt:lpstr>Bilan Masse</vt:lpstr>
      <vt:lpstr>Moteur Etage 1</vt:lpstr>
      <vt:lpstr>Moteur Etage 2</vt:lpstr>
      <vt:lpstr>Moteur Etage 3</vt:lpstr>
      <vt:lpstr>Satellites</vt:lpstr>
      <vt:lpstr>Géométrie</vt:lpstr>
      <vt:lpstr>Aerodynamique</vt:lpstr>
      <vt:lpstr>Tableaux aéro</vt:lpstr>
      <vt:lpstr>{Calculs intermediaires}</vt:lpstr>
    </vt:vector>
  </TitlesOfParts>
  <Company>ECP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Yann Blaudin de Thé</dc:creator>
  <cp:lastModifiedBy>Yann Blaudin de Thé</cp:lastModifiedBy>
  <dcterms:created xsi:type="dcterms:W3CDTF">2010-12-07T13:30:27Z</dcterms:created>
  <dcterms:modified xsi:type="dcterms:W3CDTF">2011-03-13T22:25:52Z</dcterms:modified>
</cp:coreProperties>
</file>