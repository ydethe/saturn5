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ate1904="1" codeName="ThisWorkbook1" autoCompressPictures="0"/>
  <bookViews>
    <workbookView xWindow="9600" yWindow="-15" windowWidth="9645" windowHeight="8520" tabRatio="877" firstSheet="3" activeTab="7"/>
  </bookViews>
  <sheets>
    <sheet name="TODO" sheetId="11" r:id="rId1"/>
    <sheet name="Etagement" sheetId="1" r:id="rId2"/>
    <sheet name="Bilan Masse" sheetId="14" r:id="rId3"/>
    <sheet name="Moteur Etage 1" sheetId="2" r:id="rId4"/>
    <sheet name="Moteur Etage 2" sheetId="6" r:id="rId5"/>
    <sheet name="Moteur Etage 3" sheetId="5" r:id="rId6"/>
    <sheet name="Satellites" sheetId="4" r:id="rId7"/>
    <sheet name="Géométrie" sheetId="8" r:id="rId8"/>
    <sheet name="Aerodynamique" sheetId="12" r:id="rId9"/>
    <sheet name="Tableaux aéro" sheetId="10" r:id="rId10"/>
    <sheet name="{Calculs intermediaires}" sheetId="3" r:id="rId11"/>
  </sheets>
  <externalReferences>
    <externalReference r:id="rId12"/>
    <externalReference r:id="rId13"/>
    <externalReference r:id="rId14"/>
    <externalReference r:id="rId15"/>
    <externalReference r:id="rId16"/>
  </externalReferences>
  <calcPr calcId="124519" iterate="1" iterateCount="5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8" i="12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7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B85" i="8"/>
  <c r="E34" i="11"/>
  <c r="D34"/>
  <c r="C34"/>
  <c r="C33"/>
  <c r="B1" i="12"/>
  <c r="B6" i="8"/>
  <c r="B113"/>
  <c r="B38" i="5"/>
  <c r="B22" i="8"/>
  <c r="B34"/>
  <c r="B3"/>
  <c r="B8"/>
  <c r="J2" i="10"/>
  <c r="U2"/>
  <c r="U38"/>
  <c r="B40" i="12"/>
  <c r="AE2" i="10"/>
  <c r="AE38"/>
  <c r="E40" i="12"/>
  <c r="F40"/>
  <c r="U6" i="10"/>
  <c r="B8" i="12"/>
  <c r="AE6" i="10"/>
  <c r="E8" i="12"/>
  <c r="F8"/>
  <c r="U7" i="10"/>
  <c r="B9" i="12"/>
  <c r="AE7" i="10"/>
  <c r="E9" i="12"/>
  <c r="F9"/>
  <c r="U8" i="10"/>
  <c r="B10" i="12"/>
  <c r="AE8" i="10"/>
  <c r="E10" i="12"/>
  <c r="F10"/>
  <c r="U9" i="10"/>
  <c r="B11" i="12"/>
  <c r="AE9" i="10"/>
  <c r="E11" i="12"/>
  <c r="F11"/>
  <c r="U10" i="10"/>
  <c r="B12" i="12"/>
  <c r="AE10" i="10"/>
  <c r="E12" i="12"/>
  <c r="F12"/>
  <c r="U11" i="10"/>
  <c r="B13" i="12"/>
  <c r="AE11" i="10"/>
  <c r="E13" i="12"/>
  <c r="F13"/>
  <c r="U12" i="10"/>
  <c r="B14" i="12"/>
  <c r="AE12" i="10"/>
  <c r="E14" i="12"/>
  <c r="F14"/>
  <c r="U13" i="10"/>
  <c r="B15" i="12"/>
  <c r="AE13" i="10"/>
  <c r="E15" i="12"/>
  <c r="F15"/>
  <c r="U14" i="10"/>
  <c r="B16" i="12"/>
  <c r="AE14" i="10"/>
  <c r="E16" i="12"/>
  <c r="F16"/>
  <c r="U15" i="10"/>
  <c r="B17" i="12"/>
  <c r="AE15" i="10"/>
  <c r="E17" i="12"/>
  <c r="F17"/>
  <c r="U16" i="10"/>
  <c r="B18" i="12"/>
  <c r="AE16" i="10"/>
  <c r="E18" i="12"/>
  <c r="F18"/>
  <c r="U17" i="10"/>
  <c r="B19" i="12"/>
  <c r="AE17" i="10"/>
  <c r="E19" i="12"/>
  <c r="F19"/>
  <c r="U18" i="10"/>
  <c r="B20" i="12"/>
  <c r="AE18" i="10"/>
  <c r="E20" i="12"/>
  <c r="F20"/>
  <c r="U19" i="10"/>
  <c r="B21" i="12"/>
  <c r="AE19" i="10"/>
  <c r="E21" i="12"/>
  <c r="F21"/>
  <c r="U20" i="10"/>
  <c r="B22" i="12"/>
  <c r="AE20" i="10"/>
  <c r="E22" i="12"/>
  <c r="F22"/>
  <c r="U21" i="10"/>
  <c r="B23" i="12"/>
  <c r="AE21" i="10"/>
  <c r="E23" i="12"/>
  <c r="F23"/>
  <c r="U22" i="10"/>
  <c r="B24" i="12"/>
  <c r="AE22" i="10"/>
  <c r="E24" i="12"/>
  <c r="F24"/>
  <c r="U23" i="10"/>
  <c r="B25" i="12"/>
  <c r="AE23" i="10"/>
  <c r="E25" i="12"/>
  <c r="F25"/>
  <c r="U24" i="10"/>
  <c r="B26" i="12"/>
  <c r="AE24" i="10"/>
  <c r="E26" i="12"/>
  <c r="F26"/>
  <c r="U25" i="10"/>
  <c r="B27" i="12"/>
  <c r="AE25" i="10"/>
  <c r="E27" i="12"/>
  <c r="F27"/>
  <c r="U26" i="10"/>
  <c r="B28" i="12"/>
  <c r="AE26" i="10"/>
  <c r="E28" i="12"/>
  <c r="F28"/>
  <c r="U27" i="10"/>
  <c r="B29" i="12"/>
  <c r="AE27" i="10"/>
  <c r="E29" i="12"/>
  <c r="F29"/>
  <c r="U28" i="10"/>
  <c r="B30" i="12"/>
  <c r="AE28" i="10"/>
  <c r="E30" i="12"/>
  <c r="F30"/>
  <c r="U29" i="10"/>
  <c r="B31" i="12"/>
  <c r="AE29" i="10"/>
  <c r="E31" i="12"/>
  <c r="F31"/>
  <c r="U30" i="10"/>
  <c r="B32" i="12"/>
  <c r="AE30" i="10"/>
  <c r="E32" i="12"/>
  <c r="F32"/>
  <c r="U31" i="10"/>
  <c r="B33" i="12"/>
  <c r="AE31" i="10"/>
  <c r="E33" i="12"/>
  <c r="F33"/>
  <c r="U32" i="10"/>
  <c r="B34" i="12"/>
  <c r="AE32" i="10"/>
  <c r="E34" i="12"/>
  <c r="F34"/>
  <c r="U33" i="10"/>
  <c r="B35" i="12"/>
  <c r="AE33" i="10"/>
  <c r="E35" i="12"/>
  <c r="F35"/>
  <c r="U34" i="10"/>
  <c r="B36" i="12"/>
  <c r="AE34" i="10"/>
  <c r="E36" i="12"/>
  <c r="F36"/>
  <c r="U35" i="10"/>
  <c r="B37" i="12"/>
  <c r="AE35" i="10"/>
  <c r="E37" i="12"/>
  <c r="F37"/>
  <c r="U36" i="10"/>
  <c r="B38" i="12"/>
  <c r="AE36" i="10"/>
  <c r="E38" i="12"/>
  <c r="F38"/>
  <c r="U37" i="10"/>
  <c r="B39" i="12"/>
  <c r="AE37" i="10"/>
  <c r="E39" i="12"/>
  <c r="F39"/>
  <c r="U5" i="10"/>
  <c r="B7" i="12"/>
  <c r="AE5" i="10"/>
  <c r="E7" i="12"/>
  <c r="F7"/>
  <c r="AO7"/>
  <c r="M33" i="8"/>
  <c r="M24"/>
  <c r="G27"/>
  <c r="B37"/>
  <c r="B38"/>
  <c r="B25"/>
  <c r="B26"/>
  <c r="B78"/>
  <c r="B74"/>
  <c r="B108"/>
  <c r="G88" i="10"/>
  <c r="B81" i="8"/>
  <c r="Z8" i="12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7"/>
  <c r="G82" i="10"/>
  <c r="B7" i="8"/>
  <c r="B125"/>
  <c r="G100" i="10"/>
  <c r="AO8" i="12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7"/>
  <c r="E55" i="8"/>
  <c r="B65"/>
  <c r="B109"/>
  <c r="I95"/>
  <c r="B110"/>
  <c r="B148" i="14"/>
  <c r="H42" i="8"/>
  <c r="H43"/>
  <c r="H44"/>
  <c r="B82" i="14"/>
  <c r="G84" i="10"/>
  <c r="L88" i="8"/>
  <c r="K96"/>
  <c r="I96"/>
  <c r="B92"/>
  <c r="W5" i="10"/>
  <c r="M7" i="12"/>
  <c r="AD7"/>
  <c r="B73" i="8"/>
  <c r="B2"/>
  <c r="C6" i="4"/>
  <c r="E112" i="10"/>
  <c r="B42" i="5"/>
  <c r="AT7" i="12"/>
  <c r="AB5" i="10"/>
  <c r="AA5"/>
  <c r="AC3"/>
  <c r="AC5"/>
  <c r="X5"/>
  <c r="Y3"/>
  <c r="Y5"/>
  <c r="AD5"/>
  <c r="F5" i="8"/>
  <c r="F6"/>
  <c r="B114" i="10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13"/>
  <c r="P5"/>
  <c r="Q5"/>
  <c r="N3"/>
  <c r="R3"/>
  <c r="R5"/>
  <c r="L5"/>
  <c r="M5"/>
  <c r="N5"/>
  <c r="S5"/>
  <c r="AB6"/>
  <c r="AA6"/>
  <c r="AC6"/>
  <c r="X6"/>
  <c r="W6"/>
  <c r="Y6"/>
  <c r="AD6"/>
  <c r="AB7"/>
  <c r="AA7"/>
  <c r="AC7"/>
  <c r="X7"/>
  <c r="W7"/>
  <c r="Y7"/>
  <c r="AD7"/>
  <c r="AB8"/>
  <c r="AA8"/>
  <c r="AC8"/>
  <c r="X8"/>
  <c r="W8"/>
  <c r="Y8"/>
  <c r="AD8"/>
  <c r="AB9"/>
  <c r="AA9"/>
  <c r="AC9"/>
  <c r="X9"/>
  <c r="W9"/>
  <c r="Y9"/>
  <c r="AD9"/>
  <c r="AB10"/>
  <c r="AA10"/>
  <c r="AC10"/>
  <c r="X10"/>
  <c r="W10"/>
  <c r="Y10"/>
  <c r="AD10"/>
  <c r="AB11"/>
  <c r="AA11"/>
  <c r="AC11"/>
  <c r="X11"/>
  <c r="W11"/>
  <c r="Y11"/>
  <c r="AD11"/>
  <c r="AB12"/>
  <c r="AA12"/>
  <c r="AC12"/>
  <c r="X12"/>
  <c r="W12"/>
  <c r="Y12"/>
  <c r="AD12"/>
  <c r="AB13"/>
  <c r="AA13"/>
  <c r="AC13"/>
  <c r="X13"/>
  <c r="W13"/>
  <c r="Y13"/>
  <c r="AD13"/>
  <c r="AB14"/>
  <c r="AA14"/>
  <c r="AC14"/>
  <c r="X14"/>
  <c r="W14"/>
  <c r="Y14"/>
  <c r="AD14"/>
  <c r="AB15"/>
  <c r="AA15"/>
  <c r="AC15"/>
  <c r="X15"/>
  <c r="W15"/>
  <c r="Y15"/>
  <c r="AD15"/>
  <c r="AB16"/>
  <c r="AA16"/>
  <c r="AC16"/>
  <c r="X16"/>
  <c r="W16"/>
  <c r="Y16"/>
  <c r="AD16"/>
  <c r="AB17"/>
  <c r="AA17"/>
  <c r="AC17"/>
  <c r="X17"/>
  <c r="W17"/>
  <c r="Y17"/>
  <c r="AD17"/>
  <c r="AB18"/>
  <c r="AA18"/>
  <c r="AC18"/>
  <c r="X18"/>
  <c r="W18"/>
  <c r="Y18"/>
  <c r="AD18"/>
  <c r="AB19"/>
  <c r="AA19"/>
  <c r="AC19"/>
  <c r="X19"/>
  <c r="W19"/>
  <c r="Y19"/>
  <c r="AD19"/>
  <c r="AB20"/>
  <c r="AA20"/>
  <c r="AC20"/>
  <c r="X20"/>
  <c r="W20"/>
  <c r="Y20"/>
  <c r="AD20"/>
  <c r="AB21"/>
  <c r="AA21"/>
  <c r="AC21"/>
  <c r="X21"/>
  <c r="W21"/>
  <c r="Y21"/>
  <c r="AD21"/>
  <c r="AB22"/>
  <c r="AA22"/>
  <c r="AC22"/>
  <c r="X22"/>
  <c r="W22"/>
  <c r="Y22"/>
  <c r="AD22"/>
  <c r="AB23"/>
  <c r="AA23"/>
  <c r="AC23"/>
  <c r="X23"/>
  <c r="W23"/>
  <c r="Y23"/>
  <c r="AD23"/>
  <c r="AB24"/>
  <c r="AA24"/>
  <c r="AC24"/>
  <c r="X24"/>
  <c r="W24"/>
  <c r="Y24"/>
  <c r="AD24"/>
  <c r="AB25"/>
  <c r="AA25"/>
  <c r="AC25"/>
  <c r="X25"/>
  <c r="W25"/>
  <c r="Y25"/>
  <c r="AD25"/>
  <c r="AB26"/>
  <c r="AA26"/>
  <c r="AC26"/>
  <c r="X26"/>
  <c r="W26"/>
  <c r="Y26"/>
  <c r="AD26"/>
  <c r="AB27"/>
  <c r="AA27"/>
  <c r="AC27"/>
  <c r="X27"/>
  <c r="W27"/>
  <c r="Y27"/>
  <c r="AD27"/>
  <c r="AB28"/>
  <c r="AA28"/>
  <c r="AC28"/>
  <c r="X28"/>
  <c r="W28"/>
  <c r="Y28"/>
  <c r="AD28"/>
  <c r="AB29"/>
  <c r="AA29"/>
  <c r="AC29"/>
  <c r="X29"/>
  <c r="W29"/>
  <c r="Y29"/>
  <c r="AD29"/>
  <c r="AB30"/>
  <c r="AA30"/>
  <c r="AC30"/>
  <c r="X30"/>
  <c r="W30"/>
  <c r="Y30"/>
  <c r="AD30"/>
  <c r="AB31"/>
  <c r="AA31"/>
  <c r="AC31"/>
  <c r="X31"/>
  <c r="W31"/>
  <c r="Y31"/>
  <c r="AD31"/>
  <c r="AB32"/>
  <c r="AA32"/>
  <c r="AC32"/>
  <c r="X32"/>
  <c r="W32"/>
  <c r="Y32"/>
  <c r="AD32"/>
  <c r="AB33"/>
  <c r="AA33"/>
  <c r="AC33"/>
  <c r="X33"/>
  <c r="W33"/>
  <c r="Y33"/>
  <c r="AD33"/>
  <c r="AB34"/>
  <c r="AA34"/>
  <c r="AC34"/>
  <c r="X34"/>
  <c r="W34"/>
  <c r="Y34"/>
  <c r="AD34"/>
  <c r="AB35"/>
  <c r="AA35"/>
  <c r="AC35"/>
  <c r="X35"/>
  <c r="W35"/>
  <c r="Y35"/>
  <c r="AD35"/>
  <c r="AB36"/>
  <c r="AA36"/>
  <c r="AC36"/>
  <c r="X36"/>
  <c r="W36"/>
  <c r="Y36"/>
  <c r="AD36"/>
  <c r="AB37"/>
  <c r="AA37"/>
  <c r="AC37"/>
  <c r="X37"/>
  <c r="W37"/>
  <c r="Y37"/>
  <c r="AD37"/>
  <c r="AB38"/>
  <c r="AA38"/>
  <c r="AC38"/>
  <c r="X38"/>
  <c r="W38"/>
  <c r="Y38"/>
  <c r="AD38"/>
  <c r="AD3"/>
  <c r="AE3"/>
  <c r="P6"/>
  <c r="Q6"/>
  <c r="R6"/>
  <c r="L6"/>
  <c r="M6"/>
  <c r="N6"/>
  <c r="S6"/>
  <c r="P7"/>
  <c r="Q7"/>
  <c r="R7"/>
  <c r="L7"/>
  <c r="M7"/>
  <c r="N7"/>
  <c r="S7"/>
  <c r="P8"/>
  <c r="Q8"/>
  <c r="R8"/>
  <c r="L8"/>
  <c r="M8"/>
  <c r="N8"/>
  <c r="S8"/>
  <c r="P9"/>
  <c r="Q9"/>
  <c r="R9"/>
  <c r="L9"/>
  <c r="M9"/>
  <c r="N9"/>
  <c r="S9"/>
  <c r="P10"/>
  <c r="Q10"/>
  <c r="R10"/>
  <c r="L10"/>
  <c r="M10"/>
  <c r="N10"/>
  <c r="S10"/>
  <c r="P11"/>
  <c r="Q11"/>
  <c r="R11"/>
  <c r="L11"/>
  <c r="M11"/>
  <c r="N11"/>
  <c r="S11"/>
  <c r="P12"/>
  <c r="Q12"/>
  <c r="R12"/>
  <c r="L12"/>
  <c r="M12"/>
  <c r="N12"/>
  <c r="S12"/>
  <c r="P13"/>
  <c r="Q13"/>
  <c r="R13"/>
  <c r="L13"/>
  <c r="M13"/>
  <c r="N13"/>
  <c r="S13"/>
  <c r="P14"/>
  <c r="Q14"/>
  <c r="R14"/>
  <c r="L14"/>
  <c r="M14"/>
  <c r="N14"/>
  <c r="S14"/>
  <c r="P15"/>
  <c r="Q15"/>
  <c r="R15"/>
  <c r="L15"/>
  <c r="M15"/>
  <c r="N15"/>
  <c r="S15"/>
  <c r="P16"/>
  <c r="Q16"/>
  <c r="R16"/>
  <c r="L16"/>
  <c r="M16"/>
  <c r="N16"/>
  <c r="S16"/>
  <c r="P17"/>
  <c r="Q17"/>
  <c r="R17"/>
  <c r="L17"/>
  <c r="M17"/>
  <c r="N17"/>
  <c r="S17"/>
  <c r="P18"/>
  <c r="Q18"/>
  <c r="R18"/>
  <c r="L18"/>
  <c r="M18"/>
  <c r="N18"/>
  <c r="S18"/>
  <c r="P19"/>
  <c r="Q19"/>
  <c r="R19"/>
  <c r="L19"/>
  <c r="M19"/>
  <c r="N19"/>
  <c r="S19"/>
  <c r="P20"/>
  <c r="Q20"/>
  <c r="R20"/>
  <c r="L20"/>
  <c r="M20"/>
  <c r="N20"/>
  <c r="S20"/>
  <c r="P21"/>
  <c r="Q21"/>
  <c r="R21"/>
  <c r="L21"/>
  <c r="M21"/>
  <c r="N21"/>
  <c r="S21"/>
  <c r="P22"/>
  <c r="Q22"/>
  <c r="R22"/>
  <c r="L22"/>
  <c r="M22"/>
  <c r="N22"/>
  <c r="S22"/>
  <c r="P23"/>
  <c r="Q23"/>
  <c r="R23"/>
  <c r="L23"/>
  <c r="M23"/>
  <c r="N23"/>
  <c r="S23"/>
  <c r="P24"/>
  <c r="Q24"/>
  <c r="R24"/>
  <c r="L24"/>
  <c r="M24"/>
  <c r="N24"/>
  <c r="S24"/>
  <c r="P25"/>
  <c r="Q25"/>
  <c r="R25"/>
  <c r="L25"/>
  <c r="M25"/>
  <c r="N25"/>
  <c r="S25"/>
  <c r="P26"/>
  <c r="Q26"/>
  <c r="R26"/>
  <c r="L26"/>
  <c r="M26"/>
  <c r="N26"/>
  <c r="S26"/>
  <c r="P27"/>
  <c r="Q27"/>
  <c r="R27"/>
  <c r="L27"/>
  <c r="M27"/>
  <c r="N27"/>
  <c r="S27"/>
  <c r="P28"/>
  <c r="Q28"/>
  <c r="R28"/>
  <c r="L28"/>
  <c r="M28"/>
  <c r="N28"/>
  <c r="S28"/>
  <c r="P29"/>
  <c r="Q29"/>
  <c r="R29"/>
  <c r="L29"/>
  <c r="M29"/>
  <c r="N29"/>
  <c r="S29"/>
  <c r="P30"/>
  <c r="Q30"/>
  <c r="R30"/>
  <c r="L30"/>
  <c r="M30"/>
  <c r="N30"/>
  <c r="S30"/>
  <c r="P31"/>
  <c r="Q31"/>
  <c r="R31"/>
  <c r="L31"/>
  <c r="M31"/>
  <c r="N31"/>
  <c r="S31"/>
  <c r="P32"/>
  <c r="Q32"/>
  <c r="R32"/>
  <c r="L32"/>
  <c r="M32"/>
  <c r="N32"/>
  <c r="S32"/>
  <c r="P33"/>
  <c r="Q33"/>
  <c r="R33"/>
  <c r="L33"/>
  <c r="M33"/>
  <c r="N33"/>
  <c r="S33"/>
  <c r="P34"/>
  <c r="Q34"/>
  <c r="R34"/>
  <c r="L34"/>
  <c r="M34"/>
  <c r="N34"/>
  <c r="S34"/>
  <c r="P35"/>
  <c r="Q35"/>
  <c r="R35"/>
  <c r="L35"/>
  <c r="M35"/>
  <c r="N35"/>
  <c r="S35"/>
  <c r="P36"/>
  <c r="Q36"/>
  <c r="R36"/>
  <c r="L36"/>
  <c r="M36"/>
  <c r="N36"/>
  <c r="S36"/>
  <c r="P37"/>
  <c r="Q37"/>
  <c r="R37"/>
  <c r="L37"/>
  <c r="M37"/>
  <c r="N37"/>
  <c r="S37"/>
  <c r="P38"/>
  <c r="Q38"/>
  <c r="R38"/>
  <c r="L38"/>
  <c r="M38"/>
  <c r="N38"/>
  <c r="S38"/>
  <c r="I3"/>
  <c r="J3"/>
  <c r="U3"/>
  <c r="T5"/>
  <c r="T2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S3"/>
  <c r="D3"/>
  <c r="H3"/>
  <c r="B9" i="8"/>
  <c r="K7" i="12"/>
  <c r="O7"/>
  <c r="F6" i="10"/>
  <c r="G6"/>
  <c r="H6"/>
  <c r="C6"/>
  <c r="D6"/>
  <c r="I6"/>
  <c r="J6"/>
  <c r="F7"/>
  <c r="G7"/>
  <c r="H7"/>
  <c r="C7"/>
  <c r="D7"/>
  <c r="I7"/>
  <c r="J7"/>
  <c r="F8"/>
  <c r="G8"/>
  <c r="H8"/>
  <c r="C8"/>
  <c r="D8"/>
  <c r="I8"/>
  <c r="J8"/>
  <c r="F9"/>
  <c r="G9"/>
  <c r="H9"/>
  <c r="C9"/>
  <c r="D9"/>
  <c r="I9"/>
  <c r="J9"/>
  <c r="F10"/>
  <c r="G10"/>
  <c r="H10"/>
  <c r="C10"/>
  <c r="D10"/>
  <c r="I10"/>
  <c r="J10"/>
  <c r="F11"/>
  <c r="G11"/>
  <c r="H11"/>
  <c r="C11"/>
  <c r="D11"/>
  <c r="I11"/>
  <c r="J11"/>
  <c r="F12"/>
  <c r="G12"/>
  <c r="H12"/>
  <c r="C12"/>
  <c r="D12"/>
  <c r="I12"/>
  <c r="J12"/>
  <c r="F13"/>
  <c r="G13"/>
  <c r="H13"/>
  <c r="C13"/>
  <c r="D13"/>
  <c r="I13"/>
  <c r="J13"/>
  <c r="F14"/>
  <c r="G14"/>
  <c r="H14"/>
  <c r="C14"/>
  <c r="D14"/>
  <c r="I14"/>
  <c r="J14"/>
  <c r="F15"/>
  <c r="G15"/>
  <c r="H15"/>
  <c r="C15"/>
  <c r="D15"/>
  <c r="I15"/>
  <c r="J15"/>
  <c r="F16"/>
  <c r="G16"/>
  <c r="H16"/>
  <c r="C16"/>
  <c r="D16"/>
  <c r="I16"/>
  <c r="J16"/>
  <c r="F17"/>
  <c r="G17"/>
  <c r="H17"/>
  <c r="C17"/>
  <c r="D17"/>
  <c r="I17"/>
  <c r="J17"/>
  <c r="F18"/>
  <c r="G18"/>
  <c r="H18"/>
  <c r="C18"/>
  <c r="D18"/>
  <c r="I18"/>
  <c r="J18"/>
  <c r="F19"/>
  <c r="G19"/>
  <c r="H19"/>
  <c r="C19"/>
  <c r="D19"/>
  <c r="I19"/>
  <c r="J19"/>
  <c r="F20"/>
  <c r="G20"/>
  <c r="H20"/>
  <c r="C20"/>
  <c r="D20"/>
  <c r="I20"/>
  <c r="J20"/>
  <c r="F21"/>
  <c r="G21"/>
  <c r="H21"/>
  <c r="C21"/>
  <c r="D21"/>
  <c r="I21"/>
  <c r="J21"/>
  <c r="F22"/>
  <c r="G22"/>
  <c r="H22"/>
  <c r="C22"/>
  <c r="D22"/>
  <c r="I22"/>
  <c r="J22"/>
  <c r="F23"/>
  <c r="G23"/>
  <c r="H23"/>
  <c r="C23"/>
  <c r="D23"/>
  <c r="I23"/>
  <c r="J23"/>
  <c r="F24"/>
  <c r="G24"/>
  <c r="H24"/>
  <c r="C24"/>
  <c r="D24"/>
  <c r="I24"/>
  <c r="J24"/>
  <c r="F25"/>
  <c r="G25"/>
  <c r="H25"/>
  <c r="C25"/>
  <c r="D25"/>
  <c r="I25"/>
  <c r="J25"/>
  <c r="F26"/>
  <c r="G26"/>
  <c r="H26"/>
  <c r="C26"/>
  <c r="D26"/>
  <c r="I26"/>
  <c r="J26"/>
  <c r="F27"/>
  <c r="G27"/>
  <c r="H27"/>
  <c r="C27"/>
  <c r="D27"/>
  <c r="I27"/>
  <c r="J27"/>
  <c r="F28"/>
  <c r="G28"/>
  <c r="H28"/>
  <c r="C28"/>
  <c r="D28"/>
  <c r="I28"/>
  <c r="J28"/>
  <c r="F29"/>
  <c r="G29"/>
  <c r="H29"/>
  <c r="C29"/>
  <c r="D29"/>
  <c r="I29"/>
  <c r="J29"/>
  <c r="F30"/>
  <c r="G30"/>
  <c r="H30"/>
  <c r="C30"/>
  <c r="D30"/>
  <c r="I30"/>
  <c r="J30"/>
  <c r="F31"/>
  <c r="G31"/>
  <c r="H31"/>
  <c r="C31"/>
  <c r="D31"/>
  <c r="I31"/>
  <c r="J31"/>
  <c r="F32"/>
  <c r="G32"/>
  <c r="H32"/>
  <c r="C32"/>
  <c r="D32"/>
  <c r="I32"/>
  <c r="J32"/>
  <c r="F33"/>
  <c r="G33"/>
  <c r="H33"/>
  <c r="C33"/>
  <c r="D33"/>
  <c r="I33"/>
  <c r="J33"/>
  <c r="F34"/>
  <c r="G34"/>
  <c r="H34"/>
  <c r="C34"/>
  <c r="D34"/>
  <c r="I34"/>
  <c r="J34"/>
  <c r="F35"/>
  <c r="G35"/>
  <c r="H35"/>
  <c r="C35"/>
  <c r="D35"/>
  <c r="I35"/>
  <c r="J35"/>
  <c r="F36"/>
  <c r="G36"/>
  <c r="H36"/>
  <c r="C36"/>
  <c r="D36"/>
  <c r="I36"/>
  <c r="J36"/>
  <c r="F37"/>
  <c r="G37"/>
  <c r="H37"/>
  <c r="C37"/>
  <c r="D37"/>
  <c r="I37"/>
  <c r="J37"/>
  <c r="F38"/>
  <c r="G38"/>
  <c r="H38"/>
  <c r="C38"/>
  <c r="D38"/>
  <c r="I38"/>
  <c r="J38"/>
  <c r="F5"/>
  <c r="G5"/>
  <c r="H5"/>
  <c r="C5"/>
  <c r="D5"/>
  <c r="I5"/>
  <c r="J5"/>
  <c r="L75"/>
  <c r="M75"/>
  <c r="C7" i="12"/>
  <c r="P7"/>
  <c r="F1" i="8"/>
  <c r="F8"/>
  <c r="F9"/>
  <c r="F3"/>
  <c r="B10"/>
  <c r="Q7" i="12"/>
  <c r="L7"/>
  <c r="L76" i="10"/>
  <c r="M76"/>
  <c r="P8" i="12"/>
  <c r="Q8"/>
  <c r="L8"/>
  <c r="L77" i="10"/>
  <c r="M77"/>
  <c r="P9" i="12"/>
  <c r="Q9"/>
  <c r="L9"/>
  <c r="L78" i="10"/>
  <c r="M78"/>
  <c r="P10" i="12"/>
  <c r="Q10"/>
  <c r="L10"/>
  <c r="L79" i="10"/>
  <c r="M79"/>
  <c r="P11" i="12"/>
  <c r="Q11"/>
  <c r="L11"/>
  <c r="L80" i="10"/>
  <c r="M80"/>
  <c r="P12" i="12"/>
  <c r="Q12"/>
  <c r="L12"/>
  <c r="L81" i="10"/>
  <c r="M81"/>
  <c r="P13" i="12"/>
  <c r="Q13"/>
  <c r="L13"/>
  <c r="L82" i="10"/>
  <c r="M82"/>
  <c r="P14" i="12"/>
  <c r="Q14"/>
  <c r="L14"/>
  <c r="L83" i="10"/>
  <c r="M83"/>
  <c r="P15" i="12"/>
  <c r="Q15"/>
  <c r="L15"/>
  <c r="L84" i="10"/>
  <c r="M84"/>
  <c r="P16" i="12"/>
  <c r="Q16"/>
  <c r="L16"/>
  <c r="L85" i="10"/>
  <c r="M85"/>
  <c r="P17" i="12"/>
  <c r="Q17"/>
  <c r="L17"/>
  <c r="L86" i="10"/>
  <c r="M86"/>
  <c r="P18" i="12"/>
  <c r="Q18"/>
  <c r="L18"/>
  <c r="L87" i="10"/>
  <c r="M87"/>
  <c r="P19" i="12"/>
  <c r="Q19"/>
  <c r="L19"/>
  <c r="L88" i="10"/>
  <c r="M88"/>
  <c r="P20" i="12"/>
  <c r="Q20"/>
  <c r="L20"/>
  <c r="L89" i="10"/>
  <c r="M89"/>
  <c r="P21" i="12"/>
  <c r="Q21"/>
  <c r="L21"/>
  <c r="L90" i="10"/>
  <c r="M90"/>
  <c r="P22" i="12"/>
  <c r="Q22"/>
  <c r="L22"/>
  <c r="L91" i="10"/>
  <c r="M91"/>
  <c r="P23" i="12"/>
  <c r="Q23"/>
  <c r="L23"/>
  <c r="L92" i="10"/>
  <c r="M92"/>
  <c r="P24" i="12"/>
  <c r="Q24"/>
  <c r="L24"/>
  <c r="L93" i="10"/>
  <c r="M93"/>
  <c r="P25" i="12"/>
  <c r="Q25"/>
  <c r="L25"/>
  <c r="L94" i="10"/>
  <c r="M94"/>
  <c r="P26" i="12"/>
  <c r="Q26"/>
  <c r="L26"/>
  <c r="L95" i="10"/>
  <c r="M95"/>
  <c r="P27" i="12"/>
  <c r="Q27"/>
  <c r="L27"/>
  <c r="L96" i="10"/>
  <c r="M96"/>
  <c r="P28" i="12"/>
  <c r="Q28"/>
  <c r="L28"/>
  <c r="L97" i="10"/>
  <c r="M97"/>
  <c r="P29" i="12"/>
  <c r="Q29"/>
  <c r="L29"/>
  <c r="L98" i="10"/>
  <c r="M98"/>
  <c r="P30" i="12"/>
  <c r="Q30"/>
  <c r="L30"/>
  <c r="L99" i="10"/>
  <c r="M99"/>
  <c r="P31" i="12"/>
  <c r="Q31"/>
  <c r="L31"/>
  <c r="L100" i="10"/>
  <c r="M100"/>
  <c r="P32" i="12"/>
  <c r="Q32"/>
  <c r="L32"/>
  <c r="L101" i="10"/>
  <c r="M101"/>
  <c r="P33" i="12"/>
  <c r="Q33"/>
  <c r="L33"/>
  <c r="L102" i="10"/>
  <c r="M102"/>
  <c r="P34" i="12"/>
  <c r="Q34"/>
  <c r="L34"/>
  <c r="L103" i="10"/>
  <c r="M103"/>
  <c r="P35" i="12"/>
  <c r="Q35"/>
  <c r="L35"/>
  <c r="L104" i="10"/>
  <c r="M104"/>
  <c r="P36" i="12"/>
  <c r="Q36"/>
  <c r="L36"/>
  <c r="L105" i="10"/>
  <c r="M105"/>
  <c r="P37" i="12"/>
  <c r="Q37"/>
  <c r="L37"/>
  <c r="L106" i="10"/>
  <c r="M106"/>
  <c r="P38" i="12"/>
  <c r="Q38"/>
  <c r="L38"/>
  <c r="L107" i="10"/>
  <c r="M107"/>
  <c r="P39" i="12"/>
  <c r="Q39"/>
  <c r="L39"/>
  <c r="L108" i="10"/>
  <c r="M108"/>
  <c r="P40" i="12"/>
  <c r="Q40"/>
  <c r="L40"/>
  <c r="G79" i="10"/>
  <c r="M42"/>
  <c r="M41"/>
  <c r="B4" i="12"/>
  <c r="M43" i="10"/>
  <c r="I117" i="8"/>
  <c r="O8" i="12"/>
  <c r="K8"/>
  <c r="O9"/>
  <c r="K9"/>
  <c r="O10"/>
  <c r="K10"/>
  <c r="O11"/>
  <c r="K11"/>
  <c r="O12"/>
  <c r="K12"/>
  <c r="O13"/>
  <c r="K13"/>
  <c r="O14"/>
  <c r="K14"/>
  <c r="O15"/>
  <c r="K15"/>
  <c r="O16"/>
  <c r="K16"/>
  <c r="O17"/>
  <c r="K17"/>
  <c r="O18"/>
  <c r="K18"/>
  <c r="O19"/>
  <c r="K19"/>
  <c r="O20"/>
  <c r="K20"/>
  <c r="O21"/>
  <c r="K21"/>
  <c r="O22"/>
  <c r="K22"/>
  <c r="O23"/>
  <c r="K23"/>
  <c r="O24"/>
  <c r="K24"/>
  <c r="O25"/>
  <c r="K25"/>
  <c r="O26"/>
  <c r="K26"/>
  <c r="O27"/>
  <c r="K27"/>
  <c r="O28"/>
  <c r="K28"/>
  <c r="O29"/>
  <c r="K29"/>
  <c r="O30"/>
  <c r="K30"/>
  <c r="O31"/>
  <c r="K31"/>
  <c r="O32"/>
  <c r="K32"/>
  <c r="O33"/>
  <c r="K33"/>
  <c r="O34"/>
  <c r="K34"/>
  <c r="O35"/>
  <c r="K35"/>
  <c r="O36"/>
  <c r="K36"/>
  <c r="O37"/>
  <c r="K37"/>
  <c r="O38"/>
  <c r="K38"/>
  <c r="O39"/>
  <c r="K39"/>
  <c r="O40"/>
  <c r="K40"/>
  <c r="M8"/>
  <c r="AT8"/>
  <c r="M9"/>
  <c r="AT9"/>
  <c r="M10"/>
  <c r="AT10"/>
  <c r="M11"/>
  <c r="AT11"/>
  <c r="M12"/>
  <c r="AT12"/>
  <c r="M13"/>
  <c r="AT13"/>
  <c r="M14"/>
  <c r="AT14"/>
  <c r="M15"/>
  <c r="AT15"/>
  <c r="M16"/>
  <c r="AT16"/>
  <c r="M17"/>
  <c r="AT17"/>
  <c r="M18"/>
  <c r="AT18"/>
  <c r="M19"/>
  <c r="AT19"/>
  <c r="M20"/>
  <c r="AT20"/>
  <c r="M21"/>
  <c r="AT21"/>
  <c r="M22"/>
  <c r="AT22"/>
  <c r="M23"/>
  <c r="AT23"/>
  <c r="M24"/>
  <c r="AT24"/>
  <c r="M25"/>
  <c r="AT25"/>
  <c r="M26"/>
  <c r="AT26"/>
  <c r="M27"/>
  <c r="AT27"/>
  <c r="M28"/>
  <c r="AT28"/>
  <c r="M29"/>
  <c r="AT29"/>
  <c r="M30"/>
  <c r="AT30"/>
  <c r="M31"/>
  <c r="AT31"/>
  <c r="M32"/>
  <c r="AT32"/>
  <c r="M33"/>
  <c r="AT33"/>
  <c r="M34"/>
  <c r="AT34"/>
  <c r="M35"/>
  <c r="AT35"/>
  <c r="M36"/>
  <c r="AT36"/>
  <c r="M37"/>
  <c r="AT37"/>
  <c r="M38"/>
  <c r="AT38"/>
  <c r="M39"/>
  <c r="AT39"/>
  <c r="M40"/>
  <c r="AT40"/>
  <c r="B2"/>
  <c r="N8"/>
  <c r="S8"/>
  <c r="N9"/>
  <c r="S9"/>
  <c r="N10"/>
  <c r="S10"/>
  <c r="N11"/>
  <c r="S11"/>
  <c r="N12"/>
  <c r="S12"/>
  <c r="N13"/>
  <c r="S13"/>
  <c r="N14"/>
  <c r="S14"/>
  <c r="N15"/>
  <c r="S15"/>
  <c r="N16"/>
  <c r="S16"/>
  <c r="N17"/>
  <c r="S17"/>
  <c r="N18"/>
  <c r="S18"/>
  <c r="N19"/>
  <c r="S19"/>
  <c r="N20"/>
  <c r="S20"/>
  <c r="N21"/>
  <c r="S21"/>
  <c r="N22"/>
  <c r="S22"/>
  <c r="N23"/>
  <c r="S23"/>
  <c r="N24"/>
  <c r="S24"/>
  <c r="N25"/>
  <c r="S25"/>
  <c r="N26"/>
  <c r="S26"/>
  <c r="N27"/>
  <c r="S27"/>
  <c r="N28"/>
  <c r="S28"/>
  <c r="N29"/>
  <c r="S29"/>
  <c r="N30"/>
  <c r="S30"/>
  <c r="N31"/>
  <c r="S31"/>
  <c r="N32"/>
  <c r="S32"/>
  <c r="N33"/>
  <c r="S33"/>
  <c r="N34"/>
  <c r="S34"/>
  <c r="N35"/>
  <c r="S35"/>
  <c r="N36"/>
  <c r="S36"/>
  <c r="N37"/>
  <c r="S37"/>
  <c r="N38"/>
  <c r="S38"/>
  <c r="N39"/>
  <c r="S39"/>
  <c r="N40"/>
  <c r="S40"/>
  <c r="N7"/>
  <c r="S7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B83" i="14"/>
  <c r="B18" i="2"/>
  <c r="B36"/>
  <c r="B37"/>
  <c r="B5"/>
  <c r="B31" i="6"/>
  <c r="B12" i="2"/>
  <c r="B14"/>
  <c r="B13"/>
  <c r="C3" i="4"/>
  <c r="C4"/>
  <c r="C5"/>
  <c r="B77" i="14"/>
  <c r="B78"/>
  <c r="B190"/>
  <c r="B189"/>
  <c r="B173"/>
  <c r="B174"/>
  <c r="B175"/>
  <c r="B176"/>
  <c r="B127"/>
  <c r="B128"/>
  <c r="B129"/>
  <c r="B130"/>
  <c r="B101"/>
  <c r="B97"/>
  <c r="B96"/>
  <c r="H70"/>
  <c r="B56" i="8"/>
  <c r="B58"/>
  <c r="B71" i="14"/>
  <c r="H69"/>
  <c r="E47" i="5"/>
  <c r="F48" i="14"/>
  <c r="B43" i="5"/>
  <c r="F44" i="14"/>
  <c r="B13"/>
  <c r="B8"/>
  <c r="B9"/>
  <c r="B14"/>
  <c r="B5"/>
  <c r="B2"/>
  <c r="B10" i="6"/>
  <c r="B9"/>
  <c r="A23" i="1"/>
  <c r="I11"/>
  <c r="E12"/>
  <c r="E11"/>
  <c r="I12"/>
  <c r="I15"/>
  <c r="B23"/>
  <c r="B119" i="8"/>
  <c r="B122"/>
  <c r="B93"/>
  <c r="B89"/>
  <c r="B39"/>
  <c r="B27"/>
  <c r="E54"/>
  <c r="E57"/>
  <c r="E56"/>
  <c r="B66"/>
  <c r="B52"/>
  <c r="B50" i="5"/>
  <c r="E46"/>
  <c r="E10" i="1"/>
  <c r="I10"/>
  <c r="I14"/>
  <c r="C23"/>
  <c r="B89" i="14"/>
  <c r="B64" i="8"/>
  <c r="H52"/>
  <c r="B123"/>
  <c r="B6" i="4"/>
  <c r="I176" i="14"/>
  <c r="I175"/>
  <c r="B144"/>
  <c r="B143"/>
  <c r="B149"/>
  <c r="B10" i="5"/>
  <c r="B44" i="14"/>
  <c r="B48"/>
  <c r="M27" i="8"/>
  <c r="M28"/>
  <c r="M29"/>
  <c r="B53" i="14"/>
  <c r="B69"/>
  <c r="B67" i="8"/>
  <c r="F20"/>
  <c r="F10"/>
  <c r="F16"/>
  <c r="F19"/>
  <c r="F4"/>
  <c r="F7"/>
  <c r="F2"/>
  <c r="B102" i="14"/>
  <c r="B73"/>
  <c r="B72"/>
  <c r="B54"/>
  <c r="B20" i="2"/>
  <c r="B9" i="5"/>
  <c r="J4" i="1"/>
  <c r="B18"/>
  <c r="B16"/>
  <c r="J7"/>
  <c r="B17"/>
  <c r="B20"/>
  <c r="AD33" i="12"/>
  <c r="AD17"/>
  <c r="AD32"/>
  <c r="AD16"/>
  <c r="AD31"/>
  <c r="AD15"/>
  <c r="AD30"/>
  <c r="AD14"/>
  <c r="AD25"/>
  <c r="AD9"/>
  <c r="AD40"/>
  <c r="AD24"/>
  <c r="AD8"/>
  <c r="AD39"/>
  <c r="AD23"/>
  <c r="AD38"/>
  <c r="AD22"/>
  <c r="AD37"/>
  <c r="AD29"/>
  <c r="AD21"/>
  <c r="AD13"/>
  <c r="AD36"/>
  <c r="AD28"/>
  <c r="AD20"/>
  <c r="AD12"/>
  <c r="AD35"/>
  <c r="AD27"/>
  <c r="AD19"/>
  <c r="AD11"/>
  <c r="AD34"/>
  <c r="AD26"/>
  <c r="AD18"/>
  <c r="AD10"/>
  <c r="I17" i="1"/>
  <c r="A5" i="3"/>
  <c r="A6"/>
  <c r="A7"/>
  <c r="G29" i="8"/>
  <c r="M36"/>
  <c r="M37"/>
  <c r="M38"/>
  <c r="K41" i="10"/>
  <c r="K43"/>
  <c r="N43"/>
  <c r="AG7" i="12"/>
  <c r="K44" i="10"/>
  <c r="N44"/>
  <c r="AG8" i="12"/>
  <c r="K45" i="10"/>
  <c r="N45"/>
  <c r="AG9" i="12"/>
  <c r="I99" i="8"/>
  <c r="K46" i="10"/>
  <c r="N46"/>
  <c r="AG10" i="12"/>
  <c r="K47" i="10"/>
  <c r="N47"/>
  <c r="AG11" i="12"/>
  <c r="K48" i="10"/>
  <c r="N48"/>
  <c r="AG12" i="12"/>
  <c r="K49" i="10"/>
  <c r="N49"/>
  <c r="AG13" i="12"/>
  <c r="K50" i="10"/>
  <c r="N50"/>
  <c r="AG14" i="12"/>
  <c r="K51" i="10"/>
  <c r="N51"/>
  <c r="AG15" i="12"/>
  <c r="K52" i="10"/>
  <c r="N52"/>
  <c r="AG16" i="12"/>
  <c r="K53" i="10"/>
  <c r="N53"/>
  <c r="AG17" i="12"/>
  <c r="K54" i="10"/>
  <c r="N54"/>
  <c r="AG18" i="12"/>
  <c r="K55" i="10"/>
  <c r="N55"/>
  <c r="AG19" i="12"/>
  <c r="K56" i="10"/>
  <c r="N56"/>
  <c r="AG20" i="12"/>
  <c r="K57" i="10"/>
  <c r="N57"/>
  <c r="AG21" i="12"/>
  <c r="K58" i="10"/>
  <c r="N58"/>
  <c r="AG22" i="12"/>
  <c r="K59" i="10"/>
  <c r="N59"/>
  <c r="AG23" i="12"/>
  <c r="K60" i="10"/>
  <c r="N60"/>
  <c r="AG24" i="12"/>
  <c r="K61" i="10"/>
  <c r="N61"/>
  <c r="AG25" i="12"/>
  <c r="K62" i="10"/>
  <c r="N62"/>
  <c r="AG26" i="12"/>
  <c r="K63" i="10"/>
  <c r="N63"/>
  <c r="AG27" i="12"/>
  <c r="K64" i="10"/>
  <c r="N64"/>
  <c r="AG28" i="12"/>
  <c r="K65" i="10"/>
  <c r="N65"/>
  <c r="AG29" i="12"/>
  <c r="K66" i="10"/>
  <c r="N66"/>
  <c r="AG30" i="12"/>
  <c r="K67" i="10"/>
  <c r="N67"/>
  <c r="AG31" i="12"/>
  <c r="K68" i="10"/>
  <c r="N68"/>
  <c r="AG32" i="12"/>
  <c r="K69" i="10"/>
  <c r="N69"/>
  <c r="AG33" i="12"/>
  <c r="K70" i="10"/>
  <c r="N70"/>
  <c r="AG34" i="12"/>
  <c r="K71" i="10"/>
  <c r="N71"/>
  <c r="AG35" i="12"/>
  <c r="T3" i="10"/>
  <c r="G7" i="12"/>
  <c r="AJ7"/>
  <c r="BC7"/>
  <c r="G8"/>
  <c r="AJ8"/>
  <c r="BC8"/>
  <c r="G9"/>
  <c r="AJ9"/>
  <c r="BC9"/>
  <c r="G10"/>
  <c r="AJ10"/>
  <c r="BC10"/>
  <c r="G11"/>
  <c r="AJ11"/>
  <c r="BC11"/>
  <c r="G12"/>
  <c r="AJ12"/>
  <c r="BC12"/>
  <c r="G13"/>
  <c r="AJ13"/>
  <c r="BC13"/>
  <c r="G14"/>
  <c r="AJ14"/>
  <c r="BC14"/>
  <c r="G15"/>
  <c r="AJ15"/>
  <c r="BC15"/>
  <c r="G16"/>
  <c r="AJ16"/>
  <c r="BC16"/>
  <c r="G17"/>
  <c r="AJ17"/>
  <c r="BC17"/>
  <c r="G18"/>
  <c r="AJ18"/>
  <c r="BC18"/>
  <c r="G19"/>
  <c r="AJ19"/>
  <c r="BC19"/>
  <c r="G20"/>
  <c r="AJ20"/>
  <c r="BC20"/>
  <c r="G21"/>
  <c r="AJ21"/>
  <c r="BC21"/>
  <c r="G22"/>
  <c r="AJ22"/>
  <c r="BC22"/>
  <c r="G23"/>
  <c r="AJ23"/>
  <c r="BC23"/>
  <c r="G24"/>
  <c r="AJ24"/>
  <c r="BC24"/>
  <c r="G25"/>
  <c r="AJ25"/>
  <c r="BC25"/>
  <c r="G26"/>
  <c r="AJ26"/>
  <c r="BC26"/>
  <c r="G27"/>
  <c r="AJ27"/>
  <c r="BC27"/>
  <c r="G28"/>
  <c r="AJ28"/>
  <c r="BC28"/>
  <c r="G29"/>
  <c r="AJ29"/>
  <c r="BC29"/>
  <c r="G30"/>
  <c r="AJ30"/>
  <c r="BC30"/>
  <c r="G31"/>
  <c r="AJ31"/>
  <c r="BC31"/>
  <c r="G32"/>
  <c r="AJ32"/>
  <c r="BC32"/>
  <c r="G33"/>
  <c r="AJ33"/>
  <c r="BC33"/>
  <c r="G34"/>
  <c r="AJ34"/>
  <c r="BC34"/>
  <c r="G35"/>
  <c r="AJ35"/>
  <c r="BC35"/>
  <c r="G36"/>
  <c r="AJ36"/>
  <c r="BC36"/>
  <c r="G37"/>
  <c r="AJ37"/>
  <c r="BC37"/>
  <c r="G38"/>
  <c r="AJ38"/>
  <c r="BC38"/>
  <c r="G39"/>
  <c r="AJ39"/>
  <c r="BC39"/>
  <c r="G40"/>
  <c r="AJ40"/>
  <c r="BC40"/>
  <c r="D3" i="3"/>
  <c r="B4"/>
  <c r="D4"/>
  <c r="B5"/>
  <c r="D5"/>
  <c r="B6"/>
  <c r="B7"/>
  <c r="C7"/>
  <c r="D7"/>
  <c r="E7"/>
  <c r="C8"/>
  <c r="D8"/>
  <c r="E8"/>
  <c r="C9"/>
  <c r="D9"/>
  <c r="E9"/>
  <c r="C10"/>
  <c r="D10"/>
  <c r="E10"/>
  <c r="C11"/>
  <c r="D11"/>
  <c r="E11"/>
  <c r="C12"/>
  <c r="D12"/>
  <c r="E12"/>
  <c r="C13"/>
  <c r="D13"/>
  <c r="E13"/>
  <c r="C14"/>
  <c r="D14"/>
  <c r="E14"/>
  <c r="C15"/>
  <c r="D15"/>
  <c r="E15"/>
  <c r="C16"/>
  <c r="D16"/>
  <c r="E16"/>
  <c r="C17"/>
  <c r="D17"/>
  <c r="E17"/>
  <c r="C18"/>
  <c r="D18"/>
  <c r="E18"/>
  <c r="C19"/>
  <c r="D19"/>
  <c r="E19"/>
  <c r="C20"/>
  <c r="D20"/>
  <c r="E20"/>
  <c r="C21"/>
  <c r="D21"/>
  <c r="E21"/>
  <c r="J2" i="12"/>
  <c r="AM2"/>
  <c r="H7"/>
  <c r="I7"/>
  <c r="J7"/>
  <c r="AC7"/>
  <c r="AH7"/>
  <c r="AI7"/>
  <c r="AK7"/>
  <c r="AL7"/>
  <c r="AM7"/>
  <c r="AP7"/>
  <c r="AS7"/>
  <c r="AV7"/>
  <c r="AW7"/>
  <c r="AY7"/>
  <c r="AZ7"/>
  <c r="BA7"/>
  <c r="BD7"/>
  <c r="BE7"/>
  <c r="BG7"/>
  <c r="BH7"/>
  <c r="BI7"/>
  <c r="H8"/>
  <c r="I8"/>
  <c r="J8"/>
  <c r="AC8"/>
  <c r="AH8"/>
  <c r="AI8"/>
  <c r="AK8"/>
  <c r="AL8"/>
  <c r="AM8"/>
  <c r="AP8"/>
  <c r="AS8"/>
  <c r="AV8"/>
  <c r="AW8"/>
  <c r="AY8"/>
  <c r="AZ8"/>
  <c r="BA8"/>
  <c r="BD8"/>
  <c r="BE8"/>
  <c r="BG8"/>
  <c r="BH8"/>
  <c r="BI8"/>
  <c r="H9"/>
  <c r="I9"/>
  <c r="J9"/>
  <c r="AC9"/>
  <c r="AH9"/>
  <c r="AI9"/>
  <c r="AK9"/>
  <c r="AL9"/>
  <c r="AM9"/>
  <c r="AP9"/>
  <c r="AS9"/>
  <c r="AV9"/>
  <c r="AW9"/>
  <c r="AY9"/>
  <c r="AZ9"/>
  <c r="BA9"/>
  <c r="BD9"/>
  <c r="BE9"/>
  <c r="BG9"/>
  <c r="BH9"/>
  <c r="BI9"/>
  <c r="H10"/>
  <c r="I10"/>
  <c r="J10"/>
  <c r="AC10"/>
  <c r="AH10"/>
  <c r="AI10"/>
  <c r="AK10"/>
  <c r="AL10"/>
  <c r="AM10"/>
  <c r="AP10"/>
  <c r="AS10"/>
  <c r="AV10"/>
  <c r="AW10"/>
  <c r="AY10"/>
  <c r="AZ10"/>
  <c r="BA10"/>
  <c r="BD10"/>
  <c r="BE10"/>
  <c r="BG10"/>
  <c r="BH10"/>
  <c r="BI10"/>
  <c r="H11"/>
  <c r="I11"/>
  <c r="J11"/>
  <c r="AC11"/>
  <c r="AH11"/>
  <c r="AI11"/>
  <c r="AK11"/>
  <c r="AL11"/>
  <c r="AM11"/>
  <c r="AP11"/>
  <c r="AS11"/>
  <c r="AV11"/>
  <c r="AW11"/>
  <c r="AY11"/>
  <c r="AZ11"/>
  <c r="BA11"/>
  <c r="BD11"/>
  <c r="BE11"/>
  <c r="BG11"/>
  <c r="BH11"/>
  <c r="BI11"/>
  <c r="H12"/>
  <c r="I12"/>
  <c r="J12"/>
  <c r="AC12"/>
  <c r="AH12"/>
  <c r="AI12"/>
  <c r="AK12"/>
  <c r="AL12"/>
  <c r="AM12"/>
  <c r="AP12"/>
  <c r="AS12"/>
  <c r="AV12"/>
  <c r="AW12"/>
  <c r="AY12"/>
  <c r="AZ12"/>
  <c r="BA12"/>
  <c r="BD12"/>
  <c r="BE12"/>
  <c r="BG12"/>
  <c r="BH12"/>
  <c r="BI12"/>
  <c r="H13"/>
  <c r="I13"/>
  <c r="J13"/>
  <c r="AC13"/>
  <c r="AH13"/>
  <c r="AI13"/>
  <c r="AK13"/>
  <c r="AL13"/>
  <c r="AM13"/>
  <c r="AP13"/>
  <c r="AS13"/>
  <c r="AV13"/>
  <c r="AW13"/>
  <c r="AY13"/>
  <c r="AZ13"/>
  <c r="BA13"/>
  <c r="BD13"/>
  <c r="BE13"/>
  <c r="BG13"/>
  <c r="BH13"/>
  <c r="BI13"/>
  <c r="H14"/>
  <c r="I14"/>
  <c r="J14"/>
  <c r="AC14"/>
  <c r="AH14"/>
  <c r="AI14"/>
  <c r="AK14"/>
  <c r="AL14"/>
  <c r="AM14"/>
  <c r="AP14"/>
  <c r="AS14"/>
  <c r="AV14"/>
  <c r="AW14"/>
  <c r="AY14"/>
  <c r="AZ14"/>
  <c r="BA14"/>
  <c r="BD14"/>
  <c r="BE14"/>
  <c r="BG14"/>
  <c r="BH14"/>
  <c r="BI14"/>
  <c r="H15"/>
  <c r="I15"/>
  <c r="J15"/>
  <c r="AC15"/>
  <c r="AH15"/>
  <c r="AI15"/>
  <c r="AK15"/>
  <c r="AL15"/>
  <c r="AM15"/>
  <c r="AP15"/>
  <c r="AS15"/>
  <c r="AV15"/>
  <c r="AW15"/>
  <c r="AY15"/>
  <c r="AZ15"/>
  <c r="BA15"/>
  <c r="BD15"/>
  <c r="BE15"/>
  <c r="BG15"/>
  <c r="BH15"/>
  <c r="BI15"/>
  <c r="H16"/>
  <c r="I16"/>
  <c r="J16"/>
  <c r="AC16"/>
  <c r="AH16"/>
  <c r="AI16"/>
  <c r="AK16"/>
  <c r="AL16"/>
  <c r="AM16"/>
  <c r="AP16"/>
  <c r="AS16"/>
  <c r="AV16"/>
  <c r="AW16"/>
  <c r="AY16"/>
  <c r="AZ16"/>
  <c r="BA16"/>
  <c r="BD16"/>
  <c r="BE16"/>
  <c r="BG16"/>
  <c r="BH16"/>
  <c r="BI16"/>
  <c r="H17"/>
  <c r="I17"/>
  <c r="J17"/>
  <c r="AC17"/>
  <c r="AH17"/>
  <c r="AI17"/>
  <c r="AK17"/>
  <c r="AL17"/>
  <c r="AM17"/>
  <c r="AP17"/>
  <c r="AS17"/>
  <c r="AV17"/>
  <c r="AW17"/>
  <c r="AY17"/>
  <c r="AZ17"/>
  <c r="BA17"/>
  <c r="BD17"/>
  <c r="BE17"/>
  <c r="BG17"/>
  <c r="BH17"/>
  <c r="BI17"/>
  <c r="H18"/>
  <c r="I18"/>
  <c r="J18"/>
  <c r="AC18"/>
  <c r="AH18"/>
  <c r="AI18"/>
  <c r="AK18"/>
  <c r="AL18"/>
  <c r="AM18"/>
  <c r="AP18"/>
  <c r="AS18"/>
  <c r="AV18"/>
  <c r="AW18"/>
  <c r="AY18"/>
  <c r="AZ18"/>
  <c r="BA18"/>
  <c r="BD18"/>
  <c r="BE18"/>
  <c r="BG18"/>
  <c r="BH18"/>
  <c r="BI18"/>
  <c r="H19"/>
  <c r="I19"/>
  <c r="J19"/>
  <c r="AC19"/>
  <c r="AH19"/>
  <c r="AI19"/>
  <c r="AK19"/>
  <c r="AL19"/>
  <c r="AM19"/>
  <c r="AP19"/>
  <c r="AS19"/>
  <c r="AV19"/>
  <c r="AW19"/>
  <c r="AY19"/>
  <c r="AZ19"/>
  <c r="BA19"/>
  <c r="BD19"/>
  <c r="BE19"/>
  <c r="BG19"/>
  <c r="BH19"/>
  <c r="BI19"/>
  <c r="H20"/>
  <c r="I20"/>
  <c r="J20"/>
  <c r="AC20"/>
  <c r="AH20"/>
  <c r="AI20"/>
  <c r="AK20"/>
  <c r="AL20"/>
  <c r="AM20"/>
  <c r="AP20"/>
  <c r="AS20"/>
  <c r="AV20"/>
  <c r="AW20"/>
  <c r="AY20"/>
  <c r="AZ20"/>
  <c r="BA20"/>
  <c r="BD20"/>
  <c r="BE20"/>
  <c r="BG20"/>
  <c r="BH20"/>
  <c r="BI20"/>
  <c r="H21"/>
  <c r="I21"/>
  <c r="J21"/>
  <c r="AC21"/>
  <c r="AH21"/>
  <c r="AI21"/>
  <c r="AK21"/>
  <c r="AL21"/>
  <c r="AM21"/>
  <c r="AP21"/>
  <c r="AS21"/>
  <c r="AV21"/>
  <c r="AW21"/>
  <c r="AY21"/>
  <c r="AZ21"/>
  <c r="BA21"/>
  <c r="BD21"/>
  <c r="BE21"/>
  <c r="BG21"/>
  <c r="BH21"/>
  <c r="BI21"/>
  <c r="H22"/>
  <c r="I22"/>
  <c r="J22"/>
  <c r="AC22"/>
  <c r="AH22"/>
  <c r="AI22"/>
  <c r="AK22"/>
  <c r="AL22"/>
  <c r="AM22"/>
  <c r="AP22"/>
  <c r="AS22"/>
  <c r="AV22"/>
  <c r="AW22"/>
  <c r="AY22"/>
  <c r="AZ22"/>
  <c r="BA22"/>
  <c r="BD22"/>
  <c r="BE22"/>
  <c r="BG22"/>
  <c r="BH22"/>
  <c r="BI22"/>
  <c r="H23"/>
  <c r="I23"/>
  <c r="J23"/>
  <c r="AC23"/>
  <c r="AH23"/>
  <c r="AI23"/>
  <c r="AK23"/>
  <c r="AL23"/>
  <c r="AM23"/>
  <c r="AP23"/>
  <c r="AS23"/>
  <c r="AV23"/>
  <c r="AW23"/>
  <c r="AY23"/>
  <c r="AZ23"/>
  <c r="BA23"/>
  <c r="BD23"/>
  <c r="BE23"/>
  <c r="BG23"/>
  <c r="BH23"/>
  <c r="BI23"/>
  <c r="H24"/>
  <c r="I24"/>
  <c r="J24"/>
  <c r="AC24"/>
  <c r="AH24"/>
  <c r="AI24"/>
  <c r="AK24"/>
  <c r="AL24"/>
  <c r="AM24"/>
  <c r="AP24"/>
  <c r="AS24"/>
  <c r="AV24"/>
  <c r="AW24"/>
  <c r="AY24"/>
  <c r="AZ24"/>
  <c r="BA24"/>
  <c r="BD24"/>
  <c r="BE24"/>
  <c r="BG24"/>
  <c r="BH24"/>
  <c r="BI24"/>
  <c r="H25"/>
  <c r="I25"/>
  <c r="J25"/>
  <c r="AC25"/>
  <c r="AH25"/>
  <c r="AI25"/>
  <c r="AK25"/>
  <c r="AL25"/>
  <c r="AM25"/>
  <c r="AP25"/>
  <c r="AS25"/>
  <c r="AV25"/>
  <c r="AW25"/>
  <c r="AY25"/>
  <c r="AZ25"/>
  <c r="BA25"/>
  <c r="BD25"/>
  <c r="BE25"/>
  <c r="BG25"/>
  <c r="BH25"/>
  <c r="BI25"/>
  <c r="H26"/>
  <c r="I26"/>
  <c r="J26"/>
  <c r="AC26"/>
  <c r="AH26"/>
  <c r="AI26"/>
  <c r="AK26"/>
  <c r="AL26"/>
  <c r="AM26"/>
  <c r="AP26"/>
  <c r="AS26"/>
  <c r="AV26"/>
  <c r="AW26"/>
  <c r="AY26"/>
  <c r="AZ26"/>
  <c r="BA26"/>
  <c r="BD26"/>
  <c r="BE26"/>
  <c r="BG26"/>
  <c r="BH26"/>
  <c r="BI26"/>
  <c r="H27"/>
  <c r="I27"/>
  <c r="J27"/>
  <c r="AC27"/>
  <c r="AH27"/>
  <c r="AI27"/>
  <c r="AK27"/>
  <c r="AL27"/>
  <c r="AM27"/>
  <c r="AP27"/>
  <c r="AS27"/>
  <c r="AV27"/>
  <c r="AW27"/>
  <c r="AY27"/>
  <c r="AZ27"/>
  <c r="BA27"/>
  <c r="BD27"/>
  <c r="BE27"/>
  <c r="BG27"/>
  <c r="BH27"/>
  <c r="BI27"/>
  <c r="H28"/>
  <c r="I28"/>
  <c r="J28"/>
  <c r="AC28"/>
  <c r="AH28"/>
  <c r="AI28"/>
  <c r="AK28"/>
  <c r="AL28"/>
  <c r="AM28"/>
  <c r="AP28"/>
  <c r="AS28"/>
  <c r="AV28"/>
  <c r="AW28"/>
  <c r="AY28"/>
  <c r="AZ28"/>
  <c r="BA28"/>
  <c r="BD28"/>
  <c r="BE28"/>
  <c r="BG28"/>
  <c r="BH28"/>
  <c r="BI28"/>
  <c r="H29"/>
  <c r="I29"/>
  <c r="J29"/>
  <c r="AC29"/>
  <c r="AH29"/>
  <c r="AI29"/>
  <c r="AK29"/>
  <c r="AL29"/>
  <c r="AM29"/>
  <c r="AP29"/>
  <c r="AS29"/>
  <c r="AV29"/>
  <c r="AW29"/>
  <c r="AY29"/>
  <c r="AZ29"/>
  <c r="BA29"/>
  <c r="BD29"/>
  <c r="BE29"/>
  <c r="BG29"/>
  <c r="BH29"/>
  <c r="BI29"/>
  <c r="H30"/>
  <c r="I30"/>
  <c r="J30"/>
  <c r="AC30"/>
  <c r="AH30"/>
  <c r="AI30"/>
  <c r="AK30"/>
  <c r="AL30"/>
  <c r="AM30"/>
  <c r="AP30"/>
  <c r="AS30"/>
  <c r="AV30"/>
  <c r="AW30"/>
  <c r="AY30"/>
  <c r="AZ30"/>
  <c r="BA30"/>
  <c r="BD30"/>
  <c r="BE30"/>
  <c r="BG30"/>
  <c r="BH30"/>
  <c r="BI30"/>
  <c r="H31"/>
  <c r="I31"/>
  <c r="J31"/>
  <c r="AC31"/>
  <c r="AH31"/>
  <c r="AI31"/>
  <c r="AK31"/>
  <c r="AL31"/>
  <c r="AM31"/>
  <c r="AP31"/>
  <c r="AS31"/>
  <c r="AV31"/>
  <c r="AW31"/>
  <c r="AY31"/>
  <c r="AZ31"/>
  <c r="BA31"/>
  <c r="BD31"/>
  <c r="BE31"/>
  <c r="BG31"/>
  <c r="BH31"/>
  <c r="BI31"/>
  <c r="H32"/>
  <c r="I32"/>
  <c r="J32"/>
  <c r="AC32"/>
  <c r="AH32"/>
  <c r="AI32"/>
  <c r="AK32"/>
  <c r="AL32"/>
  <c r="AM32"/>
  <c r="AP32"/>
  <c r="AS32"/>
  <c r="AV32"/>
  <c r="AW32"/>
  <c r="AY32"/>
  <c r="AZ32"/>
  <c r="BA32"/>
  <c r="BD32"/>
  <c r="BE32"/>
  <c r="BG32"/>
  <c r="BH32"/>
  <c r="BI32"/>
  <c r="H33"/>
  <c r="I33"/>
  <c r="J33"/>
  <c r="AC33"/>
  <c r="AH33"/>
  <c r="AI33"/>
  <c r="AK33"/>
  <c r="AL33"/>
  <c r="AM33"/>
  <c r="AP33"/>
  <c r="AS33"/>
  <c r="AV33"/>
  <c r="AW33"/>
  <c r="AY33"/>
  <c r="AZ33"/>
  <c r="BA33"/>
  <c r="BD33"/>
  <c r="BE33"/>
  <c r="BG33"/>
  <c r="BH33"/>
  <c r="BI33"/>
  <c r="H34"/>
  <c r="I34"/>
  <c r="J34"/>
  <c r="AC34"/>
  <c r="AH34"/>
  <c r="AI34"/>
  <c r="AK34"/>
  <c r="AL34"/>
  <c r="AM34"/>
  <c r="AP34"/>
  <c r="AS34"/>
  <c r="AV34"/>
  <c r="AW34"/>
  <c r="AY34"/>
  <c r="AZ34"/>
  <c r="BA34"/>
  <c r="BD34"/>
  <c r="BE34"/>
  <c r="BG34"/>
  <c r="BH34"/>
  <c r="BI34"/>
  <c r="H35"/>
  <c r="I35"/>
  <c r="J35"/>
  <c r="AC35"/>
  <c r="AH35"/>
  <c r="AI35"/>
  <c r="AK35"/>
  <c r="AL35"/>
  <c r="AM35"/>
  <c r="AP35"/>
  <c r="AS35"/>
  <c r="AV35"/>
  <c r="AW35"/>
  <c r="AY35"/>
  <c r="AZ35"/>
  <c r="BA35"/>
  <c r="BD35"/>
  <c r="BE35"/>
  <c r="BG35"/>
  <c r="BH35"/>
  <c r="BI35"/>
  <c r="H36"/>
  <c r="I36"/>
  <c r="J36"/>
  <c r="AC36"/>
  <c r="AH36"/>
  <c r="AI36"/>
  <c r="AK36"/>
  <c r="AL36"/>
  <c r="AM36"/>
  <c r="AP36"/>
  <c r="AS36"/>
  <c r="AV36"/>
  <c r="AW36"/>
  <c r="AY36"/>
  <c r="AZ36"/>
  <c r="BA36"/>
  <c r="BD36"/>
  <c r="BE36"/>
  <c r="BG36"/>
  <c r="BH36"/>
  <c r="BI36"/>
  <c r="H37"/>
  <c r="I37"/>
  <c r="J37"/>
  <c r="AC37"/>
  <c r="AH37"/>
  <c r="AI37"/>
  <c r="AK37"/>
  <c r="AL37"/>
  <c r="AM37"/>
  <c r="AP37"/>
  <c r="AS37"/>
  <c r="AV37"/>
  <c r="AW37"/>
  <c r="AY37"/>
  <c r="AZ37"/>
  <c r="BA37"/>
  <c r="BD37"/>
  <c r="BE37"/>
  <c r="BG37"/>
  <c r="BH37"/>
  <c r="BI37"/>
  <c r="H38"/>
  <c r="I38"/>
  <c r="J38"/>
  <c r="AC38"/>
  <c r="AH38"/>
  <c r="AI38"/>
  <c r="AK38"/>
  <c r="AL38"/>
  <c r="AM38"/>
  <c r="AP38"/>
  <c r="AS38"/>
  <c r="AV38"/>
  <c r="AW38"/>
  <c r="AY38"/>
  <c r="AZ38"/>
  <c r="BA38"/>
  <c r="BD38"/>
  <c r="BE38"/>
  <c r="BG38"/>
  <c r="BH38"/>
  <c r="BI38"/>
  <c r="H39"/>
  <c r="I39"/>
  <c r="J39"/>
  <c r="AC39"/>
  <c r="AH39"/>
  <c r="AI39"/>
  <c r="AK39"/>
  <c r="AL39"/>
  <c r="AM39"/>
  <c r="AP39"/>
  <c r="AS39"/>
  <c r="AV39"/>
  <c r="AW39"/>
  <c r="AY39"/>
  <c r="AZ39"/>
  <c r="BA39"/>
  <c r="BD39"/>
  <c r="BE39"/>
  <c r="BG39"/>
  <c r="BH39"/>
  <c r="BI39"/>
  <c r="H40"/>
  <c r="I40"/>
  <c r="J40"/>
  <c r="AC40"/>
  <c r="AH40"/>
  <c r="AI40"/>
  <c r="AK40"/>
  <c r="AL40"/>
  <c r="AM40"/>
  <c r="AP40"/>
  <c r="AS40"/>
  <c r="AV40"/>
  <c r="AW40"/>
  <c r="AY40"/>
  <c r="AZ40"/>
  <c r="BA40"/>
  <c r="BD40"/>
  <c r="BE40"/>
  <c r="BG40"/>
  <c r="BH40"/>
  <c r="BI40"/>
  <c r="B17" i="14"/>
  <c r="B18"/>
  <c r="B20"/>
  <c r="B24"/>
  <c r="B25"/>
  <c r="B26"/>
  <c r="B35"/>
  <c r="B36"/>
  <c r="B38"/>
  <c r="B39"/>
  <c r="B40"/>
  <c r="B45"/>
  <c r="F45"/>
  <c r="B49"/>
  <c r="F49"/>
  <c r="B50"/>
  <c r="F50"/>
  <c r="B51"/>
  <c r="B56"/>
  <c r="B57"/>
  <c r="B60"/>
  <c r="H64"/>
  <c r="H65"/>
  <c r="B67"/>
  <c r="B68"/>
  <c r="B70"/>
  <c r="B74"/>
  <c r="H74"/>
  <c r="H75"/>
  <c r="H76"/>
  <c r="H78"/>
  <c r="H80"/>
  <c r="B84"/>
  <c r="B85"/>
  <c r="B90"/>
  <c r="B92"/>
  <c r="B93"/>
  <c r="B106"/>
  <c r="B114"/>
  <c r="B115"/>
  <c r="B116"/>
  <c r="I117"/>
  <c r="L117"/>
  <c r="B118"/>
  <c r="I118"/>
  <c r="B122"/>
  <c r="B126"/>
  <c r="B131"/>
  <c r="B134"/>
  <c r="B137"/>
  <c r="B140"/>
  <c r="B150"/>
  <c r="B151"/>
  <c r="B154"/>
  <c r="B155"/>
  <c r="B158"/>
  <c r="B161"/>
  <c r="B162"/>
  <c r="I163"/>
  <c r="L163"/>
  <c r="B164"/>
  <c r="I164"/>
  <c r="B168"/>
  <c r="B172"/>
  <c r="I174"/>
  <c r="B177"/>
  <c r="I177"/>
  <c r="B180"/>
  <c r="B183"/>
  <c r="B186"/>
  <c r="B194"/>
  <c r="B195"/>
  <c r="B197"/>
  <c r="B198"/>
  <c r="B201"/>
  <c r="B202"/>
  <c r="B205"/>
  <c r="B208"/>
  <c r="B209"/>
  <c r="I210"/>
  <c r="L210"/>
  <c r="B211"/>
  <c r="I211"/>
  <c r="B214"/>
  <c r="B215"/>
  <c r="I215"/>
  <c r="B217"/>
  <c r="B218"/>
  <c r="B4" i="1"/>
  <c r="C4"/>
  <c r="L10"/>
  <c r="L11"/>
  <c r="L12"/>
  <c r="A26"/>
  <c r="B26"/>
  <c r="C26"/>
  <c r="D26"/>
  <c r="A29"/>
  <c r="B29"/>
  <c r="C29"/>
  <c r="D29"/>
  <c r="A32"/>
  <c r="B32"/>
  <c r="C32"/>
  <c r="D32"/>
  <c r="B33"/>
  <c r="B18" i="8"/>
  <c r="B23"/>
  <c r="B24"/>
  <c r="G24"/>
  <c r="M25"/>
  <c r="M26"/>
  <c r="B28"/>
  <c r="M30"/>
  <c r="M34"/>
  <c r="B35"/>
  <c r="M35"/>
  <c r="B36"/>
  <c r="M39"/>
  <c r="B40"/>
  <c r="G40"/>
  <c r="J40"/>
  <c r="B43"/>
  <c r="B47"/>
  <c r="J47"/>
  <c r="B49"/>
  <c r="J49"/>
  <c r="J50"/>
  <c r="B53"/>
  <c r="B57"/>
  <c r="E58"/>
  <c r="B59"/>
  <c r="B61"/>
  <c r="B68"/>
  <c r="B69"/>
  <c r="B70"/>
  <c r="B71"/>
  <c r="B72"/>
  <c r="F72"/>
  <c r="B75"/>
  <c r="B83"/>
  <c r="B84"/>
  <c r="B88"/>
  <c r="L89"/>
  <c r="B90"/>
  <c r="B91"/>
  <c r="F91"/>
  <c r="B94"/>
  <c r="B96"/>
  <c r="B97"/>
  <c r="I97"/>
  <c r="B98"/>
  <c r="I98"/>
  <c r="B101"/>
  <c r="B102"/>
  <c r="B103"/>
  <c r="B104"/>
  <c r="B107"/>
  <c r="E107"/>
  <c r="B112"/>
  <c r="B114"/>
  <c r="B115"/>
  <c r="B118"/>
  <c r="I118"/>
  <c r="I119"/>
  <c r="B120"/>
  <c r="I120"/>
  <c r="B121"/>
  <c r="I121"/>
  <c r="F122"/>
  <c r="B124"/>
  <c r="B126"/>
  <c r="B127"/>
  <c r="B128"/>
  <c r="B131"/>
  <c r="B132"/>
  <c r="B133"/>
  <c r="B136"/>
  <c r="B139"/>
  <c r="B140"/>
  <c r="B142"/>
  <c r="B143"/>
  <c r="B7" i="2"/>
  <c r="B8"/>
  <c r="B16"/>
  <c r="F18"/>
  <c r="B19"/>
  <c r="F19"/>
  <c r="F20"/>
  <c r="B25"/>
  <c r="B26"/>
  <c r="B28"/>
  <c r="B29"/>
  <c r="B30"/>
  <c r="B31"/>
  <c r="B33"/>
  <c r="B35"/>
  <c r="B11" i="6"/>
  <c r="B12"/>
  <c r="B14"/>
  <c r="B19"/>
  <c r="B20"/>
  <c r="B21"/>
  <c r="B23"/>
  <c r="B24"/>
  <c r="B25"/>
  <c r="B26"/>
  <c r="B28"/>
  <c r="B30"/>
  <c r="B32"/>
  <c r="B11" i="5"/>
  <c r="B12"/>
  <c r="B18"/>
  <c r="G18"/>
  <c r="B19"/>
  <c r="G19"/>
  <c r="B20"/>
  <c r="G20"/>
  <c r="B21"/>
  <c r="G21"/>
  <c r="B23"/>
  <c r="G23"/>
  <c r="B24"/>
  <c r="G24"/>
  <c r="B25"/>
  <c r="D25"/>
  <c r="G25"/>
  <c r="B27"/>
  <c r="B28"/>
  <c r="B29"/>
  <c r="B30"/>
  <c r="B33"/>
  <c r="B34"/>
  <c r="B35"/>
  <c r="B36"/>
  <c r="B52"/>
  <c r="B53"/>
  <c r="B55"/>
  <c r="B56"/>
  <c r="B58"/>
  <c r="B59"/>
  <c r="B61"/>
  <c r="AF3" i="10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P43"/>
  <c r="P46"/>
  <c r="G75"/>
  <c r="N75"/>
  <c r="O75"/>
  <c r="P75"/>
  <c r="Q75"/>
  <c r="R75"/>
  <c r="S75"/>
  <c r="T75"/>
  <c r="V75"/>
  <c r="W75"/>
  <c r="X75"/>
  <c r="Y75"/>
  <c r="N76"/>
  <c r="O76"/>
  <c r="P76"/>
  <c r="Q76"/>
  <c r="R76"/>
  <c r="S76"/>
  <c r="T76"/>
  <c r="V76"/>
  <c r="W76"/>
  <c r="X76"/>
  <c r="Y76"/>
  <c r="N77"/>
  <c r="O77"/>
  <c r="P77"/>
  <c r="Q77"/>
  <c r="R77"/>
  <c r="S77"/>
  <c r="T77"/>
  <c r="V77"/>
  <c r="W77"/>
  <c r="X77"/>
  <c r="Y77"/>
  <c r="N78"/>
  <c r="O78"/>
  <c r="P78"/>
  <c r="Q78"/>
  <c r="R78"/>
  <c r="S78"/>
  <c r="T78"/>
  <c r="V78"/>
  <c r="W78"/>
  <c r="X78"/>
  <c r="Y78"/>
  <c r="N79"/>
  <c r="O79"/>
  <c r="P79"/>
  <c r="Q79"/>
  <c r="R79"/>
  <c r="S79"/>
  <c r="T79"/>
  <c r="V79"/>
  <c r="W79"/>
  <c r="X79"/>
  <c r="Y79"/>
  <c r="N80"/>
  <c r="O80"/>
  <c r="P80"/>
  <c r="Q80"/>
  <c r="R80"/>
  <c r="S80"/>
  <c r="T80"/>
  <c r="V80"/>
  <c r="W80"/>
  <c r="X80"/>
  <c r="Y80"/>
  <c r="N81"/>
  <c r="O81"/>
  <c r="P81"/>
  <c r="Q81"/>
  <c r="R81"/>
  <c r="S81"/>
  <c r="T81"/>
  <c r="V81"/>
  <c r="W81"/>
  <c r="X81"/>
  <c r="Y81"/>
  <c r="N82"/>
  <c r="O82"/>
  <c r="P82"/>
  <c r="Q82"/>
  <c r="R82"/>
  <c r="S82"/>
  <c r="T82"/>
  <c r="V82"/>
  <c r="W82"/>
  <c r="X82"/>
  <c r="Y82"/>
  <c r="N83"/>
  <c r="O83"/>
  <c r="P83"/>
  <c r="Q83"/>
  <c r="R83"/>
  <c r="S83"/>
  <c r="T83"/>
  <c r="V83"/>
  <c r="W83"/>
  <c r="X83"/>
  <c r="Y83"/>
  <c r="N84"/>
  <c r="O84"/>
  <c r="P84"/>
  <c r="Q84"/>
  <c r="R84"/>
  <c r="S84"/>
  <c r="T84"/>
  <c r="V84"/>
  <c r="W84"/>
  <c r="X84"/>
  <c r="Y84"/>
  <c r="N85"/>
  <c r="O85"/>
  <c r="P85"/>
  <c r="Q85"/>
  <c r="R85"/>
  <c r="S85"/>
  <c r="T85"/>
  <c r="V85"/>
  <c r="W85"/>
  <c r="X85"/>
  <c r="Y85"/>
  <c r="G86"/>
  <c r="N86"/>
  <c r="O86"/>
  <c r="P86"/>
  <c r="Q86"/>
  <c r="R86"/>
  <c r="S86"/>
  <c r="T86"/>
  <c r="V86"/>
  <c r="W86"/>
  <c r="X86"/>
  <c r="Y86"/>
  <c r="N87"/>
  <c r="O87"/>
  <c r="P87"/>
  <c r="Q87"/>
  <c r="R87"/>
  <c r="S87"/>
  <c r="T87"/>
  <c r="V87"/>
  <c r="W87"/>
  <c r="X87"/>
  <c r="Y87"/>
  <c r="N88"/>
  <c r="O88"/>
  <c r="P88"/>
  <c r="Q88"/>
  <c r="R88"/>
  <c r="S88"/>
  <c r="T88"/>
  <c r="V88"/>
  <c r="W88"/>
  <c r="X88"/>
  <c r="Y88"/>
  <c r="N89"/>
  <c r="O89"/>
  <c r="P89"/>
  <c r="Q89"/>
  <c r="R89"/>
  <c r="S89"/>
  <c r="T89"/>
  <c r="V89"/>
  <c r="W89"/>
  <c r="X89"/>
  <c r="Y89"/>
  <c r="G90"/>
  <c r="N90"/>
  <c r="O90"/>
  <c r="P90"/>
  <c r="Q90"/>
  <c r="R90"/>
  <c r="S90"/>
  <c r="T90"/>
  <c r="V90"/>
  <c r="W90"/>
  <c r="X90"/>
  <c r="Y90"/>
  <c r="N91"/>
  <c r="O91"/>
  <c r="P91"/>
  <c r="Q91"/>
  <c r="R91"/>
  <c r="S91"/>
  <c r="T91"/>
  <c r="V91"/>
  <c r="W91"/>
  <c r="X91"/>
  <c r="Y91"/>
  <c r="G92"/>
  <c r="N92"/>
  <c r="O92"/>
  <c r="P92"/>
  <c r="Q92"/>
  <c r="R92"/>
  <c r="S92"/>
  <c r="T92"/>
  <c r="V92"/>
  <c r="W92"/>
  <c r="X92"/>
  <c r="Y92"/>
  <c r="N93"/>
  <c r="O93"/>
  <c r="P93"/>
  <c r="Q93"/>
  <c r="R93"/>
  <c r="S93"/>
  <c r="T93"/>
  <c r="V93"/>
  <c r="W93"/>
  <c r="X93"/>
  <c r="Y93"/>
  <c r="G94"/>
  <c r="N94"/>
  <c r="O94"/>
  <c r="P94"/>
  <c r="Q94"/>
  <c r="R94"/>
  <c r="S94"/>
  <c r="T94"/>
  <c r="V94"/>
  <c r="W94"/>
  <c r="X94"/>
  <c r="Y94"/>
  <c r="N95"/>
  <c r="O95"/>
  <c r="P95"/>
  <c r="Q95"/>
  <c r="R95"/>
  <c r="S95"/>
  <c r="T95"/>
  <c r="V95"/>
  <c r="W95"/>
  <c r="X95"/>
  <c r="Y95"/>
  <c r="N96"/>
  <c r="O96"/>
  <c r="P96"/>
  <c r="Q96"/>
  <c r="R96"/>
  <c r="S96"/>
  <c r="T96"/>
  <c r="V96"/>
  <c r="W96"/>
  <c r="X96"/>
  <c r="Y96"/>
  <c r="G97"/>
  <c r="N97"/>
  <c r="O97"/>
  <c r="P97"/>
  <c r="Q97"/>
  <c r="R97"/>
  <c r="S97"/>
  <c r="T97"/>
  <c r="V97"/>
  <c r="W97"/>
  <c r="X97"/>
  <c r="Y97"/>
  <c r="N98"/>
  <c r="O98"/>
  <c r="P98"/>
  <c r="Q98"/>
  <c r="R98"/>
  <c r="S98"/>
  <c r="T98"/>
  <c r="V98"/>
  <c r="W98"/>
  <c r="X98"/>
  <c r="Y98"/>
  <c r="N99"/>
  <c r="O99"/>
  <c r="P99"/>
  <c r="Q99"/>
  <c r="R99"/>
  <c r="S99"/>
  <c r="T99"/>
  <c r="V99"/>
  <c r="W99"/>
  <c r="X99"/>
  <c r="Y99"/>
  <c r="N100"/>
  <c r="O100"/>
  <c r="P100"/>
  <c r="Q100"/>
  <c r="R100"/>
  <c r="S100"/>
  <c r="T100"/>
  <c r="V100"/>
  <c r="W100"/>
  <c r="X100"/>
  <c r="Y100"/>
  <c r="N101"/>
  <c r="O101"/>
  <c r="P101"/>
  <c r="Q101"/>
  <c r="R101"/>
  <c r="S101"/>
  <c r="T101"/>
  <c r="V101"/>
  <c r="W101"/>
  <c r="X101"/>
  <c r="Y101"/>
  <c r="N102"/>
  <c r="O102"/>
  <c r="P102"/>
  <c r="Q102"/>
  <c r="R102"/>
  <c r="S102"/>
  <c r="T102"/>
  <c r="V102"/>
  <c r="W102"/>
  <c r="X102"/>
  <c r="Y102"/>
  <c r="N103"/>
  <c r="O103"/>
  <c r="P103"/>
  <c r="Q103"/>
  <c r="R103"/>
  <c r="S103"/>
  <c r="T103"/>
  <c r="V103"/>
  <c r="W103"/>
  <c r="X103"/>
  <c r="Y103"/>
  <c r="N104"/>
  <c r="O104"/>
  <c r="P104"/>
  <c r="Q104"/>
  <c r="R104"/>
  <c r="S104"/>
  <c r="T104"/>
  <c r="V104"/>
  <c r="W104"/>
  <c r="X104"/>
  <c r="Y104"/>
  <c r="N105"/>
  <c r="O105"/>
  <c r="P105"/>
  <c r="Q105"/>
  <c r="R105"/>
  <c r="S105"/>
  <c r="T105"/>
  <c r="V105"/>
  <c r="W105"/>
  <c r="X105"/>
  <c r="Y105"/>
  <c r="N106"/>
  <c r="O106"/>
  <c r="P106"/>
  <c r="Q106"/>
  <c r="R106"/>
  <c r="S106"/>
  <c r="T106"/>
  <c r="V106"/>
  <c r="W106"/>
  <c r="X106"/>
  <c r="Y106"/>
  <c r="N107"/>
  <c r="O107"/>
  <c r="P107"/>
  <c r="Q107"/>
  <c r="R107"/>
  <c r="S107"/>
  <c r="T107"/>
  <c r="V107"/>
  <c r="W107"/>
  <c r="X107"/>
  <c r="Y107"/>
  <c r="N108"/>
  <c r="O108"/>
  <c r="P108"/>
  <c r="Q108"/>
  <c r="R108"/>
  <c r="S108"/>
  <c r="T108"/>
  <c r="V108"/>
  <c r="W108"/>
  <c r="X108"/>
  <c r="Y108"/>
  <c r="E113"/>
  <c r="C30" i="11"/>
  <c r="D30"/>
  <c r="E30"/>
  <c r="C31"/>
  <c r="D31"/>
  <c r="E31"/>
  <c r="C32"/>
  <c r="D32"/>
  <c r="E32"/>
  <c r="D33"/>
  <c r="E33"/>
  <c r="C35"/>
  <c r="D35"/>
  <c r="E35"/>
</calcChain>
</file>

<file path=xl/sharedStrings.xml><?xml version="1.0" encoding="utf-8"?>
<sst xmlns="http://schemas.openxmlformats.org/spreadsheetml/2006/main" count="1442" uniqueCount="686">
  <si>
    <t>Optimisation d'étagement</t>
  </si>
  <si>
    <t>CU (kg)</t>
  </si>
  <si>
    <t>Terre</t>
  </si>
  <si>
    <t>Apogée (km)</t>
  </si>
  <si>
    <t>Puls. Sidérale (rad/s)</t>
  </si>
  <si>
    <t>Périgée (km)</t>
  </si>
  <si>
    <t>Re (m)</t>
  </si>
  <si>
    <t>Inclinaison (°)</t>
  </si>
  <si>
    <t>Rp (m)</t>
  </si>
  <si>
    <t>mu (m^3/s^2)</t>
  </si>
  <si>
    <t>Isp* (s)</t>
  </si>
  <si>
    <t>k (%)</t>
  </si>
  <si>
    <t>g0 (m/s^2)</t>
  </si>
  <si>
    <t>Tir de Kourou</t>
  </si>
  <si>
    <t>Latitude (°)</t>
  </si>
  <si>
    <t>Vi (m/s)</t>
  </si>
  <si>
    <t>Vf (m/s)</t>
  </si>
  <si>
    <t>Azimut de tir (°)</t>
  </si>
  <si>
    <t>Pertes (m/s)</t>
  </si>
  <si>
    <t>DV requis (m/s)</t>
  </si>
  <si>
    <t>b3</t>
  </si>
  <si>
    <t>Omega3</t>
  </si>
  <si>
    <t>Omega2</t>
  </si>
  <si>
    <t>Omega1</t>
  </si>
  <si>
    <t>b2</t>
  </si>
  <si>
    <t>b1</t>
  </si>
  <si>
    <t>a3</t>
  </si>
  <si>
    <t>a2</t>
  </si>
  <si>
    <t>a1</t>
  </si>
  <si>
    <t>Cahier des charges</t>
  </si>
  <si>
    <t>DV (m/s)</t>
  </si>
  <si>
    <t>Mi3 (kg)</t>
  </si>
  <si>
    <t>Mi2 (kg)</t>
  </si>
  <si>
    <t>Mi1 (kg)</t>
  </si>
  <si>
    <t>me3 (kg)</t>
  </si>
  <si>
    <t>me2 (kg)</t>
  </si>
  <si>
    <t>me1 (kg)</t>
  </si>
  <si>
    <t>ms3 (kg)</t>
  </si>
  <si>
    <t>ms2 (kg)</t>
  </si>
  <si>
    <t>ms1 (kg)</t>
  </si>
  <si>
    <t>Total (T)</t>
  </si>
  <si>
    <t>Masses au décollage</t>
  </si>
  <si>
    <t>Masses d'ergols</t>
  </si>
  <si>
    <t>Etage</t>
  </si>
  <si>
    <t>1 (P)</t>
  </si>
  <si>
    <t>2 (P)</t>
  </si>
  <si>
    <t>3 (H)</t>
  </si>
  <si>
    <t>Isp(sol) (s)</t>
  </si>
  <si>
    <t>Isp(vide) (s)</t>
  </si>
  <si>
    <t>Envoyer résultats à</t>
  </si>
  <si>
    <t>alain.dufour@astrium.eads.net</t>
  </si>
  <si>
    <t>Masses de structure</t>
  </si>
  <si>
    <t>Coeff de rendement</t>
  </si>
  <si>
    <t xml:space="preserve"> </t>
  </si>
  <si>
    <t>Indice</t>
  </si>
  <si>
    <t>Dimensionnement moteur</t>
  </si>
  <si>
    <t>Accélération au décollage</t>
  </si>
  <si>
    <t>m/s^2</t>
  </si>
  <si>
    <t>Accélération max</t>
  </si>
  <si>
    <t>g</t>
  </si>
  <si>
    <t>Force au décollage</t>
  </si>
  <si>
    <t>N</t>
  </si>
  <si>
    <t>Sigma</t>
  </si>
  <si>
    <t>p. 82</t>
  </si>
  <si>
    <t>-</t>
  </si>
  <si>
    <t>Section tuyère/Section col (As/Ac)</t>
  </si>
  <si>
    <t>C*</t>
  </si>
  <si>
    <t>m/s</t>
  </si>
  <si>
    <t>Q</t>
  </si>
  <si>
    <t>kg/s</t>
  </si>
  <si>
    <t>Pc</t>
  </si>
  <si>
    <t>Pa</t>
  </si>
  <si>
    <t>Rendement C*</t>
  </si>
  <si>
    <t>Tcu</t>
  </si>
  <si>
    <t>s</t>
  </si>
  <si>
    <t>Débit au décollage</t>
  </si>
  <si>
    <t>kg</t>
  </si>
  <si>
    <t>Q2</t>
  </si>
  <si>
    <t>fabrice.martin@astrium.eads.net</t>
  </si>
  <si>
    <t>Vitesse de combustion</t>
  </si>
  <si>
    <t>Masse volumique combustible</t>
  </si>
  <si>
    <t>kg/m^3</t>
  </si>
  <si>
    <t>Volume de combustible</t>
  </si>
  <si>
    <t>m^3</t>
  </si>
  <si>
    <t>Hauteur</t>
  </si>
  <si>
    <t>m</t>
  </si>
  <si>
    <t>Diamètre</t>
  </si>
  <si>
    <t>mm/s</t>
  </si>
  <si>
    <t>Doit être compris entre 7 et 20</t>
  </si>
  <si>
    <t>s. 34</t>
  </si>
  <si>
    <t>t</t>
  </si>
  <si>
    <t>q</t>
  </si>
  <si>
    <t>Dessin de la tuyère</t>
  </si>
  <si>
    <t>Premier étage</t>
  </si>
  <si>
    <t>Loi de débit</t>
  </si>
  <si>
    <t>y+</t>
  </si>
  <si>
    <t>y-</t>
  </si>
  <si>
    <t>Angle divergent</t>
  </si>
  <si>
    <t>°</t>
  </si>
  <si>
    <t>p. 17</t>
  </si>
  <si>
    <t>Eb/D</t>
  </si>
  <si>
    <t>Cr</t>
  </si>
  <si>
    <t>Entre 0,6 et 0,9</t>
  </si>
  <si>
    <t>Entre 0,85 et 0,95</t>
  </si>
  <si>
    <t>Entre 1780 et 1820</t>
  </si>
  <si>
    <t>p. 15</t>
  </si>
  <si>
    <t>Volume du propulseur</t>
  </si>
  <si>
    <t>Diamètre du col</t>
  </si>
  <si>
    <t>s. 35</t>
  </si>
  <si>
    <t>Entre 16 et 22</t>
  </si>
  <si>
    <t>Diamètre sortie tuyère</t>
  </si>
  <si>
    <t>Section col</t>
  </si>
  <si>
    <t>m^2</t>
  </si>
  <si>
    <t>Section sortie tuyère</t>
  </si>
  <si>
    <t>Longueur tuyère</t>
  </si>
  <si>
    <t>x (suivant l'axe)</t>
  </si>
  <si>
    <t>Rc</t>
  </si>
  <si>
    <t>Rs</t>
  </si>
  <si>
    <t>L</t>
  </si>
  <si>
    <t>Rayon col</t>
  </si>
  <si>
    <t>Rayon sortie</t>
  </si>
  <si>
    <t>Hauteur cylindre</t>
  </si>
  <si>
    <t>Q a dimensionner pour avoir entre 5 et 10 m/s</t>
  </si>
  <si>
    <t>Acceleration</t>
  </si>
  <si>
    <t>entre 5 et 10</t>
  </si>
  <si>
    <t>m/s²</t>
  </si>
  <si>
    <t>Pression au col (entre 50 et 100)</t>
  </si>
  <si>
    <t>s. 13</t>
  </si>
  <si>
    <t>Entre 20 et 25</t>
  </si>
  <si>
    <t>Section col Ac</t>
  </si>
  <si>
    <t>Diamètre du col Dc</t>
  </si>
  <si>
    <t>Longeur caratéristique L*</t>
  </si>
  <si>
    <t>Longueur chambre Lch</t>
  </si>
  <si>
    <t>Entre 0,76 et 1,02</t>
  </si>
  <si>
    <t>s.27</t>
  </si>
  <si>
    <t>Entre 25 et 30</t>
  </si>
  <si>
    <t>s. 28</t>
  </si>
  <si>
    <t>entre 20 et 25 s.35…</t>
  </si>
  <si>
    <t>Tfin</t>
  </si>
  <si>
    <t>Entre 22 et 92</t>
  </si>
  <si>
    <t>s.31</t>
  </si>
  <si>
    <t>Lch=L*. Ac/Ach</t>
  </si>
  <si>
    <t>Etage 3: Bloc liquide (Cryogénique) = LOX/LH2</t>
  </si>
  <si>
    <t>gamma</t>
  </si>
  <si>
    <t>Fluide He</t>
  </si>
  <si>
    <t>p.43</t>
  </si>
  <si>
    <t>Section chambre Ach</t>
  </si>
  <si>
    <t>Informations p.50</t>
  </si>
  <si>
    <t xml:space="preserve">Accélération </t>
  </si>
  <si>
    <t>s. 26</t>
  </si>
  <si>
    <t>p. 92</t>
  </si>
  <si>
    <t>Temps de fonctionnement</t>
  </si>
  <si>
    <t>Section sortie tuyère As</t>
  </si>
  <si>
    <t>COMBURANT      O²</t>
  </si>
  <si>
    <t>COMBUSTIBLE   H²</t>
  </si>
  <si>
    <t>Masse</t>
  </si>
  <si>
    <t xml:space="preserve">Masse volumique </t>
  </si>
  <si>
    <t>Masse volumique</t>
  </si>
  <si>
    <t>Rm</t>
  </si>
  <si>
    <t>Volume liquide</t>
  </si>
  <si>
    <t>Volume de réservoir</t>
  </si>
  <si>
    <t xml:space="preserve">Volume des équipements dans le res. </t>
  </si>
  <si>
    <t>Négligeable</t>
  </si>
  <si>
    <t>Volume du reservoir</t>
  </si>
  <si>
    <t>ARBITRAIRE</t>
  </si>
  <si>
    <t>Etage 1 : Bloc solide (Finocyl)</t>
  </si>
  <si>
    <t>Forme du reservoir à revoir</t>
  </si>
  <si>
    <t>Cylindre</t>
  </si>
  <si>
    <t>Tcu calculé en fct de Q</t>
  </si>
  <si>
    <t>Q en fct de l'acc</t>
  </si>
  <si>
    <t>calcul à tcu/3, Verif: &lt;5g</t>
  </si>
  <si>
    <t>Lien coiffe</t>
  </si>
  <si>
    <t>Etage 2: Bloc solide (Asymétrique)</t>
  </si>
  <si>
    <t>Type choisi:  Asymétrique ( Plus économique)</t>
  </si>
  <si>
    <t>Loi de surface variable.</t>
  </si>
  <si>
    <t>Hauteur totale</t>
  </si>
  <si>
    <t>Rayon nez</t>
  </si>
  <si>
    <t>Dvolume</t>
  </si>
  <si>
    <t>Hvolume</t>
  </si>
  <si>
    <t>Angle du cône (epsilon)</t>
  </si>
  <si>
    <t>Etage 2</t>
  </si>
  <si>
    <t>Même que la coiffe</t>
  </si>
  <si>
    <t>Coefficient de remplissage Entre 0,85 et 0,95</t>
  </si>
  <si>
    <t>Volume de propulseur</t>
  </si>
  <si>
    <t>Angle de déboitement au décollage</t>
  </si>
  <si>
    <t>p. 56, poly 3</t>
  </si>
  <si>
    <t>Distance plan de séparation / Plan de sortie tuyère</t>
  </si>
  <si>
    <t>Longueur jupe</t>
  </si>
  <si>
    <t>Distance plan de séparation / Reservoir</t>
  </si>
  <si>
    <t>Etage 1</t>
  </si>
  <si>
    <t>d</t>
  </si>
  <si>
    <t>TODO</t>
  </si>
  <si>
    <t>Avoir lu le poly en détail</t>
  </si>
  <si>
    <t>Théorie des coeff transverses</t>
  </si>
  <si>
    <t>NB</t>
  </si>
  <si>
    <t>Sommation des coeff aero possible ssi:</t>
  </si>
  <si>
    <t>même surface de ref</t>
  </si>
  <si>
    <t>Géométrie externe</t>
  </si>
  <si>
    <t>même longueurs de ref (pour les moments)</t>
  </si>
  <si>
    <t>Calcul des coeff de force axials</t>
  </si>
  <si>
    <t>même point de ref (pour les moments)</t>
  </si>
  <si>
    <t>Pour les moments,</t>
  </si>
  <si>
    <t>ATTENTION aux points où sont calculés les moments dans les abaques</t>
  </si>
  <si>
    <t>Avoir l'œil critique</t>
  </si>
  <si>
    <t>Epsilon</t>
  </si>
  <si>
    <t>Répondre à la mission</t>
  </si>
  <si>
    <t>CA</t>
  </si>
  <si>
    <t>CN</t>
  </si>
  <si>
    <t>Hypothèses</t>
  </si>
  <si>
    <t>Centre de pousse = Foyer</t>
  </si>
  <si>
    <t>Les abaques pour les cones ne sont donnees que pour le cone</t>
  </si>
  <si>
    <t>Sref : base du  cone</t>
  </si>
  <si>
    <t>Point des moments : nez du cone</t>
  </si>
  <si>
    <t>Mach</t>
  </si>
  <si>
    <t>Satellites</t>
  </si>
  <si>
    <t>ASTRA 3A</t>
  </si>
  <si>
    <t>NSS-9</t>
  </si>
  <si>
    <t>AMC21</t>
  </si>
  <si>
    <t>Diamètre équivalent (m)</t>
  </si>
  <si>
    <t>Hauteur (m)</t>
  </si>
  <si>
    <t>MAX</t>
  </si>
  <si>
    <t>DB</t>
  </si>
  <si>
    <t>PB</t>
  </si>
  <si>
    <t>OC</t>
  </si>
  <si>
    <t>tan(epsilon)</t>
  </si>
  <si>
    <t>OT</t>
  </si>
  <si>
    <t>OB</t>
  </si>
  <si>
    <t>OP</t>
  </si>
  <si>
    <t>PC</t>
  </si>
  <si>
    <t>CB</t>
  </si>
  <si>
    <t>Rapport Hauteur/Diametre</t>
  </si>
  <si>
    <t>Hauteur de réservoir</t>
  </si>
  <si>
    <t>Hauteur de structure</t>
  </si>
  <si>
    <t>Hauteur structure</t>
  </si>
  <si>
    <t>CA, Cna, Cma, XCP en fonction de M</t>
  </si>
  <si>
    <t>p.12/36 poly dimensionnement aéro</t>
  </si>
  <si>
    <t>Doit être utilisable par des vrais gens de l'aéro</t>
  </si>
  <si>
    <t>Contact aéro</t>
  </si>
  <si>
    <t>ronan</t>
  </si>
  <si>
    <t>guillaume</t>
  </si>
  <si>
    <t>Justification coiffe</t>
  </si>
  <si>
    <t>Indiquer clairement points et surfaces de référence</t>
  </si>
  <si>
    <t>Xcp</t>
  </si>
  <si>
    <t>Jupe</t>
  </si>
  <si>
    <t>Kp</t>
  </si>
  <si>
    <t>r</t>
  </si>
  <si>
    <t>R</t>
  </si>
  <si>
    <t>Sref</t>
  </si>
  <si>
    <t>altitude (km)</t>
  </si>
  <si>
    <t>Re*/l</t>
  </si>
  <si>
    <t>mach</t>
  </si>
  <si>
    <t>altitude (m)</t>
  </si>
  <si>
    <t>Re</t>
  </si>
  <si>
    <t>Altitude</t>
  </si>
  <si>
    <t>Lfrot</t>
  </si>
  <si>
    <t>Cône + Cylindre</t>
  </si>
  <si>
    <t>x/D</t>
  </si>
  <si>
    <t>d/D</t>
  </si>
  <si>
    <t>Cône émoussé</t>
  </si>
  <si>
    <t>Etage 3</t>
  </si>
  <si>
    <t>Point de référence des moments</t>
  </si>
  <si>
    <t>Bout de la coiffe</t>
  </si>
  <si>
    <t>Hauteur cône (SB)</t>
  </si>
  <si>
    <t>Lref</t>
  </si>
  <si>
    <t>Cmα</t>
  </si>
  <si>
    <t>CNα</t>
  </si>
  <si>
    <t>Coiffe</t>
  </si>
  <si>
    <t>Cone et Cylindre</t>
  </si>
  <si>
    <t>Cone seul (d/D=0 et theta=10)</t>
  </si>
  <si>
    <t>Entre 12 et 20</t>
  </si>
  <si>
    <t xml:space="preserve">Rapport </t>
  </si>
  <si>
    <t>Pression chambre</t>
  </si>
  <si>
    <t>Pression col</t>
  </si>
  <si>
    <t xml:space="preserve">LOX/LH2 </t>
  </si>
  <si>
    <t>m3</t>
  </si>
  <si>
    <t xml:space="preserve">Pourcentage </t>
  </si>
  <si>
    <t>Rayon reel</t>
  </si>
  <si>
    <t xml:space="preserve">Rayon virtuel </t>
  </si>
  <si>
    <t xml:space="preserve">Rayon cylindre  </t>
  </si>
  <si>
    <t xml:space="preserve">Hauteur cylindre </t>
  </si>
  <si>
    <t xml:space="preserve">Volume cylindre </t>
  </si>
  <si>
    <t xml:space="preserve">Rayon fond </t>
  </si>
  <si>
    <t xml:space="preserve">Hauteur fond </t>
  </si>
  <si>
    <t xml:space="preserve">Volume fond </t>
  </si>
  <si>
    <t>Réservoir sphérique LOX (supérieur)</t>
  </si>
  <si>
    <t>nbre de reservoirs</t>
  </si>
  <si>
    <t>Rayon d'une sphère</t>
  </si>
  <si>
    <t>X réservoirs sphériques LH2(inf)</t>
  </si>
  <si>
    <t xml:space="preserve">Réservoir cylindrique LOX (sup) </t>
  </si>
  <si>
    <t>Sm    (Surface mouillée)</t>
  </si>
  <si>
    <t>Rayon interne tore ( r )</t>
  </si>
  <si>
    <t>Rayon du tore ( R)</t>
  </si>
  <si>
    <t>Jupe arrière</t>
  </si>
  <si>
    <t>D3</t>
  </si>
  <si>
    <t>D1</t>
  </si>
  <si>
    <t>D4</t>
  </si>
  <si>
    <t>D5</t>
  </si>
  <si>
    <t>D6</t>
  </si>
  <si>
    <t>Ratio L/D</t>
  </si>
  <si>
    <t>entre 10 et 14</t>
  </si>
  <si>
    <t>D5'</t>
  </si>
  <si>
    <t>D4'</t>
  </si>
  <si>
    <t>D3'</t>
  </si>
  <si>
    <t>D1'</t>
  </si>
  <si>
    <t>D6'</t>
  </si>
  <si>
    <t>Rayon chambre</t>
  </si>
  <si>
    <t>Vérif angle de déboitement (Détage fixé)</t>
  </si>
  <si>
    <t>Vérif Détage (Angle déboit. 15°)</t>
  </si>
  <si>
    <t>Jupe avant</t>
  </si>
  <si>
    <t>Etage 3   - LOX/LH2</t>
  </si>
  <si>
    <t>Valeurs initiales (boucle)</t>
  </si>
  <si>
    <t>Hauteur totale étage avec jupes</t>
  </si>
  <si>
    <t>Diametre étage 3</t>
  </si>
  <si>
    <t>Hauteur totale reservoirs liquides</t>
  </si>
  <si>
    <t>Etage 1 - Solide</t>
  </si>
  <si>
    <t>Etage 2 - Solide</t>
  </si>
  <si>
    <t>Rayon sphère</t>
  </si>
  <si>
    <t>Hauteur res</t>
  </si>
  <si>
    <t xml:space="preserve">Hauteur tot </t>
  </si>
  <si>
    <t>p. 56/124, poly 3</t>
  </si>
  <si>
    <t>Solution 4 reservoirs cylindriques LH2 (inf) (avec LOX cylindrique au milieu)</t>
  </si>
  <si>
    <t>SOLUTIONS NON RETENUES:</t>
  </si>
  <si>
    <t>Chargement</t>
  </si>
  <si>
    <t>Corps de propulseur</t>
  </si>
  <si>
    <t>Propulseur mécanique</t>
  </si>
  <si>
    <t>Masse d'ergols</t>
  </si>
  <si>
    <t xml:space="preserve">kg </t>
  </si>
  <si>
    <t>Masse jupe arrière</t>
  </si>
  <si>
    <t>Ensemble arrière</t>
  </si>
  <si>
    <t>Mp</t>
  </si>
  <si>
    <t>Mt</t>
  </si>
  <si>
    <t>Aménagements internes</t>
  </si>
  <si>
    <t>Mai</t>
  </si>
  <si>
    <t>Allumeur</t>
  </si>
  <si>
    <t>Mdall</t>
  </si>
  <si>
    <t>Jupes</t>
  </si>
  <si>
    <t>Kmat</t>
  </si>
  <si>
    <t>Aluminium</t>
  </si>
  <si>
    <t>Kouv</t>
  </si>
  <si>
    <t>Kchg1</t>
  </si>
  <si>
    <t>Charge ordinaire</t>
  </si>
  <si>
    <t>Kchg2</t>
  </si>
  <si>
    <t>Pas d'effort concentré</t>
  </si>
  <si>
    <t>Sjupe avant</t>
  </si>
  <si>
    <t>Masse jupe avant</t>
  </si>
  <si>
    <t>m2</t>
  </si>
  <si>
    <t>Sjupe arrière</t>
  </si>
  <si>
    <t>Kconcept1</t>
  </si>
  <si>
    <t>Conception actuelle ou plus ancienne</t>
  </si>
  <si>
    <t>Supports</t>
  </si>
  <si>
    <t>Membasse</t>
  </si>
  <si>
    <t>Equipements</t>
  </si>
  <si>
    <t>Mavionique</t>
  </si>
  <si>
    <t>TVC</t>
  </si>
  <si>
    <r>
      <t>M</t>
    </r>
    <r>
      <rPr>
        <sz val="8"/>
        <rFont val="Verdana"/>
        <family val="2"/>
      </rPr>
      <t>TVC</t>
    </r>
  </si>
  <si>
    <t>Indice de performance</t>
  </si>
  <si>
    <t>km</t>
  </si>
  <si>
    <t>Pression de dimensionnement=Pression chambre????</t>
  </si>
  <si>
    <t>Epaisseur jupettes</t>
  </si>
  <si>
    <t>Longeur jupette</t>
  </si>
  <si>
    <t>Pc: Pression de combustion= Pression chambre?</t>
  </si>
  <si>
    <t>D: diametre du propulseur</t>
  </si>
  <si>
    <t>masse jupette</t>
  </si>
  <si>
    <t>Moteur</t>
  </si>
  <si>
    <t>Etage 3 - LOX/LH2</t>
  </si>
  <si>
    <t>F</t>
  </si>
  <si>
    <t>kN</t>
  </si>
  <si>
    <t>f</t>
  </si>
  <si>
    <t>Reservoirs</t>
  </si>
  <si>
    <t>Kamen</t>
  </si>
  <si>
    <t>Mres</t>
  </si>
  <si>
    <t>Structure ordinaire</t>
  </si>
  <si>
    <t>Conception actuelle</t>
  </si>
  <si>
    <t>Pressurisation</t>
  </si>
  <si>
    <t>Pt</t>
  </si>
  <si>
    <t>Vt</t>
  </si>
  <si>
    <t>Mmol</t>
  </si>
  <si>
    <t>Tg</t>
  </si>
  <si>
    <t>Pr</t>
  </si>
  <si>
    <t>Tr</t>
  </si>
  <si>
    <t>Ms</t>
  </si>
  <si>
    <t>Ergols</t>
  </si>
  <si>
    <t>M ergols</t>
  </si>
  <si>
    <t>Systèmes d'alimentation</t>
  </si>
  <si>
    <t>kg/m</t>
  </si>
  <si>
    <t>Mlinéique pres oxydant</t>
  </si>
  <si>
    <t>Mlinéique pres reducteur</t>
  </si>
  <si>
    <t>Mlinéque alim oxydant</t>
  </si>
  <si>
    <t>Mlinéique alim réducteur</t>
  </si>
  <si>
    <t>Mvannes</t>
  </si>
  <si>
    <t>Mantipogo</t>
  </si>
  <si>
    <t>Msupplémentaire</t>
  </si>
  <si>
    <t>Longueur</t>
  </si>
  <si>
    <t>Bati moteur</t>
  </si>
  <si>
    <t>Kmat-la</t>
  </si>
  <si>
    <t>Tvide</t>
  </si>
  <si>
    <t>Phi</t>
  </si>
  <si>
    <t>Concept actuel</t>
  </si>
  <si>
    <t>Mbm (non équipé)</t>
  </si>
  <si>
    <t>g=go??????</t>
  </si>
  <si>
    <t>Mbm (équipé)</t>
  </si>
  <si>
    <t>Inter-reservoirs</t>
  </si>
  <si>
    <t>Sjupe inter-reservoir</t>
  </si>
  <si>
    <t>Masse jupe inter-res</t>
  </si>
  <si>
    <t>Pas d'ouvertur pour la jupe arrière</t>
  </si>
  <si>
    <t>Mequipements</t>
  </si>
  <si>
    <t>Supports réservoirs et/ou sphères pressurisation + équipements</t>
  </si>
  <si>
    <t>Msupports réservoirs</t>
  </si>
  <si>
    <t>Msupports sphères de pres</t>
  </si>
  <si>
    <t>Thrust Vector Control</t>
  </si>
  <si>
    <t>Reservoir verins</t>
  </si>
  <si>
    <t>Nbrs de moteurs</t>
  </si>
  <si>
    <t>Vérins</t>
  </si>
  <si>
    <t>Accessoires associés</t>
  </si>
  <si>
    <t>Mcoiffe</t>
  </si>
  <si>
    <t>ACU</t>
  </si>
  <si>
    <r>
      <t>M</t>
    </r>
    <r>
      <rPr>
        <sz val="8"/>
        <rFont val="Verdana"/>
        <family val="2"/>
      </rPr>
      <t>ACU</t>
    </r>
  </si>
  <si>
    <t>Case à équipements</t>
  </si>
  <si>
    <t>Mcase</t>
  </si>
  <si>
    <t>Scase</t>
  </si>
  <si>
    <t>TOTAL Etage 2</t>
  </si>
  <si>
    <t>TOTAL Etage 1</t>
  </si>
  <si>
    <t>Mlanceur sans marge</t>
  </si>
  <si>
    <t>Mlanceur avec marge</t>
  </si>
  <si>
    <t>Pression interne Combustible LH2</t>
  </si>
  <si>
    <t>Pression interne Comburant  LOX</t>
  </si>
  <si>
    <t>Ti H2</t>
  </si>
  <si>
    <t>K</t>
  </si>
  <si>
    <t>Ti GOX</t>
  </si>
  <si>
    <t>Te H2</t>
  </si>
  <si>
    <t>Te GOX</t>
  </si>
  <si>
    <t>T H2</t>
  </si>
  <si>
    <t>T GOX</t>
  </si>
  <si>
    <t>Mhélium pressurisé pour LH2</t>
  </si>
  <si>
    <t>Mhélium pressurisé pour LOX</t>
  </si>
  <si>
    <t>Vres_hélium pour LH2</t>
  </si>
  <si>
    <t>Vres_hélium pour LOX</t>
  </si>
  <si>
    <t>Vres_hélium total</t>
  </si>
  <si>
    <t>Mhélium totale</t>
  </si>
  <si>
    <r>
      <t xml:space="preserve">PRESSURISATION </t>
    </r>
    <r>
      <rPr>
        <i/>
        <sz val="10"/>
        <rFont val="Verdana"/>
        <family val="2"/>
      </rPr>
      <t>par l'Hélium</t>
    </r>
  </si>
  <si>
    <t>p. 40</t>
  </si>
  <si>
    <t>LH2</t>
  </si>
  <si>
    <t>LOX</t>
  </si>
  <si>
    <t>g/mol</t>
  </si>
  <si>
    <t>mgp non majorée</t>
  </si>
  <si>
    <t>mgp majorée</t>
  </si>
  <si>
    <t>M=VresLH2*massevolumiqueH</t>
  </si>
  <si>
    <t>Nbre reservoirs</t>
  </si>
  <si>
    <r>
      <t>J mol</t>
    </r>
    <r>
      <rPr>
        <vertAlign val="superscript"/>
        <sz val="10"/>
        <rFont val="Verdana"/>
        <family val="2"/>
      </rPr>
      <t>-1</t>
    </r>
    <r>
      <rPr>
        <sz val="10"/>
        <rFont val="Verdana"/>
        <family val="2"/>
      </rPr>
      <t xml:space="preserve"> K</t>
    </r>
    <r>
      <rPr>
        <vertAlign val="superscript"/>
        <sz val="10"/>
        <rFont val="Verdana"/>
        <family val="2"/>
      </rPr>
      <t>-1</t>
    </r>
  </si>
  <si>
    <t>Identique à  mgp</t>
  </si>
  <si>
    <t>Mtotal Hélium</t>
  </si>
  <si>
    <t>cs</t>
  </si>
  <si>
    <t>Vsphère</t>
  </si>
  <si>
    <t>Efforts généraux</t>
  </si>
  <si>
    <t>Trajectoire</t>
  </si>
  <si>
    <t>Soutenances</t>
  </si>
  <si>
    <t>45min/grp</t>
  </si>
  <si>
    <t>20min exposé</t>
  </si>
  <si>
    <t>20min de questions</t>
  </si>
  <si>
    <t>5min délibération</t>
  </si>
  <si>
    <t>Rapport : pdf par mail &lt; minuit Environ 30pages Envoyer éventuellement Matlab</t>
  </si>
  <si>
    <t>Sommaire Rapport</t>
  </si>
  <si>
    <t>1. Cahier des charges</t>
  </si>
  <si>
    <t>Configuration proposée</t>
  </si>
  <si>
    <t>2. Etagement</t>
  </si>
  <si>
    <t>Justif des choix</t>
  </si>
  <si>
    <t>3. Propulsion</t>
  </si>
  <si>
    <t>EP1</t>
  </si>
  <si>
    <t>EP2</t>
  </si>
  <si>
    <t>EP3</t>
  </si>
  <si>
    <t>me</t>
  </si>
  <si>
    <t>ms</t>
  </si>
  <si>
    <t>tc</t>
  </si>
  <si>
    <t>5. Aérodynamique</t>
  </si>
  <si>
    <t>4. Architecture/Bilan de masses</t>
  </si>
  <si>
    <r>
      <t>Annexes (</t>
    </r>
    <r>
      <rPr>
        <b/>
        <sz val="10"/>
        <rFont val="Verdana"/>
        <family val="2"/>
      </rPr>
      <t>pas besoin de 8 chiffres après la virgule!!!</t>
    </r>
    <r>
      <rPr>
        <sz val="10"/>
        <rFont val="Verdana"/>
        <family val="2"/>
      </rPr>
      <t>)</t>
    </r>
  </si>
  <si>
    <t>6. Trajectoire/Perfo/Pertes</t>
  </si>
  <si>
    <t>CNα (/deg)</t>
  </si>
  <si>
    <t>Cmα (/deg)</t>
  </si>
  <si>
    <t xml:space="preserve">Nombreuses ouvertures </t>
  </si>
  <si>
    <t>Dimension case à équipement: 1m de hauteur</t>
  </si>
  <si>
    <t>TOTAL Partie supérieure</t>
  </si>
  <si>
    <t>Poussée étage 3</t>
  </si>
  <si>
    <t>Mmoteur</t>
  </si>
  <si>
    <t>Kouv LOX</t>
  </si>
  <si>
    <t>Pas d'ouverture car reservoir petit</t>
  </si>
  <si>
    <t>Kouv LH2</t>
  </si>
  <si>
    <t>Nombreuses ouvertures</t>
  </si>
  <si>
    <t>Vres LOX</t>
  </si>
  <si>
    <t>Vres LH2</t>
  </si>
  <si>
    <t>Mres LOX</t>
  </si>
  <si>
    <t>Mres LH2</t>
  </si>
  <si>
    <t>Non considéré</t>
  </si>
  <si>
    <t>auto regénérescence</t>
  </si>
  <si>
    <t>Pression de stockage</t>
  </si>
  <si>
    <t>Pas besoin de réchauffer</t>
  </si>
  <si>
    <t>Mligne  pres oxydant LOX</t>
  </si>
  <si>
    <t>Mligne  pres réducteur LH2</t>
  </si>
  <si>
    <t>Mligne alim oxydant LOX</t>
  </si>
  <si>
    <t>Mligne alim reducteur LH2</t>
  </si>
  <si>
    <t>Nombre de lignes</t>
  </si>
  <si>
    <t>Anti-vortex, anti ballottements …</t>
  </si>
  <si>
    <t>Ouverture homme</t>
  </si>
  <si>
    <t>Surface mouillée</t>
  </si>
  <si>
    <t>Pousse à vide</t>
  </si>
  <si>
    <t>Interétage</t>
  </si>
  <si>
    <t xml:space="preserve">avec L: Hauteur totale du lanceur. </t>
  </si>
  <si>
    <t>Masse ergols</t>
  </si>
  <si>
    <t>TOTAL Etage 3</t>
  </si>
  <si>
    <t>Masse seche étage 3</t>
  </si>
  <si>
    <t>Capacité métallique</t>
  </si>
  <si>
    <t>Mpropulseur</t>
  </si>
  <si>
    <t>Pression de dimensionnement=Pression chambre????/ sortie tuyère et col</t>
  </si>
  <si>
    <t>Densité matériau</t>
  </si>
  <si>
    <t>kg/m3</t>
  </si>
  <si>
    <t>Composite graphite/epoxy</t>
  </si>
  <si>
    <t>Masse jupette</t>
  </si>
  <si>
    <t>D: Diametre du propulseur=Diametre de l'étage car structural</t>
  </si>
  <si>
    <t>L: Longueur du propulseur</t>
  </si>
  <si>
    <t xml:space="preserve"> égal à Etage car reservoir structuraux</t>
  </si>
  <si>
    <t>Nombreuse ouvertures</t>
  </si>
  <si>
    <t>enlever tout support</t>
  </si>
  <si>
    <t>Msuportée</t>
  </si>
  <si>
    <t>Masse supportée = Mcorps propulseur + Mchargement + Mallumeur + Maménagement interne + Mensemble arrière + Mequipements + Membases</t>
  </si>
  <si>
    <t>Msupports</t>
  </si>
  <si>
    <t>Masse de l'étage</t>
  </si>
  <si>
    <t>Masse seche étage 2</t>
  </si>
  <si>
    <t>densité matériau</t>
  </si>
  <si>
    <t>D diametre propulseur</t>
  </si>
  <si>
    <t>Membase</t>
  </si>
  <si>
    <t xml:space="preserve"> masse capacité = masse propulseur</t>
  </si>
  <si>
    <t>Kouv jupes avant</t>
  </si>
  <si>
    <t>Kouv jupes arrière</t>
  </si>
  <si>
    <t>Msupportée</t>
  </si>
  <si>
    <t>Masse seche étage 1</t>
  </si>
  <si>
    <t>tonnes</t>
  </si>
  <si>
    <t>Tstockage</t>
  </si>
  <si>
    <t>Pstockage</t>
  </si>
  <si>
    <t>Jupe inter coiffe-case à équipements</t>
  </si>
  <si>
    <t>CATIA</t>
  </si>
  <si>
    <t>Hauteur cone émoussé</t>
  </si>
  <si>
    <t>Réservoir cylindrique LH2 (superieur) RETENUE</t>
  </si>
  <si>
    <t>Rayon cylindre</t>
  </si>
  <si>
    <t>Volume cyclindre</t>
  </si>
  <si>
    <t>Sphères de pressurisation</t>
  </si>
  <si>
    <t>Volume fond</t>
  </si>
  <si>
    <t>Nombre de sphères pres LOX</t>
  </si>
  <si>
    <t>Rayon d'une sphère pres LOX</t>
  </si>
  <si>
    <t>Nombre de sphères pres LH2</t>
  </si>
  <si>
    <t>Plus pris en compte</t>
  </si>
  <si>
    <t>Rayon d'une sphère pres LH2</t>
  </si>
  <si>
    <t xml:space="preserve">Choix regénérescence. </t>
  </si>
  <si>
    <t>Différence interd-étage</t>
  </si>
  <si>
    <t>Lignes d'alimentation</t>
  </si>
  <si>
    <t>Angle inter-etage</t>
  </si>
  <si>
    <t>Longueur ligne LOX</t>
  </si>
  <si>
    <t>Longueur 3-coiffe oblique</t>
  </si>
  <si>
    <t>Longueur d'une ligne LH2</t>
  </si>
  <si>
    <t>Lignes de pressurisation</t>
  </si>
  <si>
    <t>Nombre de ligne LOX</t>
  </si>
  <si>
    <t>Nombre de ligne LH2</t>
  </si>
  <si>
    <t>Verif D3 (angle deboit 15 et Detage fixé)</t>
  </si>
  <si>
    <t>Longueur jupe arrière</t>
  </si>
  <si>
    <t>Longueur Inter-reservoir</t>
  </si>
  <si>
    <t>Longueur jupe avant</t>
  </si>
  <si>
    <t>Hauteur totale propulseur</t>
  </si>
  <si>
    <t>Longueur tuyère sortie du propulseur</t>
  </si>
  <si>
    <t>Volume de la tuyère à l'interieur</t>
  </si>
  <si>
    <t>Différence inter-étage</t>
  </si>
  <si>
    <t>angle inter-étage</t>
  </si>
  <si>
    <t>Diametre au plan de séparation</t>
  </si>
  <si>
    <t>Diametre au plan sortie tuyère</t>
  </si>
  <si>
    <t>Hauteur oblique jupe arrière</t>
  </si>
  <si>
    <t>Hauteur oblique jupe avant 1</t>
  </si>
  <si>
    <t>Interface jupe intérétage/res+400mm</t>
  </si>
  <si>
    <t>0,256*10^(-4)*((B164*'Moteur Etage 1'!B10)^(1,2)*'Moteur Etage 1'!B9^0,3/(('Moteur Etage 1'!B12/10^6)^0,8*'Moteur Etage 1'!B16^0,6*TAN('Moteur Etage 1'!B31)^0,4))^0,917</t>
  </si>
  <si>
    <t>k1 initial</t>
  </si>
  <si>
    <t>k2 initial</t>
  </si>
  <si>
    <t>k3 initial</t>
  </si>
  <si>
    <t>nouveau k3</t>
  </si>
  <si>
    <t>Nouveau k1</t>
  </si>
  <si>
    <t>Nouveau k2</t>
  </si>
  <si>
    <t>Q1</t>
  </si>
  <si>
    <t>T1</t>
  </si>
  <si>
    <t>T2</t>
  </si>
  <si>
    <t>Force à Q2</t>
  </si>
  <si>
    <t>Force à Q1</t>
  </si>
  <si>
    <t>Rapport L/D</t>
  </si>
  <si>
    <t>Fond elliptique</t>
  </si>
  <si>
    <t>Rayon de la tuyère sortant du propu</t>
  </si>
  <si>
    <t>Ici distance plan de sortie tuyère/plan de 'séparation' ajouté</t>
  </si>
  <si>
    <t>Longueur tuyère à l'exterieur</t>
  </si>
  <si>
    <t>h</t>
  </si>
  <si>
    <t>cas tore</t>
  </si>
  <si>
    <t>entre 4 et 8</t>
  </si>
  <si>
    <t>Debit</t>
  </si>
  <si>
    <t xml:space="preserve">Debit </t>
  </si>
  <si>
    <t>diametre alim</t>
  </si>
  <si>
    <t>Hauteur du bati</t>
  </si>
  <si>
    <t>Longueur convergent</t>
  </si>
  <si>
    <t>1 ATM</t>
  </si>
  <si>
    <t>Pression atm</t>
  </si>
  <si>
    <t>Satellite</t>
  </si>
  <si>
    <t>Avec:</t>
  </si>
  <si>
    <t>Mais jupe supplémentaire si sphère pressu au dessus</t>
  </si>
  <si>
    <t>Avec une sphère au dessus :</t>
  </si>
  <si>
    <t>Avec la sphère en dessous:</t>
  </si>
  <si>
    <t>Sans: (juste sphère)</t>
  </si>
  <si>
    <t>Jupe interétage</t>
  </si>
  <si>
    <t>Longueur jupe inter</t>
  </si>
  <si>
    <t>Equipement pour la CU</t>
  </si>
  <si>
    <t>Attention approx su hauteur prop</t>
  </si>
  <si>
    <t>volume liquide + 3% de reserve</t>
  </si>
  <si>
    <t>Masse + 3% reserve</t>
  </si>
  <si>
    <t>Pour bilan masse</t>
  </si>
  <si>
    <t>Volume mort 3% pris en compte</t>
  </si>
  <si>
    <t>Variation de poussée</t>
  </si>
  <si>
    <t>Longeur oblique inter étage 3-plan de separation</t>
  </si>
  <si>
    <t>Longueur oblique interétage 3-2</t>
  </si>
  <si>
    <t>Coefficients partiels</t>
  </si>
  <si>
    <t>CA global</t>
  </si>
  <si>
    <t>Case à équimements</t>
  </si>
  <si>
    <t>Rétreint '2/1'</t>
  </si>
  <si>
    <t>Jupe 3/2</t>
  </si>
  <si>
    <t>Sm etage 3</t>
  </si>
  <si>
    <t>Sm étage 2</t>
  </si>
  <si>
    <t>Sm étage 1</t>
  </si>
  <si>
    <t>Sm coif+3 pour CN et CM</t>
  </si>
  <si>
    <t>Sm étage 2+1 pour CN et CM</t>
  </si>
  <si>
    <t>Sm retreint C/3</t>
  </si>
  <si>
    <t>Sm jupe</t>
  </si>
  <si>
    <t>Sm retreint 2/1</t>
  </si>
  <si>
    <t xml:space="preserve">CONE </t>
  </si>
  <si>
    <t>retreint C/3</t>
  </si>
  <si>
    <t>E3</t>
  </si>
  <si>
    <t>E2</t>
  </si>
  <si>
    <t>Retreint</t>
  </si>
  <si>
    <t>E1</t>
  </si>
  <si>
    <t>Sm coiffe partie cylindre</t>
  </si>
  <si>
    <t>coiffe</t>
  </si>
  <si>
    <t>FAIT</t>
  </si>
  <si>
    <t>Rétreint Coiffe/3</t>
  </si>
  <si>
    <t>X/D pour aéro (coiffe+étage 3 sans jupe arr)</t>
  </si>
  <si>
    <t>X/D pour aéro (e2+e1-jupeavant2)</t>
  </si>
  <si>
    <t>Pour la jupe</t>
  </si>
  <si>
    <t>Pour le cone</t>
  </si>
  <si>
    <t>Pour cone</t>
  </si>
  <si>
    <t>Pour jupe</t>
  </si>
  <si>
    <t>Culot</t>
  </si>
  <si>
    <t xml:space="preserve">Attention </t>
  </si>
  <si>
    <t>Attention</t>
  </si>
  <si>
    <t>Données culot</t>
  </si>
  <si>
    <t>KP CULOT</t>
  </si>
  <si>
    <t>Sculot</t>
  </si>
  <si>
    <t>Ssortie de tuyère</t>
  </si>
  <si>
    <t>Cylindre Ltot</t>
  </si>
  <si>
    <t>Sm lanceur cylindre</t>
  </si>
  <si>
    <t>CA Partiel</t>
  </si>
  <si>
    <t>Sm lanceur longueur h</t>
  </si>
  <si>
    <t xml:space="preserve">Lanceur </t>
  </si>
  <si>
    <t>cylindre tot</t>
  </si>
  <si>
    <t>Cylindre h</t>
  </si>
  <si>
    <t>Attention Xref</t>
  </si>
  <si>
    <t>structuraux</t>
  </si>
  <si>
    <t>Longeur partie droite</t>
  </si>
  <si>
    <t>Ancien diametre au plan de séparation</t>
  </si>
  <si>
    <t>Ancien Longeur oblique inter étage 3-plan de separation</t>
  </si>
  <si>
    <t>à 3,4 m de diametre</t>
  </si>
  <si>
    <t>Cna global</t>
  </si>
  <si>
    <t>k</t>
  </si>
  <si>
    <t>Cna partiel</t>
  </si>
  <si>
    <t>Cma global</t>
  </si>
  <si>
    <t>Cma partiel</t>
  </si>
  <si>
    <t>Poids gagné avec l'auto regénération pour la pressu de LH2:</t>
  </si>
  <si>
    <t>Réservoir cylindrique LOX</t>
  </si>
  <si>
    <t>X reservoirs cylindriques LH2</t>
  </si>
  <si>
    <t xml:space="preserve">Réservoir torique LOX </t>
  </si>
  <si>
    <t xml:space="preserve">Rayon externe </t>
  </si>
  <si>
    <t>Attention retreint1/2 enlevé</t>
  </si>
  <si>
    <t>Coiffe-cone emoussé</t>
  </si>
  <si>
    <t>Cone émoussé</t>
  </si>
  <si>
    <t>L cylindre 1</t>
  </si>
  <si>
    <t>L cylindre 2</t>
  </si>
  <si>
    <t>Poids total Autogénération:</t>
  </si>
  <si>
    <t>Calcul d'une jupe supplémentaire (sphère au dessus de LH2):</t>
  </si>
  <si>
    <t>Isv (VIDE)</t>
  </si>
</sst>
</file>

<file path=xl/styles.xml><?xml version="1.0" encoding="utf-8"?>
<styleSheet xmlns="http://schemas.openxmlformats.org/spreadsheetml/2006/main">
  <numFmts count="3">
    <numFmt numFmtId="44" formatCode="_-* #,##0.00\ &quot;€&quot;_-;\-* #,##0.00\ &quot;€&quot;_-;_-* &quot;-&quot;??\ &quot;€&quot;_-;_-@_-"/>
    <numFmt numFmtId="164" formatCode="0.00000"/>
    <numFmt numFmtId="165" formatCode="#,##0.00_ ;\-#,##0.00\ "/>
  </numFmts>
  <fonts count="25">
    <font>
      <sz val="10"/>
      <name val="Verdana"/>
      <family val="2"/>
    </font>
    <font>
      <sz val="10"/>
      <name val="Arial"/>
      <family val="2"/>
    </font>
    <font>
      <b/>
      <sz val="26"/>
      <name val="Verdana"/>
      <family val="2"/>
    </font>
    <font>
      <b/>
      <sz val="10"/>
      <name val="Verdana"/>
      <family val="2"/>
    </font>
    <font>
      <sz val="8"/>
      <name val="Verdana"/>
      <family val="2"/>
    </font>
    <font>
      <i/>
      <sz val="10"/>
      <name val="Verdana"/>
      <family val="2"/>
    </font>
    <font>
      <vertAlign val="superscript"/>
      <sz val="10"/>
      <name val="Verdana"/>
      <family val="2"/>
    </font>
    <font>
      <b/>
      <i/>
      <sz val="10"/>
      <name val="Verdana"/>
      <family val="2"/>
    </font>
    <font>
      <u/>
      <sz val="10"/>
      <color theme="10"/>
      <name val="Verdana"/>
      <family val="2"/>
    </font>
    <font>
      <sz val="10"/>
      <color theme="0"/>
      <name val="Verdana"/>
      <family val="2"/>
    </font>
    <font>
      <b/>
      <sz val="10"/>
      <color rgb="FFFF0000"/>
      <name val="Verdana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FF0000"/>
      <name val="Verdana"/>
      <family val="2"/>
    </font>
    <font>
      <b/>
      <sz val="12"/>
      <color rgb="FF000000"/>
      <name val="Calibri"/>
      <family val="2"/>
    </font>
    <font>
      <sz val="11"/>
      <name val="Cambria"/>
      <family val="1"/>
      <scheme val="major"/>
    </font>
    <font>
      <sz val="11"/>
      <color rgb="FF000000"/>
      <name val="Cambria"/>
      <family val="1"/>
      <scheme val="major"/>
    </font>
    <font>
      <b/>
      <sz val="11"/>
      <name val="Cambria"/>
      <family val="1"/>
      <scheme val="major"/>
    </font>
    <font>
      <b/>
      <sz val="11"/>
      <color rgb="FF000000"/>
      <name val="Cambria"/>
      <family val="1"/>
      <scheme val="major"/>
    </font>
    <font>
      <b/>
      <sz val="11"/>
      <name val="Verdana"/>
      <family val="2"/>
    </font>
    <font>
      <b/>
      <sz val="12"/>
      <name val="Verdana"/>
      <family val="2"/>
    </font>
    <font>
      <sz val="10"/>
      <color theme="0" tint="-0.14999847407452621"/>
      <name val="Verdana"/>
      <family val="2"/>
    </font>
    <font>
      <i/>
      <sz val="10"/>
      <color theme="0" tint="-0.34998626667073579"/>
      <name val="Verdana"/>
      <family val="2"/>
    </font>
    <font>
      <sz val="10"/>
      <color theme="0" tint="-0.34998626667073579"/>
      <name val="Verdana"/>
      <family val="2"/>
    </font>
    <font>
      <b/>
      <sz val="10"/>
      <color theme="0" tint="-0.14999847407452621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B95EA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8"/>
      </top>
      <bottom/>
      <diagonal/>
    </border>
    <border>
      <left style="medium">
        <color auto="1"/>
      </left>
      <right/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44" fontId="1" fillId="0" borderId="0" applyFill="0" applyBorder="0" applyAlignment="0" applyProtection="0"/>
  </cellStyleXfs>
  <cellXfs count="262">
    <xf numFmtId="0" fontId="0" fillId="0" borderId="0" xfId="0"/>
    <xf numFmtId="0" fontId="0" fillId="0" borderId="0" xfId="0" applyAlignment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3" fillId="0" borderId="8" xfId="0" applyFont="1" applyBorder="1"/>
    <xf numFmtId="0" fontId="3" fillId="0" borderId="9" xfId="0" applyFont="1" applyBorder="1"/>
    <xf numFmtId="164" fontId="0" fillId="0" borderId="4" xfId="0" applyNumberFormat="1" applyBorder="1" applyAlignment="1">
      <alignment vertical="center"/>
    </xf>
    <xf numFmtId="0" fontId="3" fillId="0" borderId="10" xfId="0" applyFont="1" applyBorder="1"/>
    <xf numFmtId="0" fontId="0" fillId="0" borderId="11" xfId="0" applyBorder="1"/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164" fontId="0" fillId="0" borderId="10" xfId="0" applyNumberFormat="1" applyBorder="1"/>
    <xf numFmtId="164" fontId="0" fillId="0" borderId="1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13" xfId="0" applyFont="1" applyFill="1" applyBorder="1" applyAlignment="1">
      <alignment horizontal="left" vertical="center"/>
    </xf>
    <xf numFmtId="0" fontId="0" fillId="0" borderId="0" xfId="0" applyBorder="1"/>
    <xf numFmtId="0" fontId="0" fillId="0" borderId="12" xfId="0" applyBorder="1" applyAlignment="1">
      <alignment vertical="center"/>
    </xf>
    <xf numFmtId="0" fontId="0" fillId="0" borderId="13" xfId="0" applyBorder="1"/>
    <xf numFmtId="0" fontId="0" fillId="0" borderId="0" xfId="0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vertical="center"/>
    </xf>
    <xf numFmtId="0" fontId="3" fillId="4" borderId="16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165" fontId="1" fillId="0" borderId="0" xfId="2" applyNumberFormat="1" applyBorder="1" applyAlignment="1">
      <alignment vertical="center"/>
    </xf>
    <xf numFmtId="165" fontId="1" fillId="0" borderId="11" xfId="2" applyNumberFormat="1" applyBorder="1" applyAlignment="1">
      <alignment vertical="center"/>
    </xf>
    <xf numFmtId="10" fontId="0" fillId="0" borderId="12" xfId="0" applyNumberFormat="1" applyBorder="1"/>
    <xf numFmtId="10" fontId="0" fillId="0" borderId="4" xfId="0" applyNumberFormat="1" applyBorder="1"/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10" fontId="0" fillId="0" borderId="0" xfId="0" applyNumberForma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2" borderId="1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0" fontId="3" fillId="0" borderId="0" xfId="0" applyFont="1"/>
    <xf numFmtId="0" fontId="8" fillId="0" borderId="0" xfId="1"/>
    <xf numFmtId="2" fontId="0" fillId="0" borderId="0" xfId="0" applyNumberFormat="1"/>
    <xf numFmtId="0" fontId="0" fillId="5" borderId="0" xfId="0" applyFill="1"/>
    <xf numFmtId="2" fontId="0" fillId="5" borderId="0" xfId="0" applyNumberFormat="1" applyFill="1"/>
    <xf numFmtId="0" fontId="0" fillId="0" borderId="17" xfId="0" applyBorder="1"/>
    <xf numFmtId="2" fontId="0" fillId="0" borderId="1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0" xfId="0" applyNumberFormat="1" applyBorder="1"/>
    <xf numFmtId="0" fontId="0" fillId="0" borderId="21" xfId="0" applyBorder="1"/>
    <xf numFmtId="0" fontId="0" fillId="0" borderId="22" xfId="0" applyBorder="1"/>
    <xf numFmtId="2" fontId="0" fillId="0" borderId="23" xfId="0" applyNumberFormat="1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2" fontId="0" fillId="0" borderId="0" xfId="0" applyNumberFormat="1" applyFill="1"/>
    <xf numFmtId="0" fontId="0" fillId="6" borderId="0" xfId="0" applyFill="1"/>
    <xf numFmtId="2" fontId="0" fillId="6" borderId="0" xfId="0" applyNumberFormat="1" applyFill="1"/>
    <xf numFmtId="0" fontId="10" fillId="0" borderId="0" xfId="0" applyFont="1"/>
    <xf numFmtId="0" fontId="8" fillId="0" borderId="0" xfId="1" applyAlignment="1">
      <alignment vertical="center"/>
    </xf>
    <xf numFmtId="0" fontId="0" fillId="5" borderId="20" xfId="0" applyFill="1" applyBorder="1"/>
    <xf numFmtId="2" fontId="0" fillId="5" borderId="0" xfId="0" applyNumberFormat="1" applyFill="1" applyBorder="1"/>
    <xf numFmtId="0" fontId="0" fillId="5" borderId="0" xfId="0" applyFill="1" applyBorder="1"/>
    <xf numFmtId="14" fontId="3" fillId="0" borderId="0" xfId="0" applyNumberFormat="1" applyFont="1"/>
    <xf numFmtId="0" fontId="5" fillId="0" borderId="0" xfId="0" applyFont="1"/>
    <xf numFmtId="0" fontId="0" fillId="0" borderId="25" xfId="0" applyBorder="1"/>
    <xf numFmtId="0" fontId="0" fillId="0" borderId="26" xfId="0" applyBorder="1"/>
    <xf numFmtId="0" fontId="0" fillId="0" borderId="27" xfId="0" applyBorder="1"/>
    <xf numFmtId="2" fontId="3" fillId="0" borderId="0" xfId="0" applyNumberFormat="1" applyFont="1"/>
    <xf numFmtId="0" fontId="5" fillId="0" borderId="17" xfId="0" applyFont="1" applyBorder="1"/>
    <xf numFmtId="0" fontId="5" fillId="0" borderId="20" xfId="0" applyFont="1" applyBorder="1"/>
    <xf numFmtId="0" fontId="5" fillId="0" borderId="22" xfId="0" applyFont="1" applyBorder="1"/>
    <xf numFmtId="0" fontId="0" fillId="0" borderId="28" xfId="0" applyBorder="1"/>
    <xf numFmtId="0" fontId="0" fillId="0" borderId="29" xfId="0" applyBorder="1"/>
    <xf numFmtId="0" fontId="0" fillId="0" borderId="30" xfId="0" applyFont="1" applyBorder="1" applyAlignment="1">
      <alignment horizontal="right"/>
    </xf>
    <xf numFmtId="0" fontId="0" fillId="0" borderId="25" xfId="0" applyFont="1" applyBorder="1" applyAlignment="1">
      <alignment horizontal="right"/>
    </xf>
    <xf numFmtId="0" fontId="0" fillId="0" borderId="31" xfId="0" applyBorder="1"/>
    <xf numFmtId="0" fontId="0" fillId="0" borderId="29" xfId="0" applyFill="1" applyBorder="1"/>
    <xf numFmtId="0" fontId="0" fillId="5" borderId="31" xfId="0" applyFill="1" applyBorder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1" fillId="0" borderId="0" xfId="0" applyFont="1"/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3" fillId="0" borderId="30" xfId="0" applyFont="1" applyFill="1" applyBorder="1"/>
    <xf numFmtId="0" fontId="11" fillId="0" borderId="28" xfId="0" applyFont="1" applyBorder="1"/>
    <xf numFmtId="0" fontId="11" fillId="0" borderId="29" xfId="0" applyFont="1" applyBorder="1"/>
    <xf numFmtId="0" fontId="12" fillId="0" borderId="28" xfId="0" applyFont="1" applyBorder="1"/>
    <xf numFmtId="0" fontId="3" fillId="0" borderId="31" xfId="0" applyFont="1" applyBorder="1"/>
    <xf numFmtId="0" fontId="0" fillId="0" borderId="30" xfId="0" applyFill="1" applyBorder="1"/>
    <xf numFmtId="0" fontId="0" fillId="0" borderId="0" xfId="0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3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Border="1"/>
    <xf numFmtId="2" fontId="0" fillId="3" borderId="0" xfId="0" applyNumberFormat="1" applyFill="1"/>
    <xf numFmtId="13" fontId="0" fillId="3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8" borderId="0" xfId="0" applyFill="1"/>
    <xf numFmtId="0" fontId="13" fillId="0" borderId="0" xfId="0" applyFont="1"/>
    <xf numFmtId="0" fontId="7" fillId="0" borderId="0" xfId="0" applyFont="1" applyFill="1"/>
    <xf numFmtId="0" fontId="7" fillId="0" borderId="0" xfId="0" applyFont="1"/>
    <xf numFmtId="0" fontId="0" fillId="0" borderId="0" xfId="0" applyFont="1"/>
    <xf numFmtId="0" fontId="13" fillId="3" borderId="0" xfId="0" applyFont="1" applyFill="1"/>
    <xf numFmtId="0" fontId="0" fillId="9" borderId="0" xfId="0" applyFill="1"/>
    <xf numFmtId="0" fontId="0" fillId="0" borderId="0" xfId="0" applyFont="1" applyFill="1"/>
    <xf numFmtId="0" fontId="13" fillId="0" borderId="0" xfId="0" applyFont="1" applyFill="1"/>
    <xf numFmtId="16" fontId="0" fillId="0" borderId="0" xfId="0" applyNumberFormat="1"/>
    <xf numFmtId="0" fontId="0" fillId="0" borderId="30" xfId="0" applyBorder="1"/>
    <xf numFmtId="0" fontId="5" fillId="0" borderId="0" xfId="0" applyFont="1" applyFill="1"/>
    <xf numFmtId="0" fontId="0" fillId="10" borderId="0" xfId="0" applyFill="1"/>
    <xf numFmtId="0" fontId="0" fillId="0" borderId="32" xfId="0" applyBorder="1" applyAlignment="1">
      <alignment horizontal="left" vertical="center"/>
    </xf>
    <xf numFmtId="0" fontId="0" fillId="6" borderId="0" xfId="0" applyFill="1"/>
    <xf numFmtId="2" fontId="0" fillId="6" borderId="0" xfId="0" applyNumberFormat="1" applyFill="1"/>
    <xf numFmtId="0" fontId="0" fillId="0" borderId="3" xfId="0" applyNumberFormat="1" applyBorder="1"/>
    <xf numFmtId="0" fontId="0" fillId="0" borderId="11" xfId="0" applyNumberFormat="1" applyBorder="1"/>
    <xf numFmtId="0" fontId="0" fillId="0" borderId="4" xfId="0" applyNumberFormat="1" applyBorder="1"/>
    <xf numFmtId="0" fontId="0" fillId="12" borderId="0" xfId="0" applyFill="1"/>
    <xf numFmtId="0" fontId="13" fillId="12" borderId="0" xfId="0" applyFont="1" applyFill="1"/>
    <xf numFmtId="10" fontId="0" fillId="0" borderId="27" xfId="0" applyNumberFormat="1" applyBorder="1"/>
    <xf numFmtId="0" fontId="0" fillId="0" borderId="26" xfId="0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2" fontId="0" fillId="0" borderId="0" xfId="0" applyNumberFormat="1" applyFill="1" applyBorder="1"/>
    <xf numFmtId="0" fontId="0" fillId="13" borderId="0" xfId="0" applyFill="1" applyBorder="1"/>
    <xf numFmtId="0" fontId="0" fillId="13" borderId="23" xfId="0" applyFill="1" applyBorder="1"/>
    <xf numFmtId="2" fontId="11" fillId="0" borderId="28" xfId="0" applyNumberFormat="1" applyFont="1" applyBorder="1"/>
    <xf numFmtId="0" fontId="14" fillId="0" borderId="28" xfId="0" applyFont="1" applyBorder="1"/>
    <xf numFmtId="0" fontId="14" fillId="0" borderId="0" xfId="0" applyFont="1"/>
    <xf numFmtId="0" fontId="0" fillId="14" borderId="18" xfId="0" applyFill="1" applyBorder="1"/>
    <xf numFmtId="0" fontId="0" fillId="14" borderId="0" xfId="0" applyFill="1" applyBorder="1"/>
    <xf numFmtId="0" fontId="0" fillId="14" borderId="23" xfId="0" applyFill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3" fillId="0" borderId="31" xfId="0" applyFont="1" applyFill="1" applyBorder="1"/>
    <xf numFmtId="0" fontId="0" fillId="14" borderId="31" xfId="0" applyFill="1" applyBorder="1"/>
    <xf numFmtId="0" fontId="0" fillId="14" borderId="28" xfId="0" applyFill="1" applyBorder="1"/>
    <xf numFmtId="0" fontId="3" fillId="15" borderId="18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0" fillId="15" borderId="0" xfId="0" applyFill="1"/>
    <xf numFmtId="0" fontId="3" fillId="15" borderId="0" xfId="0" applyFont="1" applyFill="1"/>
    <xf numFmtId="0" fontId="0" fillId="14" borderId="17" xfId="0" applyFill="1" applyBorder="1"/>
    <xf numFmtId="0" fontId="0" fillId="14" borderId="20" xfId="0" applyFill="1" applyBorder="1"/>
    <xf numFmtId="0" fontId="0" fillId="14" borderId="22" xfId="0" applyFill="1" applyBorder="1"/>
    <xf numFmtId="0" fontId="3" fillId="15" borderId="17" xfId="0" applyFont="1" applyFill="1" applyBorder="1" applyAlignment="1">
      <alignment horizontal="center"/>
    </xf>
    <xf numFmtId="0" fontId="0" fillId="14" borderId="19" xfId="0" applyFill="1" applyBorder="1"/>
    <xf numFmtId="0" fontId="0" fillId="14" borderId="21" xfId="0" applyFill="1" applyBorder="1"/>
    <xf numFmtId="0" fontId="0" fillId="14" borderId="24" xfId="0" applyFill="1" applyBorder="1"/>
    <xf numFmtId="0" fontId="0" fillId="14" borderId="0" xfId="0" applyFill="1"/>
    <xf numFmtId="0" fontId="3" fillId="0" borderId="30" xfId="0" applyFont="1" applyBorder="1" applyAlignment="1">
      <alignment horizontal="center"/>
    </xf>
    <xf numFmtId="0" fontId="3" fillId="15" borderId="19" xfId="0" applyFont="1" applyFill="1" applyBorder="1" applyAlignment="1">
      <alignment horizontal="center"/>
    </xf>
    <xf numFmtId="0" fontId="11" fillId="0" borderId="0" xfId="0" applyFont="1" applyBorder="1"/>
    <xf numFmtId="0" fontId="20" fillId="0" borderId="0" xfId="0" applyFont="1"/>
    <xf numFmtId="0" fontId="19" fillId="0" borderId="33" xfId="0" applyFont="1" applyBorder="1"/>
    <xf numFmtId="0" fontId="0" fillId="0" borderId="34" xfId="0" applyBorder="1"/>
    <xf numFmtId="0" fontId="0" fillId="0" borderId="35" xfId="0" applyBorder="1"/>
    <xf numFmtId="0" fontId="19" fillId="0" borderId="36" xfId="0" applyFont="1" applyBorder="1"/>
    <xf numFmtId="0" fontId="0" fillId="0" borderId="37" xfId="0" applyBorder="1"/>
    <xf numFmtId="0" fontId="3" fillId="0" borderId="37" xfId="0" applyFont="1" applyBorder="1"/>
    <xf numFmtId="0" fontId="3" fillId="0" borderId="38" xfId="0" applyFont="1" applyBorder="1"/>
    <xf numFmtId="0" fontId="3" fillId="16" borderId="17" xfId="0" applyFont="1" applyFill="1" applyBorder="1" applyAlignment="1">
      <alignment horizontal="center"/>
    </xf>
    <xf numFmtId="0" fontId="3" fillId="16" borderId="19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3" fillId="15" borderId="30" xfId="0" applyFont="1" applyFill="1" applyBorder="1" applyAlignment="1">
      <alignment horizontal="center"/>
    </xf>
    <xf numFmtId="0" fontId="0" fillId="0" borderId="31" xfId="0" applyFill="1" applyBorder="1"/>
    <xf numFmtId="0" fontId="0" fillId="0" borderId="28" xfId="0" applyFill="1" applyBorder="1"/>
    <xf numFmtId="0" fontId="3" fillId="0" borderId="31" xfId="0" applyFont="1" applyBorder="1" applyAlignment="1">
      <alignment horizontal="center"/>
    </xf>
    <xf numFmtId="0" fontId="3" fillId="15" borderId="29" xfId="0" applyFont="1" applyFill="1" applyBorder="1" applyAlignment="1">
      <alignment horizontal="center"/>
    </xf>
    <xf numFmtId="0" fontId="21" fillId="0" borderId="18" xfId="0" applyFont="1" applyBorder="1"/>
    <xf numFmtId="0" fontId="21" fillId="0" borderId="0" xfId="0" applyFont="1" applyBorder="1"/>
    <xf numFmtId="0" fontId="21" fillId="0" borderId="23" xfId="0" applyFont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1" fillId="0" borderId="0" xfId="0" applyFont="1" applyFill="1" applyBorder="1"/>
    <xf numFmtId="0" fontId="3" fillId="15" borderId="0" xfId="0" applyFont="1" applyFill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3" fillId="0" borderId="18" xfId="0" applyFont="1" applyBorder="1"/>
    <xf numFmtId="0" fontId="23" fillId="0" borderId="17" xfId="0" applyFont="1" applyBorder="1"/>
    <xf numFmtId="0" fontId="23" fillId="0" borderId="0" xfId="0" applyFont="1" applyBorder="1"/>
    <xf numFmtId="0" fontId="23" fillId="0" borderId="20" xfId="0" applyFont="1" applyBorder="1"/>
    <xf numFmtId="0" fontId="23" fillId="0" borderId="23" xfId="0" applyFont="1" applyBorder="1"/>
    <xf numFmtId="0" fontId="23" fillId="0" borderId="22" xfId="0" applyFont="1" applyBorder="1"/>
    <xf numFmtId="0" fontId="5" fillId="9" borderId="0" xfId="0" applyFont="1" applyFill="1"/>
    <xf numFmtId="2" fontId="0" fillId="9" borderId="0" xfId="0" applyNumberFormat="1" applyFill="1"/>
    <xf numFmtId="0" fontId="0" fillId="0" borderId="18" xfId="0" applyBorder="1" applyAlignment="1">
      <alignment wrapText="1"/>
    </xf>
    <xf numFmtId="2" fontId="0" fillId="0" borderId="30" xfId="0" applyNumberFormat="1" applyBorder="1"/>
    <xf numFmtId="0" fontId="24" fillId="0" borderId="17" xfId="0" applyFont="1" applyFill="1" applyBorder="1" applyAlignment="1">
      <alignment horizontal="center"/>
    </xf>
    <xf numFmtId="0" fontId="24" fillId="0" borderId="18" xfId="0" applyFont="1" applyFill="1" applyBorder="1" applyAlignment="1">
      <alignment horizontal="center"/>
    </xf>
    <xf numFmtId="0" fontId="24" fillId="0" borderId="19" xfId="0" applyFont="1" applyFill="1" applyBorder="1" applyAlignment="1">
      <alignment horizontal="center"/>
    </xf>
    <xf numFmtId="0" fontId="0" fillId="0" borderId="0" xfId="0" quotePrefix="1" applyFill="1" applyBorder="1"/>
    <xf numFmtId="0" fontId="3" fillId="4" borderId="3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2" fillId="11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3" fillId="4" borderId="8" xfId="0" applyFont="1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3" fillId="0" borderId="0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4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24" fillId="0" borderId="27" xfId="0" applyFont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style val="18"/>
  <c:chart>
    <c:title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plotArea>
      <c:layout>
        <c:manualLayout>
          <c:layoutTarget val="inner"/>
          <c:xMode val="edge"/>
          <c:yMode val="edge"/>
          <c:x val="0.17129668352295732"/>
          <c:y val="0.219373829721526"/>
          <c:w val="0.52546415080690756"/>
          <c:h val="0.70085665079864101"/>
        </c:manualLayout>
      </c:layout>
      <c:scatterChart>
        <c:scatterStyle val="lineMarker"/>
        <c:ser>
          <c:idx val="0"/>
          <c:order val="0"/>
          <c:tx>
            <c:strRef>
              <c:f>'{Calculs intermediaires}'!$A$2</c:f>
              <c:strCache>
                <c:ptCount val="1"/>
                <c:pt idx="0">
                  <c:v>Loi de débit</c:v>
                </c:pt>
              </c:strCache>
            </c:strRef>
          </c:tx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9BC1FF"/>
                  </a:gs>
                  <a:gs pos="100000">
                    <a:srgbClr val="3F80C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'{Calculs intermediaires}'!$A$4:$A$7</c:f>
              <c:numCache>
                <c:formatCode>General</c:formatCode>
                <c:ptCount val="4"/>
                <c:pt idx="0">
                  <c:v>0</c:v>
                </c:pt>
                <c:pt idx="1">
                  <c:v>23.522499999999997</c:v>
                </c:pt>
                <c:pt idx="2">
                  <c:v>24.25</c:v>
                </c:pt>
                <c:pt idx="3" formatCode="0.00">
                  <c:v>72.75</c:v>
                </c:pt>
              </c:numCache>
            </c:numRef>
          </c:xVal>
          <c:yVal>
            <c:numRef>
              <c:f>'{Calculs intermediaires}'!$B$4:$B$7</c:f>
              <c:numCache>
                <c:formatCode>0.00</c:formatCode>
                <c:ptCount val="4"/>
                <c:pt idx="0">
                  <c:v>1510.8893633308166</c:v>
                </c:pt>
                <c:pt idx="1">
                  <c:v>1510.8893633308166</c:v>
                </c:pt>
                <c:pt idx="2">
                  <c:v>1120.8511332919666</c:v>
                </c:pt>
                <c:pt idx="3">
                  <c:v>1120.8511332919666</c:v>
                </c:pt>
              </c:numCache>
            </c:numRef>
          </c:yVal>
        </c:ser>
        <c:axId val="57025664"/>
        <c:axId val="57027968"/>
      </c:scatterChart>
      <c:valAx>
        <c:axId val="570256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7027968"/>
        <c:crosses val="autoZero"/>
        <c:crossBetween val="midCat"/>
      </c:valAx>
      <c:valAx>
        <c:axId val="57027968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70256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5926096043550162"/>
          <c:y val="0.6495744442201149"/>
          <c:w val="0.21296344901331829"/>
          <c:h val="7.97723788799905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5000000000000477" r="0.75000000000000477" t="0.98425196899999956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</xdr:colOff>
      <xdr:row>19</xdr:row>
      <xdr:rowOff>7620</xdr:rowOff>
    </xdr:from>
    <xdr:to>
      <xdr:col>7</xdr:col>
      <xdr:colOff>722942</xdr:colOff>
      <xdr:row>23</xdr:row>
      <xdr:rowOff>132080</xdr:rowOff>
    </xdr:to>
    <xdr:sp macro="[0]!Actualiser" textlink="">
      <xdr:nvSpPr>
        <xdr:cNvPr id="2" name="Rectangle 1"/>
        <xdr:cNvSpPr/>
      </xdr:nvSpPr>
      <xdr:spPr bwMode="auto">
        <a:xfrm>
          <a:off x="7106920" y="3804920"/>
          <a:ext cx="822960" cy="822960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wrap="square" anchor="ctr"/>
        <a:lstStyle/>
        <a:p>
          <a:pPr algn="ctr"/>
          <a:r>
            <a:rPr lang="fr-FR" sz="1600" b="1">
              <a:solidFill>
                <a:schemeClr val="bg1"/>
              </a:solidFill>
            </a:rPr>
            <a:t>ITERER</a:t>
          </a:r>
        </a:p>
      </xdr:txBody>
    </xdr:sp>
    <xdr:clientData/>
  </xdr:twoCellAnchor>
  <xdr:twoCellAnchor>
    <xdr:from>
      <xdr:col>8</xdr:col>
      <xdr:colOff>241299</xdr:colOff>
      <xdr:row>18</xdr:row>
      <xdr:rowOff>114299</xdr:rowOff>
    </xdr:from>
    <xdr:to>
      <xdr:col>9</xdr:col>
      <xdr:colOff>474103</xdr:colOff>
      <xdr:row>23</xdr:row>
      <xdr:rowOff>141594</xdr:rowOff>
    </xdr:to>
    <xdr:sp macro="[0]!ThisWorkbook.Matlab" textlink="">
      <xdr:nvSpPr>
        <xdr:cNvPr id="4" name="ZoneTexte 3"/>
        <xdr:cNvSpPr txBox="1">
          <a:spLocks noChangeAspect="1"/>
        </xdr:cNvSpPr>
      </xdr:nvSpPr>
      <xdr:spPr>
        <a:xfrm>
          <a:off x="8331199" y="3682999"/>
          <a:ext cx="906780" cy="906780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 i="0">
              <a:solidFill>
                <a:schemeClr val="bg1"/>
              </a:solidFill>
            </a:rPr>
            <a:t>MATLAB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85725</xdr:rowOff>
    </xdr:from>
    <xdr:to>
      <xdr:col>11</xdr:col>
      <xdr:colOff>142875</xdr:colOff>
      <xdr:row>23</xdr:row>
      <xdr:rowOff>28575</xdr:rowOff>
    </xdr:to>
    <xdr:graphicFrame macro="">
      <xdr:nvGraphicFramePr>
        <xdr:cNvPr id="2421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28575</xdr:rowOff>
    </xdr:from>
    <xdr:to>
      <xdr:col>11</xdr:col>
      <xdr:colOff>504825</xdr:colOff>
      <xdr:row>13</xdr:row>
      <xdr:rowOff>38100</xdr:rowOff>
    </xdr:to>
    <xdr:pic>
      <xdr:nvPicPr>
        <xdr:cNvPr id="221334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657225</xdr:colOff>
      <xdr:row>41</xdr:row>
      <xdr:rowOff>133350</xdr:rowOff>
    </xdr:from>
    <xdr:to>
      <xdr:col>14</xdr:col>
      <xdr:colOff>723900</xdr:colOff>
      <xdr:row>73</xdr:row>
      <xdr:rowOff>28575</xdr:rowOff>
    </xdr:to>
    <xdr:pic>
      <xdr:nvPicPr>
        <xdr:cNvPr id="221335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001625" y="677227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171450</xdr:colOff>
      <xdr:row>13</xdr:row>
      <xdr:rowOff>38100</xdr:rowOff>
    </xdr:to>
    <xdr:pic>
      <xdr:nvPicPr>
        <xdr:cNvPr id="221336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78</xdr:row>
      <xdr:rowOff>66675</xdr:rowOff>
    </xdr:from>
    <xdr:to>
      <xdr:col>8</xdr:col>
      <xdr:colOff>1428750</xdr:colOff>
      <xdr:row>89</xdr:row>
      <xdr:rowOff>9525</xdr:rowOff>
    </xdr:to>
    <xdr:pic>
      <xdr:nvPicPr>
        <xdr:cNvPr id="221337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239500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23</xdr:row>
      <xdr:rowOff>66675</xdr:rowOff>
    </xdr:from>
    <xdr:to>
      <xdr:col>4</xdr:col>
      <xdr:colOff>771525</xdr:colOff>
      <xdr:row>33</xdr:row>
      <xdr:rowOff>9525</xdr:rowOff>
    </xdr:to>
    <xdr:pic>
      <xdr:nvPicPr>
        <xdr:cNvPr id="2213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504825</xdr:colOff>
      <xdr:row>13</xdr:row>
      <xdr:rowOff>38100</xdr:rowOff>
    </xdr:to>
    <xdr:pic>
      <xdr:nvPicPr>
        <xdr:cNvPr id="221339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85725</xdr:colOff>
      <xdr:row>46</xdr:row>
      <xdr:rowOff>142875</xdr:rowOff>
    </xdr:from>
    <xdr:to>
      <xdr:col>14</xdr:col>
      <xdr:colOff>152400</xdr:colOff>
      <xdr:row>78</xdr:row>
      <xdr:rowOff>38100</xdr:rowOff>
    </xdr:to>
    <xdr:pic>
      <xdr:nvPicPr>
        <xdr:cNvPr id="22134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430125" y="759142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171450</xdr:colOff>
      <xdr:row>13</xdr:row>
      <xdr:rowOff>38100</xdr:rowOff>
    </xdr:to>
    <xdr:pic>
      <xdr:nvPicPr>
        <xdr:cNvPr id="221341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79</xdr:row>
      <xdr:rowOff>66675</xdr:rowOff>
    </xdr:from>
    <xdr:to>
      <xdr:col>8</xdr:col>
      <xdr:colOff>1428750</xdr:colOff>
      <xdr:row>90</xdr:row>
      <xdr:rowOff>9525</xdr:rowOff>
    </xdr:to>
    <xdr:pic>
      <xdr:nvPicPr>
        <xdr:cNvPr id="22134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401425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23</xdr:row>
      <xdr:rowOff>66675</xdr:rowOff>
    </xdr:from>
    <xdr:to>
      <xdr:col>4</xdr:col>
      <xdr:colOff>771525</xdr:colOff>
      <xdr:row>33</xdr:row>
      <xdr:rowOff>9525</xdr:rowOff>
    </xdr:to>
    <xdr:pic>
      <xdr:nvPicPr>
        <xdr:cNvPr id="22134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619125</xdr:colOff>
      <xdr:row>44</xdr:row>
      <xdr:rowOff>142875</xdr:rowOff>
    </xdr:from>
    <xdr:to>
      <xdr:col>33</xdr:col>
      <xdr:colOff>104775</xdr:colOff>
      <xdr:row>93</xdr:row>
      <xdr:rowOff>95250</xdr:rowOff>
    </xdr:to>
    <xdr:pic>
      <xdr:nvPicPr>
        <xdr:cNvPr id="4299" name="Imag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50475" y="7267575"/>
          <a:ext cx="1162050" cy="788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conec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interpo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re&#769;trei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Kp_jup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Con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eCylindre 5°"/>
      <sheetName val="ConeCylindre 10°"/>
      <sheetName val="ConeCylindre 15°"/>
      <sheetName val="ConeCylindre 20°"/>
      <sheetName val="conecyl"/>
    </sheetNames>
    <definedNames>
      <definedName name="InterpCm"/>
      <definedName name="InterpCn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Dialog1"/>
      <sheetName val="interpolation"/>
      <sheetName val="interpolation2"/>
      <sheetName val="interpol"/>
    </sheetNames>
    <definedNames>
      <definedName name="interpol"/>
    </defined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A basé sur Ariane 3"/>
    </sheetNames>
    <sheetDataSet>
      <sheetData sheetId="0">
        <row r="6">
          <cell r="A6">
            <v>0.1</v>
          </cell>
          <cell r="B6">
            <v>4.6530439690507085E-3</v>
          </cell>
        </row>
        <row r="7">
          <cell r="A7">
            <v>0.3</v>
          </cell>
          <cell r="B7">
            <v>5.2170492986326131E-3</v>
          </cell>
        </row>
        <row r="8">
          <cell r="A8">
            <v>0.5</v>
          </cell>
          <cell r="B8">
            <v>7.3350871489917683E-3</v>
          </cell>
        </row>
        <row r="9">
          <cell r="A9">
            <v>0.7</v>
          </cell>
          <cell r="B9">
            <v>1.2213967972664004E-2</v>
          </cell>
        </row>
        <row r="10">
          <cell r="A10">
            <v>0.8</v>
          </cell>
          <cell r="B10">
            <v>1.4975313923381587E-2</v>
          </cell>
        </row>
        <row r="11">
          <cell r="A11">
            <v>0.9</v>
          </cell>
          <cell r="B11">
            <v>2.9124068312031081E-2</v>
          </cell>
        </row>
        <row r="12">
          <cell r="A12">
            <v>0.95</v>
          </cell>
          <cell r="B12">
            <v>7.6596542766387221E-2</v>
          </cell>
        </row>
        <row r="13">
          <cell r="A13">
            <v>1</v>
          </cell>
          <cell r="B13">
            <v>0.11182864293434305</v>
          </cell>
        </row>
        <row r="14">
          <cell r="A14">
            <v>1.05</v>
          </cell>
          <cell r="B14">
            <v>0.11030565694041626</v>
          </cell>
        </row>
        <row r="15">
          <cell r="A15">
            <v>1.1000000000000001</v>
          </cell>
          <cell r="B15">
            <v>0.10406355941601206</v>
          </cell>
        </row>
        <row r="16">
          <cell r="A16">
            <v>1.2</v>
          </cell>
          <cell r="B16">
            <v>9.2658018431312827E-2</v>
          </cell>
        </row>
        <row r="17">
          <cell r="A17">
            <v>1.3</v>
          </cell>
          <cell r="B17">
            <v>8.2609202368304407E-2</v>
          </cell>
        </row>
        <row r="18">
          <cell r="A18">
            <v>1.5</v>
          </cell>
          <cell r="B18">
            <v>7.3539488016606022E-2</v>
          </cell>
        </row>
        <row r="19">
          <cell r="A19">
            <v>2</v>
          </cell>
          <cell r="B19">
            <v>5.0865202137360059E-2</v>
          </cell>
        </row>
        <row r="20">
          <cell r="A20">
            <v>3</v>
          </cell>
          <cell r="B20">
            <v>2.7777262481908777E-2</v>
          </cell>
        </row>
        <row r="21">
          <cell r="A21">
            <v>5</v>
          </cell>
          <cell r="B21">
            <v>6.3450599577964213E-3</v>
          </cell>
        </row>
        <row r="22">
          <cell r="A22">
            <v>7</v>
          </cell>
          <cell r="B22">
            <v>9.8700932676833229E-4</v>
          </cell>
        </row>
        <row r="23">
          <cell r="A23">
            <v>10</v>
          </cell>
          <cell r="B23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Graphique"/>
      <sheetName val="jupA_data"/>
      <sheetName val="jupkp_data20deg"/>
      <sheetName val="jupkp_data18deg"/>
      <sheetName val="jupkp_data15deg"/>
      <sheetName val="jupkp_data13deg"/>
      <sheetName val="jupkp_data10deg"/>
      <sheetName val="jupkp_data8deg"/>
      <sheetName val="jupkp_data5deg"/>
    </sheetNames>
    <sheetDataSet>
      <sheetData sheetId="0"/>
      <sheetData sheetId="1">
        <row r="2">
          <cell r="A2">
            <v>0.6</v>
          </cell>
          <cell r="B2">
            <v>4</v>
          </cell>
        </row>
        <row r="3">
          <cell r="A3">
            <v>0.7</v>
          </cell>
          <cell r="B3">
            <v>3.9</v>
          </cell>
        </row>
        <row r="4">
          <cell r="A4">
            <v>0.8</v>
          </cell>
          <cell r="B4">
            <v>3.95</v>
          </cell>
        </row>
        <row r="5">
          <cell r="A5">
            <v>1</v>
          </cell>
          <cell r="B5">
            <v>4.3</v>
          </cell>
        </row>
        <row r="6">
          <cell r="A6">
            <v>1.3</v>
          </cell>
          <cell r="B6">
            <v>3.5</v>
          </cell>
        </row>
        <row r="7">
          <cell r="A7">
            <v>1.7</v>
          </cell>
          <cell r="B7">
            <v>3</v>
          </cell>
        </row>
        <row r="8">
          <cell r="A8">
            <v>2.5</v>
          </cell>
          <cell r="B8">
            <v>2.5499999999999998</v>
          </cell>
        </row>
        <row r="9">
          <cell r="A9">
            <v>3</v>
          </cell>
          <cell r="B9">
            <v>2.4500000000000002</v>
          </cell>
        </row>
        <row r="10">
          <cell r="A10">
            <v>4</v>
          </cell>
          <cell r="B10">
            <v>2.4500000000000002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XCP_CON10_D4"/>
      <sheetName val="XCP_CON10_D0"/>
      <sheetName val="CN_CON10_D4"/>
      <sheetName val="CN_CON10_D0"/>
      <sheetName val="CA_CON10_D4"/>
      <sheetName val="CA_CON10_D0"/>
      <sheetName val="CA_CON15_D4"/>
      <sheetName val="CA_CON15_D0"/>
      <sheetName val="CN_CON15_D4"/>
      <sheetName val="CN_CON15_D0"/>
      <sheetName val="XCP_CON15_D0"/>
      <sheetName val="XCP_CON15_D4"/>
      <sheetName val="graphes cône10°"/>
      <sheetName val="graphes cône15°"/>
    </sheetNames>
    <sheetDataSet>
      <sheetData sheetId="0">
        <row r="1">
          <cell r="A1">
            <v>0.49822480000000002</v>
          </cell>
          <cell r="B1">
            <v>0.91278049999999999</v>
          </cell>
        </row>
        <row r="2">
          <cell r="A2">
            <v>0.69968680000000005</v>
          </cell>
          <cell r="B2">
            <v>0.89159299999999997</v>
          </cell>
        </row>
        <row r="3">
          <cell r="A3">
            <v>0.85616170000000003</v>
          </cell>
          <cell r="B3">
            <v>0.87035739999999995</v>
          </cell>
        </row>
        <row r="4">
          <cell r="A4">
            <v>0.92047460000000003</v>
          </cell>
          <cell r="B4">
            <v>0.85972459999999995</v>
          </cell>
        </row>
        <row r="5">
          <cell r="A5">
            <v>0.96332399999999996</v>
          </cell>
          <cell r="B5">
            <v>0.85870040000000003</v>
          </cell>
        </row>
        <row r="6">
          <cell r="A6">
            <v>1.089601</v>
          </cell>
          <cell r="B6">
            <v>0.88558939999999997</v>
          </cell>
        </row>
        <row r="7">
          <cell r="A7">
            <v>1.1947080000000001</v>
          </cell>
          <cell r="B7">
            <v>0.85359719999999994</v>
          </cell>
        </row>
        <row r="8">
          <cell r="A8">
            <v>1.2802420000000001</v>
          </cell>
          <cell r="B8">
            <v>0.89007400000000003</v>
          </cell>
        </row>
        <row r="9">
          <cell r="A9">
            <v>1.4946029999999999</v>
          </cell>
          <cell r="B9">
            <v>0.85819880000000004</v>
          </cell>
        </row>
        <row r="10">
          <cell r="A10">
            <v>1.6960789999999999</v>
          </cell>
          <cell r="B10">
            <v>0.83380080000000001</v>
          </cell>
        </row>
        <row r="11">
          <cell r="A11">
            <v>1.923257</v>
          </cell>
          <cell r="B11">
            <v>0.81050049999999996</v>
          </cell>
        </row>
        <row r="12">
          <cell r="A12">
            <v>2.3839610000000002</v>
          </cell>
          <cell r="B12">
            <v>0.7820994</v>
          </cell>
        </row>
        <row r="13">
          <cell r="A13">
            <v>2.6946400000000001</v>
          </cell>
          <cell r="B13">
            <v>0.76959</v>
          </cell>
        </row>
        <row r="14">
          <cell r="A14">
            <v>3.135996</v>
          </cell>
          <cell r="B14">
            <v>0.75722040000000002</v>
          </cell>
        </row>
        <row r="15">
          <cell r="A15">
            <v>3.7679969999999998</v>
          </cell>
          <cell r="B15">
            <v>0.74826539999999997</v>
          </cell>
        </row>
        <row r="16">
          <cell r="A16">
            <v>4.3528539999999998</v>
          </cell>
          <cell r="B16">
            <v>0.74247039999999997</v>
          </cell>
        </row>
        <row r="17">
          <cell r="A17">
            <v>4.9655519999999997</v>
          </cell>
          <cell r="B17">
            <v>0.73884539999999999</v>
          </cell>
        </row>
      </sheetData>
      <sheetData sheetId="1">
        <row r="1">
          <cell r="A1">
            <v>0.4966758</v>
          </cell>
          <cell r="B1">
            <v>0.98929540000000005</v>
          </cell>
        </row>
        <row r="2">
          <cell r="A2">
            <v>0.61228780000000005</v>
          </cell>
          <cell r="B2">
            <v>0.97888459999999999</v>
          </cell>
        </row>
        <row r="3">
          <cell r="A3">
            <v>0.69574389999999997</v>
          </cell>
          <cell r="B3">
            <v>0.96975489999999998</v>
          </cell>
        </row>
        <row r="4">
          <cell r="A4">
            <v>0.77900659999999999</v>
          </cell>
          <cell r="B4">
            <v>0.95310850000000003</v>
          </cell>
        </row>
        <row r="5">
          <cell r="A5">
            <v>0.88559429999999995</v>
          </cell>
          <cell r="B5">
            <v>0.92557210000000001</v>
          </cell>
        </row>
        <row r="6">
          <cell r="A6">
            <v>0.92613909999999999</v>
          </cell>
          <cell r="B6">
            <v>0.91671899999999995</v>
          </cell>
        </row>
        <row r="7">
          <cell r="A7">
            <v>0.94533869999999998</v>
          </cell>
          <cell r="B7">
            <v>0.91229930000000004</v>
          </cell>
        </row>
        <row r="8">
          <cell r="A8">
            <v>0.96891229999999995</v>
          </cell>
          <cell r="B8">
            <v>0.91107340000000003</v>
          </cell>
        </row>
        <row r="9">
          <cell r="A9">
            <v>1.0376810000000001</v>
          </cell>
          <cell r="B9">
            <v>0.91492620000000002</v>
          </cell>
        </row>
        <row r="10">
          <cell r="A10">
            <v>1.099958</v>
          </cell>
          <cell r="B10">
            <v>0.91667279999999995</v>
          </cell>
        </row>
        <row r="11">
          <cell r="A11">
            <v>1.1383019999999999</v>
          </cell>
          <cell r="B11">
            <v>0.90568590000000004</v>
          </cell>
        </row>
        <row r="12">
          <cell r="A12">
            <v>1.165697</v>
          </cell>
          <cell r="B12">
            <v>0.88617760000000001</v>
          </cell>
        </row>
        <row r="13">
          <cell r="A13">
            <v>1.1933130000000001</v>
          </cell>
          <cell r="B13">
            <v>0.87525980000000003</v>
          </cell>
        </row>
        <row r="14">
          <cell r="A14">
            <v>1.289974</v>
          </cell>
          <cell r="B14">
            <v>0.87893290000000002</v>
          </cell>
        </row>
        <row r="15">
          <cell r="A15">
            <v>1.414582</v>
          </cell>
          <cell r="B15">
            <v>0.88457379999999997</v>
          </cell>
        </row>
        <row r="16">
          <cell r="A16">
            <v>1.719336</v>
          </cell>
          <cell r="B16">
            <v>0.88583199999999995</v>
          </cell>
        </row>
        <row r="17">
          <cell r="A17">
            <v>1.9832959999999999</v>
          </cell>
          <cell r="B17">
            <v>0.88627900000000004</v>
          </cell>
        </row>
        <row r="18">
          <cell r="A18">
            <v>2.2410399999999999</v>
          </cell>
          <cell r="B18">
            <v>0.89535799999999999</v>
          </cell>
        </row>
        <row r="19">
          <cell r="A19">
            <v>2.4707819999999998</v>
          </cell>
          <cell r="B19">
            <v>0.9003215</v>
          </cell>
        </row>
        <row r="20">
          <cell r="A20">
            <v>2.839985</v>
          </cell>
          <cell r="B20">
            <v>0.90438629999999998</v>
          </cell>
        </row>
        <row r="21">
          <cell r="A21">
            <v>3.2668699999999999</v>
          </cell>
          <cell r="B21">
            <v>0.89841349999999998</v>
          </cell>
        </row>
        <row r="22">
          <cell r="A22">
            <v>3.4598049999999998</v>
          </cell>
          <cell r="B22">
            <v>0.89072629999999997</v>
          </cell>
        </row>
        <row r="23">
          <cell r="A23">
            <v>3.877942</v>
          </cell>
          <cell r="B23">
            <v>0.87836610000000004</v>
          </cell>
        </row>
        <row r="24">
          <cell r="A24">
            <v>4.2919539999999996</v>
          </cell>
          <cell r="B24">
            <v>0.87247620000000004</v>
          </cell>
        </row>
        <row r="25">
          <cell r="A25">
            <v>4.6802739999999998</v>
          </cell>
          <cell r="B25">
            <v>0.86889989999999995</v>
          </cell>
        </row>
        <row r="26">
          <cell r="A26">
            <v>5.0021089999999999</v>
          </cell>
          <cell r="B26">
            <v>0.86682610000000004</v>
          </cell>
        </row>
      </sheetData>
      <sheetData sheetId="2">
        <row r="1">
          <cell r="A1">
            <v>0.51472549999999995</v>
          </cell>
          <cell r="B1">
            <v>1.58518</v>
          </cell>
        </row>
        <row r="2">
          <cell r="A2">
            <v>0.65948249999999997</v>
          </cell>
          <cell r="B2">
            <v>1.6428499999999999</v>
          </cell>
        </row>
        <row r="3">
          <cell r="A3">
            <v>0.77620120000000004</v>
          </cell>
          <cell r="B3">
            <v>1.692399</v>
          </cell>
        </row>
        <row r="4">
          <cell r="A4">
            <v>0.84978920000000002</v>
          </cell>
          <cell r="B4">
            <v>1.729781</v>
          </cell>
        </row>
        <row r="5">
          <cell r="A5">
            <v>0.88433459999999997</v>
          </cell>
          <cell r="B5">
            <v>1.742083</v>
          </cell>
        </row>
        <row r="6">
          <cell r="A6">
            <v>0.94248940000000003</v>
          </cell>
          <cell r="B6">
            <v>1.754011</v>
          </cell>
        </row>
        <row r="7">
          <cell r="A7">
            <v>0.97669379999999995</v>
          </cell>
          <cell r="B7">
            <v>1.744902</v>
          </cell>
        </row>
        <row r="8">
          <cell r="A8">
            <v>1.0342690000000001</v>
          </cell>
          <cell r="B8">
            <v>1.7204330000000001</v>
          </cell>
        </row>
        <row r="9">
          <cell r="A9">
            <v>1.0707899999999999</v>
          </cell>
          <cell r="B9">
            <v>1.7219949999999999</v>
          </cell>
        </row>
        <row r="10">
          <cell r="A10">
            <v>1.190985</v>
          </cell>
          <cell r="B10">
            <v>1.85501</v>
          </cell>
        </row>
        <row r="11">
          <cell r="A11">
            <v>1.242599</v>
          </cell>
          <cell r="B11">
            <v>1.860617</v>
          </cell>
        </row>
        <row r="12">
          <cell r="A12">
            <v>1.4613849999999999</v>
          </cell>
          <cell r="B12">
            <v>1.8485830000000001</v>
          </cell>
        </row>
        <row r="13">
          <cell r="A13">
            <v>1.744799</v>
          </cell>
          <cell r="B13">
            <v>1.850517</v>
          </cell>
        </row>
        <row r="14">
          <cell r="A14">
            <v>1.9722729999999999</v>
          </cell>
          <cell r="B14">
            <v>1.84477</v>
          </cell>
        </row>
        <row r="15">
          <cell r="A15">
            <v>2.1093980000000001</v>
          </cell>
          <cell r="B15">
            <v>1.8276060000000001</v>
          </cell>
        </row>
        <row r="16">
          <cell r="A16">
            <v>2.3661020000000001</v>
          </cell>
          <cell r="B16">
            <v>1.769998</v>
          </cell>
        </row>
        <row r="17">
          <cell r="A17">
            <v>2.7105649999999999</v>
          </cell>
          <cell r="B17">
            <v>1.6960090000000001</v>
          </cell>
        </row>
        <row r="18">
          <cell r="A18">
            <v>3.1042909999999999</v>
          </cell>
          <cell r="B18">
            <v>1.614814</v>
          </cell>
        </row>
        <row r="19">
          <cell r="A19">
            <v>3.4681060000000001</v>
          </cell>
          <cell r="B19">
            <v>1.542659</v>
          </cell>
        </row>
        <row r="20">
          <cell r="A20">
            <v>3.7634089999999998</v>
          </cell>
          <cell r="B20">
            <v>1.4822979999999999</v>
          </cell>
        </row>
      </sheetData>
      <sheetData sheetId="3">
        <row r="1">
          <cell r="A1">
            <v>0.47582170000000001</v>
          </cell>
          <cell r="B1">
            <v>1.5751029999999999</v>
          </cell>
        </row>
        <row r="2">
          <cell r="A2">
            <v>0.6777396</v>
          </cell>
          <cell r="B2">
            <v>1.657556</v>
          </cell>
        </row>
        <row r="3">
          <cell r="A3">
            <v>0.83661220000000003</v>
          </cell>
          <cell r="B3">
            <v>1.74414</v>
          </cell>
        </row>
        <row r="4">
          <cell r="A4">
            <v>0.91812490000000002</v>
          </cell>
          <cell r="B4">
            <v>1.8067839999999999</v>
          </cell>
        </row>
        <row r="5">
          <cell r="A5">
            <v>0.96115349999999999</v>
          </cell>
          <cell r="B5">
            <v>1.8069500000000001</v>
          </cell>
        </row>
        <row r="6">
          <cell r="A6">
            <v>1.087871</v>
          </cell>
          <cell r="B6">
            <v>1.863321</v>
          </cell>
        </row>
        <row r="7">
          <cell r="A7">
            <v>1.18662</v>
          </cell>
          <cell r="B7">
            <v>1.919584</v>
          </cell>
        </row>
        <row r="8">
          <cell r="A8">
            <v>1.2296240000000001</v>
          </cell>
          <cell r="B8">
            <v>1.9261980000000001</v>
          </cell>
        </row>
        <row r="9">
          <cell r="A9">
            <v>1.2877130000000001</v>
          </cell>
          <cell r="B9">
            <v>1.926423</v>
          </cell>
        </row>
        <row r="10">
          <cell r="A10">
            <v>1.5136799999999999</v>
          </cell>
          <cell r="B10">
            <v>1.9101030000000001</v>
          </cell>
        </row>
        <row r="11">
          <cell r="A11">
            <v>1.9354020000000001</v>
          </cell>
          <cell r="B11">
            <v>1.9009879999999999</v>
          </cell>
        </row>
        <row r="12">
          <cell r="A12">
            <v>2.544365</v>
          </cell>
          <cell r="B12">
            <v>1.8754040000000001</v>
          </cell>
        </row>
        <row r="13">
          <cell r="A13">
            <v>2.9317310000000001</v>
          </cell>
          <cell r="B13">
            <v>1.848962</v>
          </cell>
        </row>
        <row r="14">
          <cell r="A14">
            <v>3.1598069999999998</v>
          </cell>
          <cell r="B14">
            <v>1.843397</v>
          </cell>
        </row>
        <row r="15">
          <cell r="A15">
            <v>3.9493659999999999</v>
          </cell>
          <cell r="B15">
            <v>1.8507499999999999</v>
          </cell>
        </row>
        <row r="16">
          <cell r="A16">
            <v>4.7409420000000004</v>
          </cell>
          <cell r="B16">
            <v>1.8924989999999999</v>
          </cell>
        </row>
        <row r="17">
          <cell r="A17">
            <v>4.9173099999999996</v>
          </cell>
          <cell r="B17">
            <v>1.9060760000000001</v>
          </cell>
        </row>
      </sheetData>
      <sheetData sheetId="4">
        <row r="1">
          <cell r="A1">
            <v>0.47525679999999998</v>
          </cell>
          <cell r="B1">
            <v>3.2958029999999999E-2</v>
          </cell>
        </row>
        <row r="2">
          <cell r="A2">
            <v>0.60428979999999999</v>
          </cell>
          <cell r="B2">
            <v>4.2241420000000002E-2</v>
          </cell>
        </row>
        <row r="3">
          <cell r="A3">
            <v>0.73553610000000003</v>
          </cell>
          <cell r="B3">
            <v>5.6891280000000002E-2</v>
          </cell>
        </row>
        <row r="4">
          <cell r="A4">
            <v>0.80228529999999998</v>
          </cell>
          <cell r="B4">
            <v>6.8511329999999995E-2</v>
          </cell>
        </row>
        <row r="5">
          <cell r="A5">
            <v>0.8583172</v>
          </cell>
          <cell r="B5">
            <v>8.2312880000000005E-2</v>
          </cell>
        </row>
        <row r="6">
          <cell r="A6">
            <v>0.94022300000000003</v>
          </cell>
          <cell r="B6">
            <v>0.103559</v>
          </cell>
        </row>
        <row r="7">
          <cell r="A7">
            <v>1.0243420000000001</v>
          </cell>
          <cell r="B7">
            <v>0.1301715</v>
          </cell>
        </row>
        <row r="8">
          <cell r="A8">
            <v>1.086884</v>
          </cell>
          <cell r="B8">
            <v>0.1493266</v>
          </cell>
        </row>
        <row r="9">
          <cell r="A9">
            <v>1.1278239999999999</v>
          </cell>
          <cell r="B9">
            <v>0.15887509999999999</v>
          </cell>
        </row>
        <row r="10">
          <cell r="A10">
            <v>1.1752229999999999</v>
          </cell>
          <cell r="B10">
            <v>0.16947870000000001</v>
          </cell>
        </row>
        <row r="11">
          <cell r="A11">
            <v>1.1752359999999999</v>
          </cell>
          <cell r="B11">
            <v>0.17055329999999999</v>
          </cell>
        </row>
        <row r="12">
          <cell r="A12">
            <v>1.2677039999999999</v>
          </cell>
          <cell r="B12">
            <v>0.17672280000000001</v>
          </cell>
        </row>
        <row r="13">
          <cell r="A13">
            <v>1.407519</v>
          </cell>
          <cell r="B13">
            <v>0.1891977</v>
          </cell>
        </row>
        <row r="14">
          <cell r="A14">
            <v>1.5214989999999999</v>
          </cell>
          <cell r="B14">
            <v>0.19745170000000001</v>
          </cell>
        </row>
        <row r="15">
          <cell r="A15">
            <v>1.7601370000000001</v>
          </cell>
          <cell r="B15">
            <v>0.20855460000000001</v>
          </cell>
        </row>
        <row r="16">
          <cell r="A16">
            <v>1.9105780000000001</v>
          </cell>
          <cell r="B16">
            <v>0.21132580000000001</v>
          </cell>
        </row>
        <row r="17">
          <cell r="A17">
            <v>2.7506719999999998</v>
          </cell>
          <cell r="B17">
            <v>0.2077233</v>
          </cell>
        </row>
        <row r="18">
          <cell r="A18">
            <v>3.9925570000000001</v>
          </cell>
          <cell r="B18">
            <v>0.20291190000000001</v>
          </cell>
        </row>
        <row r="19">
          <cell r="A19">
            <v>4.4480750000000002</v>
          </cell>
          <cell r="B19">
            <v>0.20261589999999999</v>
          </cell>
        </row>
        <row r="20">
          <cell r="A20">
            <v>4.890676</v>
          </cell>
          <cell r="B20">
            <v>0.20020950000000001</v>
          </cell>
        </row>
      </sheetData>
      <sheetData sheetId="5"/>
      <sheetData sheetId="6">
        <row r="1">
          <cell r="A1">
            <v>0.4817727</v>
          </cell>
          <cell r="B1">
            <v>6.6354949999999996E-2</v>
          </cell>
        </row>
        <row r="2">
          <cell r="A2">
            <v>0.59972740000000002</v>
          </cell>
          <cell r="B2">
            <v>8.1362500000000004E-2</v>
          </cell>
        </row>
        <row r="3">
          <cell r="A3">
            <v>0.72122980000000003</v>
          </cell>
          <cell r="B3">
            <v>0.1043536</v>
          </cell>
        </row>
        <row r="4">
          <cell r="A4">
            <v>0.88272039999999996</v>
          </cell>
          <cell r="B4">
            <v>0.15104129999999999</v>
          </cell>
        </row>
        <row r="5">
          <cell r="A5">
            <v>1.0021679999999999</v>
          </cell>
          <cell r="B5">
            <v>0.20771000000000001</v>
          </cell>
        </row>
        <row r="6">
          <cell r="A6">
            <v>1.0688150000000001</v>
          </cell>
          <cell r="B6">
            <v>0.24720439999999999</v>
          </cell>
        </row>
        <row r="7">
          <cell r="A7">
            <v>1.1420410000000001</v>
          </cell>
          <cell r="B7">
            <v>0.28824470000000002</v>
          </cell>
        </row>
        <row r="8">
          <cell r="A8">
            <v>1.191581</v>
          </cell>
          <cell r="B8">
            <v>0.30544729999999998</v>
          </cell>
        </row>
        <row r="9">
          <cell r="A9">
            <v>1.240834</v>
          </cell>
          <cell r="B9">
            <v>0.31463799999999997</v>
          </cell>
        </row>
        <row r="10">
          <cell r="A10">
            <v>1.2702359999999999</v>
          </cell>
          <cell r="B10">
            <v>0.3159864</v>
          </cell>
        </row>
        <row r="11">
          <cell r="A11">
            <v>1.319088</v>
          </cell>
          <cell r="B11">
            <v>0.31396069999999998</v>
          </cell>
        </row>
        <row r="12">
          <cell r="A12">
            <v>1.3972260000000001</v>
          </cell>
          <cell r="B12">
            <v>0.31007869999999998</v>
          </cell>
        </row>
        <row r="13">
          <cell r="A13">
            <v>1.670884</v>
          </cell>
          <cell r="B13">
            <v>0.30129869999999997</v>
          </cell>
        </row>
        <row r="14">
          <cell r="A14">
            <v>2.1142069999999999</v>
          </cell>
          <cell r="B14">
            <v>0.29425590000000001</v>
          </cell>
        </row>
        <row r="15">
          <cell r="A15">
            <v>2.710718</v>
          </cell>
          <cell r="B15">
            <v>0.28428429999999999</v>
          </cell>
        </row>
        <row r="16">
          <cell r="A16">
            <v>3.3236469999999998</v>
          </cell>
          <cell r="B16">
            <v>0.27737630000000002</v>
          </cell>
        </row>
        <row r="17">
          <cell r="A17">
            <v>4.3019319999999999</v>
          </cell>
          <cell r="B17">
            <v>0.27211449999999998</v>
          </cell>
        </row>
        <row r="18">
          <cell r="A18">
            <v>4.8041739999999997</v>
          </cell>
          <cell r="B18">
            <v>0.27097310000000002</v>
          </cell>
        </row>
      </sheetData>
      <sheetData sheetId="7">
        <row r="1">
          <cell r="A1">
            <v>0.47532799999999997</v>
          </cell>
          <cell r="B1">
            <v>6.2841739999999993E-2</v>
          </cell>
        </row>
        <row r="2">
          <cell r="A2">
            <v>0.57034280000000004</v>
          </cell>
          <cell r="B2">
            <v>7.4456519999999998E-2</v>
          </cell>
        </row>
        <row r="3">
          <cell r="A3">
            <v>0.73485659999999997</v>
          </cell>
          <cell r="B3">
            <v>0.1076392</v>
          </cell>
        </row>
        <row r="4">
          <cell r="A4">
            <v>0.85699669999999994</v>
          </cell>
          <cell r="B4">
            <v>0.13976150000000001</v>
          </cell>
        </row>
        <row r="5">
          <cell r="A5">
            <v>0.9901664</v>
          </cell>
          <cell r="B5">
            <v>0.19580639999999999</v>
          </cell>
        </row>
        <row r="6">
          <cell r="A6">
            <v>1.057768</v>
          </cell>
          <cell r="B6">
            <v>0.24306710000000001</v>
          </cell>
        </row>
        <row r="7">
          <cell r="A7">
            <v>1.098922</v>
          </cell>
          <cell r="B7">
            <v>0.28264590000000001</v>
          </cell>
        </row>
        <row r="8">
          <cell r="A8">
            <v>1.1093580000000001</v>
          </cell>
          <cell r="B8">
            <v>0.2953461</v>
          </cell>
        </row>
        <row r="9">
          <cell r="A9">
            <v>1.1227940000000001</v>
          </cell>
          <cell r="B9">
            <v>0.3031951</v>
          </cell>
        </row>
        <row r="10">
          <cell r="A10">
            <v>1.1362300000000001</v>
          </cell>
          <cell r="B10">
            <v>0.31104409999999999</v>
          </cell>
        </row>
        <row r="11">
          <cell r="A11">
            <v>1.165422</v>
          </cell>
          <cell r="B11">
            <v>0.30906509999999998</v>
          </cell>
        </row>
        <row r="12">
          <cell r="A12">
            <v>1.1847700000000001</v>
          </cell>
          <cell r="B12">
            <v>0.3056082</v>
          </cell>
        </row>
        <row r="13">
          <cell r="A13">
            <v>1.265333</v>
          </cell>
          <cell r="B13">
            <v>0.2901358</v>
          </cell>
        </row>
        <row r="14">
          <cell r="A14">
            <v>1.352571</v>
          </cell>
          <cell r="B14">
            <v>0.27778619999999998</v>
          </cell>
        </row>
        <row r="15">
          <cell r="A15">
            <v>1.68902</v>
          </cell>
          <cell r="B15">
            <v>0.238174</v>
          </cell>
        </row>
        <row r="16">
          <cell r="A16">
            <v>2.068435</v>
          </cell>
          <cell r="B16">
            <v>0.21084459999999999</v>
          </cell>
        </row>
        <row r="17">
          <cell r="A17">
            <v>2.5235159999999999</v>
          </cell>
          <cell r="B17">
            <v>0.19858690000000001</v>
          </cell>
        </row>
        <row r="18">
          <cell r="A18">
            <v>3.4834909999999999</v>
          </cell>
          <cell r="B18">
            <v>0.19268350000000001</v>
          </cell>
        </row>
        <row r="19">
          <cell r="A19">
            <v>3.913141</v>
          </cell>
          <cell r="B19">
            <v>0.19198209999999999</v>
          </cell>
        </row>
        <row r="20">
          <cell r="A20">
            <v>4.495768</v>
          </cell>
          <cell r="B20">
            <v>0.1909216</v>
          </cell>
        </row>
        <row r="21">
          <cell r="A21">
            <v>4.9546950000000001</v>
          </cell>
          <cell r="B21">
            <v>0.1898445</v>
          </cell>
        </row>
      </sheetData>
      <sheetData sheetId="8">
        <row r="1">
          <cell r="A1">
            <v>0.49089549999999998</v>
          </cell>
          <cell r="B1">
            <v>1.3797539999999999</v>
          </cell>
        </row>
        <row r="2">
          <cell r="A2">
            <v>0.60246279999999997</v>
          </cell>
          <cell r="B2">
            <v>1.4360759999999999</v>
          </cell>
        </row>
        <row r="3">
          <cell r="A3">
            <v>0.7335836</v>
          </cell>
          <cell r="B3">
            <v>1.4921469999999999</v>
          </cell>
        </row>
        <row r="4">
          <cell r="A4">
            <v>0.80236039999999997</v>
          </cell>
          <cell r="B4">
            <v>1.5169330000000001</v>
          </cell>
        </row>
        <row r="5">
          <cell r="A5">
            <v>0.88730419999999999</v>
          </cell>
          <cell r="B5">
            <v>1.5318860000000001</v>
          </cell>
        </row>
        <row r="6">
          <cell r="A6">
            <v>0.92645350000000004</v>
          </cell>
          <cell r="B6">
            <v>1.534592</v>
          </cell>
        </row>
        <row r="7">
          <cell r="A7">
            <v>0.95574099999999995</v>
          </cell>
          <cell r="B7">
            <v>1.531007</v>
          </cell>
        </row>
        <row r="8">
          <cell r="A8">
            <v>1.001196</v>
          </cell>
          <cell r="B8">
            <v>1.51759</v>
          </cell>
        </row>
        <row r="9">
          <cell r="A9">
            <v>1.027182</v>
          </cell>
          <cell r="B9">
            <v>1.510839</v>
          </cell>
        </row>
        <row r="10">
          <cell r="A10">
            <v>1.043434</v>
          </cell>
          <cell r="B10">
            <v>1.507422</v>
          </cell>
        </row>
        <row r="11">
          <cell r="A11">
            <v>1.066289</v>
          </cell>
          <cell r="B11">
            <v>1.510337</v>
          </cell>
        </row>
        <row r="12">
          <cell r="A12">
            <v>1.1055649999999999</v>
          </cell>
          <cell r="B12">
            <v>1.522667</v>
          </cell>
        </row>
        <row r="13">
          <cell r="A13">
            <v>1.144927</v>
          </cell>
          <cell r="B13">
            <v>1.5414140000000001</v>
          </cell>
        </row>
        <row r="14">
          <cell r="A14">
            <v>1.1978770000000001</v>
          </cell>
          <cell r="B14">
            <v>1.6016969999999999</v>
          </cell>
        </row>
        <row r="15">
          <cell r="A15">
            <v>1.24088</v>
          </cell>
          <cell r="B15">
            <v>1.649273</v>
          </cell>
        </row>
        <row r="16">
          <cell r="A16">
            <v>1.293617</v>
          </cell>
          <cell r="B16">
            <v>1.693516</v>
          </cell>
        </row>
        <row r="17">
          <cell r="A17">
            <v>1.3494429999999999</v>
          </cell>
          <cell r="B17">
            <v>1.724885</v>
          </cell>
        </row>
        <row r="18">
          <cell r="A18">
            <v>1.3821600000000001</v>
          </cell>
          <cell r="B18">
            <v>1.734091</v>
          </cell>
        </row>
        <row r="19">
          <cell r="A19">
            <v>1.405057</v>
          </cell>
          <cell r="B19">
            <v>1.7402139999999999</v>
          </cell>
        </row>
        <row r="20">
          <cell r="A20">
            <v>1.4572419999999999</v>
          </cell>
          <cell r="B20">
            <v>1.742753</v>
          </cell>
        </row>
      </sheetData>
      <sheetData sheetId="9">
        <row r="1">
          <cell r="A1">
            <v>0.48192750000000001</v>
          </cell>
          <cell r="B1">
            <v>1.495803</v>
          </cell>
        </row>
        <row r="2">
          <cell r="A2">
            <v>0.69738160000000005</v>
          </cell>
          <cell r="B2">
            <v>1.512967</v>
          </cell>
        </row>
        <row r="3">
          <cell r="A3">
            <v>0.85730099999999998</v>
          </cell>
          <cell r="B3">
            <v>1.5330569999999999</v>
          </cell>
        </row>
        <row r="4">
          <cell r="A4">
            <v>0.91285289999999997</v>
          </cell>
          <cell r="B4">
            <v>1.5269200000000001</v>
          </cell>
        </row>
        <row r="5">
          <cell r="A5">
            <v>0.98153599999999996</v>
          </cell>
          <cell r="B5">
            <v>1.5080039999999999</v>
          </cell>
        </row>
        <row r="6">
          <cell r="A6">
            <v>1.0207759999999999</v>
          </cell>
          <cell r="B6">
            <v>1.4985710000000001</v>
          </cell>
        </row>
        <row r="7">
          <cell r="A7">
            <v>1.0436190000000001</v>
          </cell>
          <cell r="B7">
            <v>1.5019</v>
          </cell>
        </row>
        <row r="8">
          <cell r="A8">
            <v>1.0892379999999999</v>
          </cell>
          <cell r="B8">
            <v>1.5214030000000001</v>
          </cell>
        </row>
        <row r="9">
          <cell r="A9">
            <v>1.1672739999999999</v>
          </cell>
          <cell r="B9">
            <v>1.5860320000000001</v>
          </cell>
        </row>
        <row r="10">
          <cell r="A10">
            <v>1.242011</v>
          </cell>
          <cell r="B10">
            <v>1.657068</v>
          </cell>
        </row>
        <row r="11">
          <cell r="A11">
            <v>1.277798</v>
          </cell>
          <cell r="B11">
            <v>1.6829430000000001</v>
          </cell>
        </row>
        <row r="12">
          <cell r="A12">
            <v>1.31037</v>
          </cell>
          <cell r="B12">
            <v>1.6991670000000001</v>
          </cell>
        </row>
        <row r="13">
          <cell r="A13">
            <v>1.333162</v>
          </cell>
          <cell r="B13">
            <v>1.7121299999999999</v>
          </cell>
        </row>
        <row r="14">
          <cell r="A14">
            <v>1.36252</v>
          </cell>
          <cell r="B14">
            <v>1.718704</v>
          </cell>
        </row>
        <row r="15">
          <cell r="A15">
            <v>1.4767870000000001</v>
          </cell>
          <cell r="B15">
            <v>1.725714</v>
          </cell>
        </row>
        <row r="16">
          <cell r="A16">
            <v>1.868574</v>
          </cell>
          <cell r="B16">
            <v>1.7469950000000001</v>
          </cell>
        </row>
        <row r="17">
          <cell r="A17">
            <v>2.3191449999999998</v>
          </cell>
          <cell r="B17">
            <v>1.7685789999999999</v>
          </cell>
        </row>
        <row r="18">
          <cell r="A18">
            <v>2.6751290000000001</v>
          </cell>
          <cell r="B18">
            <v>1.7671969999999999</v>
          </cell>
        </row>
        <row r="19">
          <cell r="A19">
            <v>3.1258880000000002</v>
          </cell>
          <cell r="B19">
            <v>1.7534559999999999</v>
          </cell>
        </row>
        <row r="20">
          <cell r="A20">
            <v>3.723503</v>
          </cell>
          <cell r="B20">
            <v>1.759738</v>
          </cell>
        </row>
        <row r="21">
          <cell r="A21">
            <v>4.3046879999999996</v>
          </cell>
          <cell r="B21">
            <v>1.785204</v>
          </cell>
        </row>
      </sheetData>
      <sheetData sheetId="10">
        <row r="1">
          <cell r="A1">
            <v>0.46248529999999999</v>
          </cell>
          <cell r="B1">
            <v>0.60808859999999998</v>
          </cell>
        </row>
        <row r="2">
          <cell r="A2">
            <v>0.74810299999999996</v>
          </cell>
          <cell r="B2">
            <v>0.58521230000000002</v>
          </cell>
        </row>
        <row r="3">
          <cell r="A3">
            <v>1.076659</v>
          </cell>
          <cell r="B3">
            <v>0.5729959</v>
          </cell>
        </row>
        <row r="4">
          <cell r="A4">
            <v>1.134865</v>
          </cell>
          <cell r="B4">
            <v>0.5642431</v>
          </cell>
        </row>
        <row r="5">
          <cell r="A5">
            <v>1.1442969999999999</v>
          </cell>
          <cell r="B5">
            <v>0.55771649999999995</v>
          </cell>
        </row>
        <row r="6">
          <cell r="A6">
            <v>1.1536439999999999</v>
          </cell>
          <cell r="B6">
            <v>0.54958969999999996</v>
          </cell>
        </row>
        <row r="7">
          <cell r="A7">
            <v>1.1791069999999999</v>
          </cell>
          <cell r="B7">
            <v>0.53805349999999996</v>
          </cell>
        </row>
        <row r="8">
          <cell r="A8">
            <v>1.2213670000000001</v>
          </cell>
          <cell r="B8">
            <v>0.53591069999999996</v>
          </cell>
        </row>
        <row r="9">
          <cell r="A9">
            <v>1.446286</v>
          </cell>
          <cell r="B9">
            <v>0.53623200000000004</v>
          </cell>
        </row>
        <row r="10">
          <cell r="A10">
            <v>2.1079300000000001</v>
          </cell>
          <cell r="B10">
            <v>0.53576250000000003</v>
          </cell>
        </row>
        <row r="11">
          <cell r="A11">
            <v>2.737511</v>
          </cell>
          <cell r="B11">
            <v>0.54531240000000003</v>
          </cell>
        </row>
        <row r="12">
          <cell r="A12">
            <v>3.1124329999999998</v>
          </cell>
          <cell r="B12">
            <v>0.54691480000000003</v>
          </cell>
        </row>
        <row r="13">
          <cell r="A13">
            <v>3.9042819999999998</v>
          </cell>
          <cell r="B13">
            <v>0.54317590000000004</v>
          </cell>
        </row>
        <row r="14">
          <cell r="A14">
            <v>4.8067909999999996</v>
          </cell>
          <cell r="B14">
            <v>0.5364177</v>
          </cell>
        </row>
      </sheetData>
      <sheetData sheetId="11">
        <row r="1">
          <cell r="A1">
            <v>0.47584710000000002</v>
          </cell>
          <cell r="B1">
            <v>0.5401608</v>
          </cell>
        </row>
        <row r="2">
          <cell r="A2">
            <v>0.92052140000000005</v>
          </cell>
          <cell r="B2">
            <v>0.51336250000000005</v>
          </cell>
        </row>
        <row r="3">
          <cell r="A3">
            <v>0.9887804</v>
          </cell>
          <cell r="B3">
            <v>0.51292649999999995</v>
          </cell>
        </row>
        <row r="4">
          <cell r="A4">
            <v>1.0311630000000001</v>
          </cell>
          <cell r="B4">
            <v>0.5174472</v>
          </cell>
        </row>
        <row r="5">
          <cell r="A5">
            <v>1.0572509999999999</v>
          </cell>
          <cell r="B5">
            <v>0.52047480000000002</v>
          </cell>
        </row>
        <row r="6">
          <cell r="A6">
            <v>1.089628</v>
          </cell>
          <cell r="B6">
            <v>0.5154765</v>
          </cell>
        </row>
        <row r="7">
          <cell r="A7">
            <v>1.128295</v>
          </cell>
          <cell r="B7">
            <v>0.50245209999999996</v>
          </cell>
        </row>
        <row r="8">
          <cell r="A8">
            <v>1.147629</v>
          </cell>
          <cell r="B8">
            <v>0.49593999999999999</v>
          </cell>
        </row>
        <row r="9">
          <cell r="A9">
            <v>1.157295</v>
          </cell>
          <cell r="B9">
            <v>0.49268390000000001</v>
          </cell>
        </row>
        <row r="10">
          <cell r="A10">
            <v>1.1768400000000001</v>
          </cell>
          <cell r="B10">
            <v>0.49415619999999999</v>
          </cell>
        </row>
        <row r="11">
          <cell r="A11">
            <v>1.1965539999999999</v>
          </cell>
          <cell r="B11">
            <v>0.50201609999999997</v>
          </cell>
        </row>
        <row r="12">
          <cell r="A12">
            <v>1.2163520000000001</v>
          </cell>
          <cell r="B12">
            <v>0.51306969999999996</v>
          </cell>
        </row>
        <row r="13">
          <cell r="A13">
            <v>1.229481</v>
          </cell>
          <cell r="B13">
            <v>0.5177773</v>
          </cell>
        </row>
        <row r="14">
          <cell r="A14">
            <v>1.2393590000000001</v>
          </cell>
          <cell r="B14">
            <v>0.52250569999999996</v>
          </cell>
        </row>
        <row r="15">
          <cell r="A15">
            <v>1.26207</v>
          </cell>
          <cell r="B15">
            <v>0.52076350000000005</v>
          </cell>
        </row>
        <row r="16">
          <cell r="A16">
            <v>1.3138650000000001</v>
          </cell>
          <cell r="B16">
            <v>0.51244679999999998</v>
          </cell>
        </row>
        <row r="17">
          <cell r="A17">
            <v>1.3624099999999999</v>
          </cell>
          <cell r="B17">
            <v>0.50415080000000001</v>
          </cell>
        </row>
        <row r="18">
          <cell r="A18">
            <v>1.459627</v>
          </cell>
          <cell r="B18">
            <v>0.4923496</v>
          </cell>
        </row>
        <row r="19">
          <cell r="A19">
            <v>1.7223619999999999</v>
          </cell>
          <cell r="B19">
            <v>0.46990799999999999</v>
          </cell>
        </row>
        <row r="20">
          <cell r="A20">
            <v>2.1250770000000001</v>
          </cell>
          <cell r="B20">
            <v>0.45455790000000001</v>
          </cell>
        </row>
        <row r="21">
          <cell r="A21">
            <v>2.7489469999999998</v>
          </cell>
          <cell r="B21">
            <v>0.44258639999999999</v>
          </cell>
        </row>
        <row r="22">
          <cell r="A22">
            <v>3.2981850000000001</v>
          </cell>
          <cell r="B22">
            <v>0.43588320000000003</v>
          </cell>
        </row>
        <row r="23">
          <cell r="A23">
            <v>3.8768030000000002</v>
          </cell>
          <cell r="B23">
            <v>0.4337838</v>
          </cell>
        </row>
        <row r="24">
          <cell r="A24">
            <v>4.2961499999999999</v>
          </cell>
          <cell r="B24">
            <v>0.43270189999999997</v>
          </cell>
        </row>
        <row r="25">
          <cell r="A25">
            <v>4.8000499999999997</v>
          </cell>
          <cell r="B25">
            <v>0.43267699999999998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lain.dufour@astrium.eads.net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fabrice.martin@astrium.eads.net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2" enableFormatConditionsCalculation="0"/>
  <dimension ref="A1:F44"/>
  <sheetViews>
    <sheetView topLeftCell="A19" workbookViewId="0">
      <selection activeCell="D38" sqref="D38"/>
    </sheetView>
  </sheetViews>
  <sheetFormatPr baseColWidth="10" defaultRowHeight="12.75"/>
  <cols>
    <col min="2" max="2" width="46.125" bestFit="1" customWidth="1"/>
    <col min="5" max="5" width="12.125" customWidth="1"/>
  </cols>
  <sheetData>
    <row r="1" spans="1:6">
      <c r="A1" s="78" t="s">
        <v>237</v>
      </c>
      <c r="B1" t="s">
        <v>238</v>
      </c>
      <c r="C1" t="s">
        <v>239</v>
      </c>
    </row>
    <row r="2" spans="1:6">
      <c r="A2" s="78" t="s">
        <v>191</v>
      </c>
      <c r="B2" t="s">
        <v>240</v>
      </c>
    </row>
    <row r="3" spans="1:6">
      <c r="B3" t="s">
        <v>234</v>
      </c>
      <c r="C3" t="s">
        <v>235</v>
      </c>
      <c r="D3" t="s">
        <v>236</v>
      </c>
    </row>
    <row r="4" spans="1:6">
      <c r="A4" s="103"/>
      <c r="B4" t="s">
        <v>192</v>
      </c>
      <c r="C4" t="s">
        <v>193</v>
      </c>
      <c r="D4" s="78" t="s">
        <v>194</v>
      </c>
      <c r="E4" t="s">
        <v>195</v>
      </c>
      <c r="F4" t="s">
        <v>196</v>
      </c>
    </row>
    <row r="5" spans="1:6">
      <c r="B5" t="s">
        <v>197</v>
      </c>
      <c r="F5" t="s">
        <v>198</v>
      </c>
    </row>
    <row r="6" spans="1:6">
      <c r="B6" t="s">
        <v>199</v>
      </c>
      <c r="F6" t="s">
        <v>200</v>
      </c>
    </row>
    <row r="7" spans="1:6">
      <c r="E7" t="s">
        <v>201</v>
      </c>
      <c r="F7" t="s">
        <v>202</v>
      </c>
    </row>
    <row r="8" spans="1:6">
      <c r="E8" t="s">
        <v>203</v>
      </c>
    </row>
    <row r="9" spans="1:6">
      <c r="E9" t="s">
        <v>205</v>
      </c>
    </row>
    <row r="10" spans="1:6">
      <c r="B10" s="104" t="s">
        <v>241</v>
      </c>
    </row>
    <row r="11" spans="1:6">
      <c r="A11" s="78" t="s">
        <v>208</v>
      </c>
      <c r="B11" t="s">
        <v>209</v>
      </c>
    </row>
    <row r="12" spans="1:6">
      <c r="B12" t="s">
        <v>210</v>
      </c>
    </row>
    <row r="13" spans="1:6">
      <c r="B13" t="s">
        <v>211</v>
      </c>
    </row>
    <row r="14" spans="1:6">
      <c r="B14" t="s">
        <v>212</v>
      </c>
    </row>
    <row r="16" spans="1:6">
      <c r="A16" s="78" t="s">
        <v>191</v>
      </c>
      <c r="B16" s="151">
        <v>39134</v>
      </c>
      <c r="C16" t="s">
        <v>453</v>
      </c>
    </row>
    <row r="17" spans="2:5">
      <c r="B17" s="151">
        <v>39144</v>
      </c>
      <c r="C17" t="s">
        <v>454</v>
      </c>
    </row>
    <row r="18" spans="2:5">
      <c r="B18" s="151">
        <v>39157</v>
      </c>
      <c r="C18" t="s">
        <v>460</v>
      </c>
    </row>
    <row r="19" spans="2:5">
      <c r="B19" s="151">
        <v>39165</v>
      </c>
      <c r="C19" t="s">
        <v>455</v>
      </c>
      <c r="D19" t="s">
        <v>456</v>
      </c>
    </row>
    <row r="20" spans="2:5">
      <c r="D20" t="s">
        <v>457</v>
      </c>
    </row>
    <row r="21" spans="2:5">
      <c r="D21" t="s">
        <v>458</v>
      </c>
    </row>
    <row r="22" spans="2:5">
      <c r="D22" t="s">
        <v>459</v>
      </c>
    </row>
    <row r="24" spans="2:5">
      <c r="B24" t="s">
        <v>461</v>
      </c>
    </row>
    <row r="25" spans="2:5">
      <c r="B25" t="s">
        <v>462</v>
      </c>
    </row>
    <row r="26" spans="2:5">
      <c r="B26" t="s">
        <v>463</v>
      </c>
    </row>
    <row r="29" spans="2:5">
      <c r="B29" s="152"/>
      <c r="C29" s="152" t="s">
        <v>467</v>
      </c>
      <c r="D29" s="152" t="s">
        <v>468</v>
      </c>
      <c r="E29" s="152" t="s">
        <v>469</v>
      </c>
    </row>
    <row r="30" spans="2:5">
      <c r="B30" s="152" t="s">
        <v>470</v>
      </c>
      <c r="C30" s="152">
        <f ca="1">Etagement!C29</f>
        <v>91000.347025432697</v>
      </c>
      <c r="D30" s="152">
        <f ca="1">Etagement!B29</f>
        <v>82164.394545398274</v>
      </c>
      <c r="E30" s="152">
        <f ca="1">Etagement!A29</f>
        <v>19652.355724244979</v>
      </c>
    </row>
    <row r="31" spans="2:5">
      <c r="B31" s="152" t="s">
        <v>471</v>
      </c>
      <c r="C31" s="152">
        <f ca="1">Etagement!C32</f>
        <v>9065.1152263035437</v>
      </c>
      <c r="D31" s="152">
        <f ca="1">Etagement!B32</f>
        <v>6576.2666556242066</v>
      </c>
      <c r="E31" s="152">
        <f ca="1">Etagement!A32</f>
        <v>2795.0045586306151</v>
      </c>
    </row>
    <row r="32" spans="2:5">
      <c r="B32" s="152" t="s">
        <v>91</v>
      </c>
      <c r="C32" s="237">
        <f ca="1">'Moteur Etage 1'!B16</f>
        <v>1510.8893633308166</v>
      </c>
      <c r="D32" s="237">
        <f ca="1">'Moteur Etage 2'!B11</f>
        <v>402.27144396418356</v>
      </c>
      <c r="E32" s="237">
        <f ca="1">'Moteur Etage 3'!B11</f>
        <v>59.006795834275799</v>
      </c>
    </row>
    <row r="33" spans="2:5">
      <c r="B33" s="152" t="s">
        <v>472</v>
      </c>
      <c r="C33" s="237">
        <f>'Moteur Etage 1'!B18</f>
        <v>72.75</v>
      </c>
      <c r="D33" s="237">
        <f ca="1">'Moteur Etage 2'!B12</f>
        <v>204.2511239070547</v>
      </c>
      <c r="E33" s="237">
        <f ca="1">'Moteur Etage 3'!B12</f>
        <v>333.05241280071914</v>
      </c>
    </row>
    <row r="34" spans="2:5">
      <c r="B34" s="152" t="s">
        <v>685</v>
      </c>
      <c r="C34" s="152">
        <f>Etagement!B10</f>
        <v>288</v>
      </c>
      <c r="D34" s="152">
        <f>Etagement!B11</f>
        <v>315.60000000000002</v>
      </c>
      <c r="E34" s="152">
        <f>Etagement!B12</f>
        <v>469.9</v>
      </c>
    </row>
    <row r="35" spans="2:5">
      <c r="B35" s="152" t="s">
        <v>113</v>
      </c>
      <c r="C35" s="237">
        <f ca="1">'Moteur Etage 1'!B29</f>
        <v>5.7610701472371675</v>
      </c>
      <c r="D35" s="237">
        <f ca="1">'Moteur Etage 2'!B24</f>
        <v>4.9346356083677501</v>
      </c>
      <c r="E35" s="237">
        <f ca="1">'Moteur Etage 3'!B28</f>
        <v>1.2872801420138149</v>
      </c>
    </row>
    <row r="37" spans="2:5">
      <c r="B37" t="s">
        <v>464</v>
      </c>
    </row>
    <row r="38" spans="2:5">
      <c r="B38" t="s">
        <v>465</v>
      </c>
    </row>
    <row r="39" spans="2:5">
      <c r="B39" t="s">
        <v>466</v>
      </c>
    </row>
    <row r="40" spans="2:5">
      <c r="B40" t="s">
        <v>474</v>
      </c>
    </row>
    <row r="41" spans="2:5">
      <c r="B41" t="s">
        <v>473</v>
      </c>
    </row>
    <row r="42" spans="2:5">
      <c r="B42" t="s">
        <v>476</v>
      </c>
    </row>
    <row r="44" spans="2:5">
      <c r="B44" t="s">
        <v>475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3" enableFormatConditionsCalculation="0"/>
  <dimension ref="A1:P49"/>
  <sheetViews>
    <sheetView workbookViewId="0">
      <selection activeCell="E15" sqref="E15"/>
    </sheetView>
  </sheetViews>
  <sheetFormatPr baseColWidth="10" defaultColWidth="10.75" defaultRowHeight="12.75"/>
  <cols>
    <col min="1" max="1" width="15.875" style="1" bestFit="1" customWidth="1"/>
    <col min="2" max="3" width="12.25" style="1" bestFit="1" customWidth="1"/>
    <col min="4" max="4" width="10.125" style="1" customWidth="1"/>
    <col min="5" max="5" width="8.125" style="1" customWidth="1"/>
    <col min="6" max="6" width="11.625" style="1" customWidth="1"/>
    <col min="7" max="7" width="11.125" style="1" customWidth="1"/>
    <col min="8" max="8" width="10.375" style="1" customWidth="1"/>
    <col min="9" max="9" width="12.75" style="1" customWidth="1"/>
    <col min="10" max="16384" width="10.75" style="1"/>
  </cols>
  <sheetData>
    <row r="1" spans="1:16" ht="32.25">
      <c r="A1" s="244" t="s">
        <v>0</v>
      </c>
      <c r="B1" s="245"/>
      <c r="C1" s="245"/>
      <c r="D1" s="245"/>
      <c r="E1" s="245"/>
      <c r="F1" s="245"/>
      <c r="G1" s="245"/>
      <c r="H1" s="245"/>
      <c r="I1" s="245"/>
      <c r="J1" s="246"/>
    </row>
    <row r="2" spans="1:16" ht="12.75" customHeight="1">
      <c r="A2" s="47"/>
      <c r="B2" s="45"/>
      <c r="C2" s="45"/>
      <c r="D2" s="46"/>
      <c r="E2" s="46"/>
      <c r="F2" s="46"/>
      <c r="G2" s="46"/>
      <c r="H2" s="46"/>
      <c r="I2" s="46"/>
      <c r="J2" s="76"/>
    </row>
    <row r="3" spans="1:16" ht="26.1" customHeight="1" thickBot="1">
      <c r="A3" s="30" t="s">
        <v>29</v>
      </c>
      <c r="B3" s="31"/>
      <c r="C3" s="31"/>
      <c r="D3" s="31"/>
      <c r="E3" s="31"/>
      <c r="F3" s="44"/>
      <c r="G3" s="44"/>
      <c r="H3" s="32" t="s">
        <v>2</v>
      </c>
      <c r="I3" s="33"/>
      <c r="J3" s="34"/>
    </row>
    <row r="4" spans="1:16" ht="12.75" customHeight="1">
      <c r="A4" s="35" t="s">
        <v>1</v>
      </c>
      <c r="B4" s="155">
        <f ca="1">'Bilan Masse'!B20</f>
        <v>3393.0907663307016</v>
      </c>
      <c r="C4" s="31">
        <f ca="1">B4-'Bilan Masse'!B2</f>
        <v>2968.7996289112634</v>
      </c>
      <c r="D4" s="31"/>
      <c r="E4" s="31"/>
      <c r="F4" s="44"/>
      <c r="G4" s="44"/>
      <c r="H4" s="247" t="s">
        <v>4</v>
      </c>
      <c r="I4" s="248"/>
      <c r="J4" s="8">
        <f>2*PI()/(23*3600+56*60)</f>
        <v>7.2924620556866142E-5</v>
      </c>
    </row>
    <row r="5" spans="1:16" ht="12.75" customHeight="1">
      <c r="A5" s="29" t="s">
        <v>3</v>
      </c>
      <c r="B5" s="2">
        <v>35786</v>
      </c>
      <c r="C5" s="31"/>
      <c r="D5" s="31"/>
      <c r="E5" s="31"/>
      <c r="F5" s="44"/>
      <c r="G5" s="44"/>
      <c r="H5" s="249" t="s">
        <v>6</v>
      </c>
      <c r="I5" s="250"/>
      <c r="J5" s="9">
        <v>6378137</v>
      </c>
    </row>
    <row r="6" spans="1:16" ht="12.75" customHeight="1">
      <c r="A6" s="29" t="s">
        <v>5</v>
      </c>
      <c r="B6" s="2">
        <v>250</v>
      </c>
      <c r="C6" s="31"/>
      <c r="D6" s="31"/>
      <c r="E6" s="31"/>
      <c r="F6" s="44"/>
      <c r="G6" s="44"/>
      <c r="H6" s="249" t="s">
        <v>8</v>
      </c>
      <c r="I6" s="250"/>
      <c r="J6" s="9">
        <v>6356752</v>
      </c>
      <c r="L6"/>
      <c r="M6"/>
      <c r="N6"/>
      <c r="O6"/>
      <c r="P6"/>
    </row>
    <row r="7" spans="1:16" ht="12.75" customHeight="1" thickBot="1">
      <c r="A7" s="36" t="s">
        <v>7</v>
      </c>
      <c r="B7" s="3">
        <v>5</v>
      </c>
      <c r="C7" s="31"/>
      <c r="D7" s="31"/>
      <c r="E7" s="31"/>
      <c r="F7" s="44"/>
      <c r="G7" s="44"/>
      <c r="H7" s="249" t="s">
        <v>9</v>
      </c>
      <c r="I7" s="250"/>
      <c r="J7" s="9">
        <f>3.986005*100000000000000</f>
        <v>398600500000000</v>
      </c>
      <c r="L7"/>
      <c r="M7"/>
      <c r="N7"/>
      <c r="O7"/>
      <c r="P7"/>
    </row>
    <row r="8" spans="1:16" ht="13.5" thickBot="1">
      <c r="A8" s="37"/>
      <c r="B8" s="31"/>
      <c r="C8" s="31"/>
      <c r="D8" s="31"/>
      <c r="E8" s="31"/>
      <c r="F8" s="44"/>
      <c r="G8" s="44"/>
      <c r="H8" s="242" t="s">
        <v>12</v>
      </c>
      <c r="I8" s="243"/>
      <c r="J8" s="10">
        <v>9.81</v>
      </c>
      <c r="L8"/>
      <c r="M8"/>
      <c r="N8"/>
      <c r="O8"/>
      <c r="P8"/>
    </row>
    <row r="9" spans="1:16" ht="39" thickBot="1">
      <c r="A9" s="68" t="s">
        <v>43</v>
      </c>
      <c r="B9" s="69" t="s">
        <v>48</v>
      </c>
      <c r="C9" s="69" t="s">
        <v>47</v>
      </c>
      <c r="D9" s="70" t="s">
        <v>52</v>
      </c>
      <c r="E9" s="70" t="s">
        <v>10</v>
      </c>
      <c r="F9" s="71" t="s">
        <v>11</v>
      </c>
      <c r="G9" s="44"/>
      <c r="H9" s="31"/>
      <c r="I9" s="31"/>
      <c r="J9" s="34"/>
      <c r="O9"/>
      <c r="P9"/>
    </row>
    <row r="10" spans="1:16">
      <c r="A10" s="22" t="s">
        <v>44</v>
      </c>
      <c r="B10" s="64">
        <v>288</v>
      </c>
      <c r="C10" s="44">
        <v>264.8</v>
      </c>
      <c r="D10" s="41">
        <v>0.92</v>
      </c>
      <c r="E10" s="41">
        <f>(0.5*B10+0.5*C10)*D10</f>
        <v>254.28799999999998</v>
      </c>
      <c r="F10" s="66">
        <v>9.9616270955208919E-2</v>
      </c>
      <c r="G10" s="44"/>
      <c r="H10" s="53" t="s">
        <v>23</v>
      </c>
      <c r="I10" s="23">
        <f>F10/(1+F10)</f>
        <v>9.0591848798922181E-2</v>
      </c>
      <c r="J10" s="34"/>
      <c r="K10" s="1" t="s">
        <v>576</v>
      </c>
      <c r="L10" s="1">
        <f ca="1">(IF(C$29/1000&lt;10,15.79/POWER(C$29/1000,0.1092),IF(C$29/1000&lt;50,14.49/POWER(C$29/1000,0.1071),17.46/POWER(C$29/1000,0.0542))))/100</f>
        <v>0.13673009203871195</v>
      </c>
      <c r="O10"/>
      <c r="P10"/>
    </row>
    <row r="11" spans="1:16">
      <c r="A11" s="22" t="s">
        <v>45</v>
      </c>
      <c r="B11" s="64">
        <v>315.60000000000002</v>
      </c>
      <c r="C11" s="44">
        <v>186.3</v>
      </c>
      <c r="D11" s="41">
        <v>0.92</v>
      </c>
      <c r="E11" s="41">
        <f>B11*D11</f>
        <v>290.35200000000003</v>
      </c>
      <c r="F11" s="66">
        <v>8.0037912918479837E-2</v>
      </c>
      <c r="G11" s="44"/>
      <c r="H11" s="54" t="s">
        <v>22</v>
      </c>
      <c r="I11" s="24">
        <f>F11/(1+F11)</f>
        <v>7.4106577149871788E-2</v>
      </c>
      <c r="J11" s="34"/>
      <c r="K11" s="1" t="s">
        <v>577</v>
      </c>
      <c r="L11" s="1">
        <f ca="1">(IF(B$29/1000&lt;10,15.79/POWER(B$29/1000,0.1092),IF(B$29/1000&lt;50,14.49/POWER(B$29/1000,0.1071),17.46/POWER(B$29/1000,0.0542))))/100+0.02</f>
        <v>0.15748913670390616</v>
      </c>
      <c r="O11"/>
      <c r="P11"/>
    </row>
    <row r="12" spans="1:16" ht="13.5" thickBot="1">
      <c r="A12" s="6" t="s">
        <v>46</v>
      </c>
      <c r="B12" s="65">
        <v>469.9</v>
      </c>
      <c r="C12" s="62">
        <v>230.1</v>
      </c>
      <c r="D12" s="15">
        <v>0.95</v>
      </c>
      <c r="E12" s="15">
        <f>B12*D12</f>
        <v>446.40499999999997</v>
      </c>
      <c r="F12" s="67">
        <v>0.1422223675293256</v>
      </c>
      <c r="G12" s="44"/>
      <c r="H12" s="55" t="s">
        <v>21</v>
      </c>
      <c r="I12" s="25">
        <f>F12/(1+F12)</f>
        <v>0.1245137300514947</v>
      </c>
      <c r="J12" s="34"/>
      <c r="K12" s="1" t="s">
        <v>578</v>
      </c>
      <c r="L12" s="1">
        <f ca="1">(IF(B$29/1000&lt;10,15.79/POWER(B$29/1000,0.1092),IF(B$29/1000&lt;50,14.49/POWER(B$29/1000,0.1071),17.46/POWER(B$29/1000,0.0542))))/100+0.02</f>
        <v>0.15748913670390616</v>
      </c>
      <c r="O12"/>
      <c r="P12"/>
    </row>
    <row r="13" spans="1:16" ht="13.5" thickBot="1">
      <c r="A13" s="38"/>
      <c r="B13" s="39"/>
      <c r="C13" s="39"/>
      <c r="D13" s="31"/>
      <c r="E13" s="44"/>
      <c r="F13" s="59"/>
      <c r="G13" s="44"/>
      <c r="H13" s="39"/>
      <c r="I13" s="39"/>
      <c r="J13" s="34"/>
      <c r="K13" s="4"/>
    </row>
    <row r="14" spans="1:16" ht="13.5" thickBot="1">
      <c r="A14" s="40" t="s">
        <v>13</v>
      </c>
      <c r="B14" s="5"/>
      <c r="C14" s="39"/>
      <c r="D14" s="39"/>
      <c r="E14" s="39"/>
      <c r="F14" s="44"/>
      <c r="G14" s="44"/>
      <c r="H14" s="50" t="s">
        <v>25</v>
      </c>
      <c r="I14" s="26">
        <f>1/I10*(1-E11/E10*(1-I11*I15))</f>
        <v>1.7359735018418112</v>
      </c>
      <c r="J14" s="19"/>
      <c r="K14" s="58"/>
    </row>
    <row r="15" spans="1:16">
      <c r="A15" s="21" t="s">
        <v>14</v>
      </c>
      <c r="B15" s="18">
        <v>5</v>
      </c>
      <c r="C15" s="39"/>
      <c r="D15" s="39"/>
      <c r="E15" s="39"/>
      <c r="F15" s="44"/>
      <c r="G15" s="44"/>
      <c r="H15" s="56" t="s">
        <v>24</v>
      </c>
      <c r="I15" s="27">
        <f>1/I11*(1-E12/E11*(1-I12*I16))</f>
        <v>3.5346302884068592</v>
      </c>
      <c r="J15" s="19"/>
      <c r="K15" s="4"/>
    </row>
    <row r="16" spans="1:16" ht="13.5" thickBot="1">
      <c r="A16" s="22" t="s">
        <v>15</v>
      </c>
      <c r="B16" s="19">
        <f>J4*J5*COS(B15*PI()/180)*SIN(B18*PI()/180)</f>
        <v>463.35328630584405</v>
      </c>
      <c r="C16" s="39"/>
      <c r="D16" s="39"/>
      <c r="E16" s="39"/>
      <c r="F16" s="44"/>
      <c r="G16" s="44"/>
      <c r="H16" s="77" t="s">
        <v>20</v>
      </c>
      <c r="I16" s="28">
        <v>4.1758327388674843</v>
      </c>
      <c r="J16" s="19"/>
      <c r="K16" s="4"/>
    </row>
    <row r="17" spans="1:11" ht="13.5" thickBot="1">
      <c r="A17" s="22" t="s">
        <v>16</v>
      </c>
      <c r="B17" s="19">
        <f>SQRT(J7*(2/(1000*B6+J5)-2/(1000*B6+1000*B5+2*J5)))</f>
        <v>10194.930217458312</v>
      </c>
      <c r="C17" s="39"/>
      <c r="D17" s="39"/>
      <c r="E17" s="39"/>
      <c r="F17" s="44"/>
      <c r="G17" s="44"/>
      <c r="H17" s="57" t="s">
        <v>30</v>
      </c>
      <c r="I17" s="13">
        <f>J8*(E10*LN(I14)+E11*LN(I15)+E12*LN(I16))</f>
        <v>11231.576931195534</v>
      </c>
      <c r="J17" s="19"/>
      <c r="K17" s="4"/>
    </row>
    <row r="18" spans="1:11">
      <c r="A18" s="22" t="s">
        <v>17</v>
      </c>
      <c r="B18" s="19">
        <f>180/PI()*ASIN(COS(B7*PI()/180)/COS(B15*PI()/180))</f>
        <v>90</v>
      </c>
      <c r="C18" s="39"/>
      <c r="D18" s="39"/>
      <c r="E18" s="39"/>
      <c r="F18" s="39"/>
      <c r="G18" s="39"/>
      <c r="H18" s="39"/>
      <c r="I18" s="44"/>
      <c r="J18" s="42"/>
      <c r="K18" s="4"/>
    </row>
    <row r="19" spans="1:11">
      <c r="A19" s="22" t="s">
        <v>18</v>
      </c>
      <c r="B19" s="19">
        <v>1500</v>
      </c>
      <c r="C19" s="39"/>
      <c r="D19" s="39"/>
      <c r="E19" s="39"/>
      <c r="F19" s="39"/>
      <c r="G19" s="73"/>
      <c r="H19" s="73"/>
      <c r="I19" s="74"/>
      <c r="J19" s="42"/>
      <c r="K19" s="4"/>
    </row>
    <row r="20" spans="1:11" ht="13.5" thickBot="1">
      <c r="A20" s="6" t="s">
        <v>19</v>
      </c>
      <c r="B20" s="20">
        <f>B17-B16+B19</f>
        <v>11231.576931152467</v>
      </c>
      <c r="C20" s="39"/>
      <c r="D20" s="39"/>
      <c r="E20" s="39"/>
      <c r="F20" s="39"/>
      <c r="G20" s="73"/>
      <c r="H20" s="73"/>
      <c r="I20" s="74"/>
      <c r="J20" s="42"/>
      <c r="K20" s="4"/>
    </row>
    <row r="21" spans="1:11" ht="13.5" thickBot="1">
      <c r="A21" s="38"/>
      <c r="B21" s="39"/>
      <c r="C21" s="39"/>
      <c r="D21" s="39"/>
      <c r="E21" s="39"/>
      <c r="F21" s="41"/>
      <c r="G21" s="75"/>
      <c r="H21" s="73"/>
      <c r="I21" s="74"/>
      <c r="J21" s="42"/>
      <c r="K21" s="4"/>
    </row>
    <row r="22" spans="1:11">
      <c r="A22" s="11" t="s">
        <v>26</v>
      </c>
      <c r="B22" s="12" t="s">
        <v>27</v>
      </c>
      <c r="C22" s="14" t="s">
        <v>28</v>
      </c>
      <c r="D22" s="41"/>
      <c r="E22" s="41"/>
      <c r="F22" s="41"/>
      <c r="G22" s="75"/>
      <c r="H22" s="73"/>
      <c r="I22" s="74"/>
      <c r="J22" s="42"/>
      <c r="K22" s="4"/>
    </row>
    <row r="23" spans="1:11" ht="13.5" thickBot="1">
      <c r="A23" s="158">
        <f>(1+F12)/I16-F12</f>
        <v>0.13130927010017973</v>
      </c>
      <c r="B23" s="159">
        <f>(1+F11)/I15-F11</f>
        <v>0.22552103520146011</v>
      </c>
      <c r="C23" s="160">
        <f>(1+F10)/I14-F10</f>
        <v>0.53381290857348307</v>
      </c>
      <c r="D23" s="41"/>
      <c r="E23" s="41"/>
      <c r="F23" s="41"/>
      <c r="G23" s="75"/>
      <c r="H23" s="74"/>
      <c r="I23" s="74"/>
      <c r="J23" s="42"/>
      <c r="K23" s="4"/>
    </row>
    <row r="24" spans="1:11" ht="13.5" thickBot="1">
      <c r="A24" s="43"/>
      <c r="B24" s="41"/>
      <c r="C24" s="41"/>
      <c r="D24" s="41"/>
      <c r="E24" s="41"/>
      <c r="F24" s="44"/>
      <c r="G24" s="74"/>
      <c r="H24" s="74"/>
      <c r="I24" s="74"/>
      <c r="J24" s="42"/>
      <c r="K24" s="4"/>
    </row>
    <row r="25" spans="1:11">
      <c r="A25" s="50" t="s">
        <v>31</v>
      </c>
      <c r="B25" s="51" t="s">
        <v>32</v>
      </c>
      <c r="C25" s="52" t="s">
        <v>33</v>
      </c>
      <c r="D25" s="48" t="s">
        <v>40</v>
      </c>
      <c r="E25" s="60" t="s">
        <v>41</v>
      </c>
      <c r="F25" s="44"/>
      <c r="G25" s="74"/>
      <c r="H25" s="74"/>
      <c r="I25" s="74"/>
      <c r="J25" s="63"/>
    </row>
    <row r="26" spans="1:11" ht="13.5" thickBot="1">
      <c r="A26" s="16">
        <f ca="1">B4/A23</f>
        <v>25840.451049206291</v>
      </c>
      <c r="B26" s="17">
        <f ca="1">A26/B23</f>
        <v>114581.11225022876</v>
      </c>
      <c r="C26" s="7">
        <f ca="1">B26/C23</f>
        <v>214646.57450196499</v>
      </c>
      <c r="D26" s="49">
        <f ca="1">TRUNC(C26/1000)</f>
        <v>214</v>
      </c>
      <c r="E26" s="60"/>
      <c r="F26" s="44"/>
      <c r="G26" s="44"/>
      <c r="H26" s="44"/>
      <c r="I26" s="44"/>
      <c r="J26" s="19"/>
    </row>
    <row r="27" spans="1:11" ht="13.5" thickBot="1">
      <c r="A27" s="37"/>
      <c r="B27" s="44"/>
      <c r="C27" s="44"/>
      <c r="D27" s="44"/>
      <c r="E27" s="60"/>
      <c r="F27" s="44"/>
      <c r="G27" s="44"/>
      <c r="H27" s="44"/>
      <c r="I27" s="44"/>
      <c r="J27" s="63"/>
    </row>
    <row r="28" spans="1:11">
      <c r="A28" s="50" t="s">
        <v>34</v>
      </c>
      <c r="B28" s="51" t="s">
        <v>35</v>
      </c>
      <c r="C28" s="52" t="s">
        <v>36</v>
      </c>
      <c r="D28" s="48" t="s">
        <v>40</v>
      </c>
      <c r="E28" s="60" t="s">
        <v>42</v>
      </c>
      <c r="F28" s="44"/>
      <c r="G28" s="44"/>
      <c r="H28" s="44"/>
      <c r="I28" s="44"/>
      <c r="J28" s="63"/>
    </row>
    <row r="29" spans="1:11" ht="13.5" thickBot="1">
      <c r="A29" s="16">
        <f ca="1">(1-A23)/(1+F12)*A26</f>
        <v>19652.355724244979</v>
      </c>
      <c r="B29" s="17">
        <f ca="1">(1-B23)/(1+F11)*B26</f>
        <v>82164.394545398274</v>
      </c>
      <c r="C29" s="7">
        <f ca="1">(1-C23)/(1+F10)*C26</f>
        <v>91000.347025432697</v>
      </c>
      <c r="D29" s="49">
        <f ca="1">TRUNC(SUM(A29:C29)/1000)</f>
        <v>192</v>
      </c>
      <c r="E29" s="60"/>
      <c r="F29" s="44"/>
      <c r="G29" s="44"/>
      <c r="H29" s="44"/>
      <c r="I29" s="44"/>
      <c r="J29" s="42"/>
    </row>
    <row r="30" spans="1:11" ht="13.5" thickBot="1">
      <c r="A30" s="37"/>
      <c r="B30" s="44"/>
      <c r="C30" s="44"/>
      <c r="D30" s="44"/>
      <c r="E30" s="60"/>
      <c r="F30" s="44"/>
      <c r="G30" s="44"/>
      <c r="H30" s="44"/>
      <c r="I30" s="44"/>
      <c r="J30" s="42"/>
    </row>
    <row r="31" spans="1:11">
      <c r="A31" s="50" t="s">
        <v>37</v>
      </c>
      <c r="B31" s="51" t="s">
        <v>38</v>
      </c>
      <c r="C31" s="51" t="s">
        <v>39</v>
      </c>
      <c r="D31" s="48" t="s">
        <v>40</v>
      </c>
      <c r="E31" s="60" t="s">
        <v>51</v>
      </c>
      <c r="F31" s="44"/>
      <c r="G31" s="44"/>
      <c r="H31" s="44"/>
      <c r="I31" s="44"/>
      <c r="J31" s="42"/>
    </row>
    <row r="32" spans="1:11" ht="13.5" thickBot="1">
      <c r="A32" s="16">
        <f ca="1">F12*A29</f>
        <v>2795.0045586306151</v>
      </c>
      <c r="B32" s="17">
        <f ca="1">F11*B29</f>
        <v>6576.2666556242066</v>
      </c>
      <c r="C32" s="17">
        <f ca="1">F10*C29</f>
        <v>9065.1152263035437</v>
      </c>
      <c r="D32" s="49">
        <f ca="1">TRUNC(SUM(A32:C32)/1000)</f>
        <v>18</v>
      </c>
      <c r="E32" s="61"/>
      <c r="F32" s="17"/>
      <c r="G32" s="17"/>
      <c r="H32" s="17"/>
      <c r="I32" s="17"/>
      <c r="J32" s="7"/>
    </row>
    <row r="33" spans="1:11">
      <c r="A33" s="1" t="s">
        <v>54</v>
      </c>
      <c r="B33" s="72">
        <f ca="1">B4/C26</f>
        <v>1.5807803009218951E-2</v>
      </c>
      <c r="F33"/>
      <c r="G33"/>
      <c r="H33"/>
      <c r="I33"/>
      <c r="J33"/>
    </row>
    <row r="34" spans="1:11">
      <c r="F34"/>
      <c r="G34"/>
      <c r="H34"/>
      <c r="I34"/>
      <c r="J34"/>
    </row>
    <row r="35" spans="1:11">
      <c r="F35"/>
      <c r="G35"/>
      <c r="H35"/>
      <c r="I35"/>
      <c r="J35"/>
      <c r="K35" s="1" t="s">
        <v>53</v>
      </c>
    </row>
    <row r="36" spans="1:11">
      <c r="C36" s="1" t="s">
        <v>49</v>
      </c>
      <c r="F36"/>
      <c r="G36"/>
      <c r="H36"/>
      <c r="I36"/>
      <c r="J36"/>
    </row>
    <row r="37" spans="1:11">
      <c r="C37" s="99" t="s">
        <v>50</v>
      </c>
      <c r="F37"/>
      <c r="G37"/>
      <c r="H37"/>
      <c r="I37"/>
      <c r="J37"/>
    </row>
    <row r="38" spans="1:11">
      <c r="F38"/>
      <c r="G38"/>
      <c r="H38"/>
      <c r="I38"/>
      <c r="J38"/>
    </row>
    <row r="39" spans="1:11">
      <c r="F39"/>
      <c r="G39"/>
      <c r="H39"/>
      <c r="I39"/>
      <c r="J39"/>
    </row>
    <row r="40" spans="1:11">
      <c r="F40"/>
      <c r="G40"/>
      <c r="H40"/>
      <c r="I40"/>
      <c r="J40"/>
    </row>
    <row r="41" spans="1:11">
      <c r="F41"/>
      <c r="G41"/>
      <c r="H41"/>
      <c r="I41"/>
      <c r="J41"/>
    </row>
    <row r="42" spans="1:11">
      <c r="F42"/>
      <c r="G42"/>
      <c r="H42"/>
      <c r="I42"/>
      <c r="J42"/>
    </row>
    <row r="43" spans="1:11">
      <c r="F43"/>
      <c r="G43"/>
      <c r="H43"/>
      <c r="I43"/>
      <c r="J43"/>
    </row>
    <row r="44" spans="1:11">
      <c r="F44"/>
      <c r="G44"/>
      <c r="H44"/>
      <c r="I44"/>
      <c r="J44"/>
    </row>
    <row r="45" spans="1:11">
      <c r="F45"/>
      <c r="G45"/>
      <c r="H45"/>
      <c r="I45"/>
      <c r="J45"/>
    </row>
    <row r="46" spans="1:11">
      <c r="F46"/>
      <c r="G46"/>
      <c r="H46"/>
      <c r="I46"/>
      <c r="J46"/>
    </row>
    <row r="47" spans="1:11">
      <c r="F47"/>
      <c r="G47"/>
      <c r="H47"/>
      <c r="I47"/>
      <c r="J47"/>
    </row>
    <row r="48" spans="1:11">
      <c r="F48"/>
      <c r="G48"/>
      <c r="H48"/>
      <c r="I48"/>
      <c r="J48"/>
    </row>
    <row r="49" spans="9:9">
      <c r="I49" s="1" t="s">
        <v>53</v>
      </c>
    </row>
  </sheetData>
  <mergeCells count="6">
    <mergeCell ref="H8:I8"/>
    <mergeCell ref="A1:J1"/>
    <mergeCell ref="H4:I4"/>
    <mergeCell ref="H5:I5"/>
    <mergeCell ref="H6:I6"/>
    <mergeCell ref="H7:I7"/>
  </mergeCells>
  <phoneticPr fontId="4" type="noConversion"/>
  <hyperlinks>
    <hyperlink ref="C37" r:id="rId1"/>
  </hyperlinks>
  <pageMargins left="0.75000000000000011" right="0.75000000000000011" top="0.98" bottom="0.98" header="0.51" footer="0.5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3" enableFormatConditionsCalculation="0"/>
  <dimension ref="A1:L218"/>
  <sheetViews>
    <sheetView workbookViewId="0">
      <selection activeCell="G13" sqref="G13"/>
    </sheetView>
  </sheetViews>
  <sheetFormatPr baseColWidth="10" defaultRowHeight="12.75"/>
  <cols>
    <col min="1" max="1" width="21.875" customWidth="1"/>
    <col min="2" max="2" width="12" bestFit="1" customWidth="1"/>
    <col min="3" max="3" width="11" customWidth="1"/>
    <col min="4" max="4" width="0.125" customWidth="1"/>
    <col min="5" max="5" width="13.625" customWidth="1"/>
    <col min="6" max="6" width="12" bestFit="1" customWidth="1"/>
    <col min="7" max="7" width="27.25" customWidth="1"/>
    <col min="9" max="9" width="11.875" bestFit="1" customWidth="1"/>
    <col min="10" max="10" width="8.25" customWidth="1"/>
  </cols>
  <sheetData>
    <row r="1" spans="1:7">
      <c r="A1" s="78" t="s">
        <v>266</v>
      </c>
      <c r="E1" s="78" t="s">
        <v>602</v>
      </c>
    </row>
    <row r="2" spans="1:7">
      <c r="A2" t="s">
        <v>414</v>
      </c>
      <c r="B2">
        <f>10*Géométrie!B10</f>
        <v>424.29113741943809</v>
      </c>
      <c r="C2" t="s">
        <v>76</v>
      </c>
      <c r="E2" t="s">
        <v>602</v>
      </c>
      <c r="F2">
        <v>2500</v>
      </c>
      <c r="G2" t="s">
        <v>76</v>
      </c>
    </row>
    <row r="3" spans="1:7">
      <c r="A3" s="135"/>
      <c r="B3" s="135"/>
      <c r="C3" s="135"/>
      <c r="D3" s="135"/>
      <c r="E3" s="135"/>
    </row>
    <row r="4" spans="1:7">
      <c r="A4" s="78" t="s">
        <v>415</v>
      </c>
    </row>
    <row r="5" spans="1:7">
      <c r="A5" t="s">
        <v>416</v>
      </c>
      <c r="B5">
        <f>29*F2/1000</f>
        <v>72.5</v>
      </c>
      <c r="C5" t="s">
        <v>76</v>
      </c>
    </row>
    <row r="6" spans="1:7">
      <c r="A6" s="135"/>
      <c r="B6" s="135"/>
      <c r="C6" s="135"/>
      <c r="D6" s="135"/>
      <c r="E6" s="135"/>
    </row>
    <row r="7" spans="1:7">
      <c r="A7" s="78" t="s">
        <v>417</v>
      </c>
    </row>
    <row r="8" spans="1:7">
      <c r="A8" t="s">
        <v>336</v>
      </c>
      <c r="B8">
        <f>1.36</f>
        <v>1.36</v>
      </c>
      <c r="C8" t="s">
        <v>64</v>
      </c>
      <c r="D8" t="s">
        <v>337</v>
      </c>
    </row>
    <row r="9" spans="1:7">
      <c r="A9" t="s">
        <v>338</v>
      </c>
      <c r="B9">
        <f>1.2</f>
        <v>1.2</v>
      </c>
      <c r="C9" t="s">
        <v>64</v>
      </c>
      <c r="D9" t="s">
        <v>479</v>
      </c>
    </row>
    <row r="10" spans="1:7">
      <c r="A10" t="s">
        <v>339</v>
      </c>
      <c r="B10">
        <v>1</v>
      </c>
      <c r="D10" t="s">
        <v>340</v>
      </c>
    </row>
    <row r="11" spans="1:7">
      <c r="A11" t="s">
        <v>341</v>
      </c>
      <c r="B11">
        <v>1</v>
      </c>
      <c r="C11" t="s">
        <v>64</v>
      </c>
      <c r="D11" t="s">
        <v>342</v>
      </c>
    </row>
    <row r="12" spans="1:7">
      <c r="A12" t="s">
        <v>347</v>
      </c>
      <c r="B12">
        <v>1.1000000000000001</v>
      </c>
      <c r="C12" t="s">
        <v>64</v>
      </c>
      <c r="D12" t="s">
        <v>348</v>
      </c>
    </row>
    <row r="13" spans="1:7">
      <c r="A13" t="s">
        <v>419</v>
      </c>
      <c r="B13">
        <f>1*2*PI()*Géométrie!B3/2</f>
        <v>12.919799787888024</v>
      </c>
      <c r="C13" t="s">
        <v>345</v>
      </c>
      <c r="D13" t="s">
        <v>480</v>
      </c>
    </row>
    <row r="14" spans="1:7">
      <c r="A14" t="s">
        <v>418</v>
      </c>
      <c r="B14">
        <f>9*B8*B9*B10*B11*B12*B13</f>
        <v>208.74262121294925</v>
      </c>
      <c r="C14" t="s">
        <v>76</v>
      </c>
      <c r="D14" s="143"/>
    </row>
    <row r="15" spans="1:7">
      <c r="A15" s="161"/>
      <c r="B15" s="161"/>
      <c r="C15" s="161"/>
      <c r="D15" s="162"/>
      <c r="E15" s="161"/>
    </row>
    <row r="16" spans="1:7">
      <c r="A16" s="78" t="s">
        <v>610</v>
      </c>
      <c r="D16" s="143"/>
    </row>
    <row r="17" spans="1:5">
      <c r="A17" t="s">
        <v>405</v>
      </c>
      <c r="B17">
        <f ca="1">20/100*B18</f>
        <v>31.259501283052259</v>
      </c>
      <c r="C17" t="s">
        <v>76</v>
      </c>
      <c r="D17" s="143"/>
    </row>
    <row r="18" spans="1:5">
      <c r="A18" t="s">
        <v>352</v>
      </c>
      <c r="B18">
        <f ca="1">70*(1+0.03*Géométrie!B142)</f>
        <v>156.2975064152613</v>
      </c>
      <c r="C18" t="s">
        <v>76</v>
      </c>
      <c r="D18" t="s">
        <v>506</v>
      </c>
    </row>
    <row r="19" spans="1:5">
      <c r="A19" s="135"/>
      <c r="B19" s="135"/>
      <c r="C19" s="135"/>
      <c r="D19" s="135"/>
      <c r="E19" s="135"/>
    </row>
    <row r="20" spans="1:5">
      <c r="A20" t="s">
        <v>481</v>
      </c>
      <c r="B20">
        <f ca="1">B14+B5+B2+F2+B18+B17</f>
        <v>3393.0907663307016</v>
      </c>
      <c r="C20" t="s">
        <v>76</v>
      </c>
    </row>
    <row r="21" spans="1:5">
      <c r="A21" s="142"/>
      <c r="B21" s="142"/>
      <c r="C21" s="142"/>
      <c r="D21" s="142"/>
      <c r="E21" s="142"/>
    </row>
    <row r="22" spans="1:5">
      <c r="A22" s="78" t="s">
        <v>364</v>
      </c>
    </row>
    <row r="23" spans="1:5">
      <c r="A23" s="104" t="s">
        <v>363</v>
      </c>
    </row>
    <row r="24" spans="1:5">
      <c r="A24" s="146" t="s">
        <v>365</v>
      </c>
      <c r="B24">
        <f ca="1">Etagement!J8*Etagement!E12*'Moteur Etage 3'!B11/1000</f>
        <v>258.40451049206291</v>
      </c>
      <c r="C24" t="s">
        <v>366</v>
      </c>
      <c r="D24" t="s">
        <v>482</v>
      </c>
    </row>
    <row r="25" spans="1:5">
      <c r="A25" t="s">
        <v>367</v>
      </c>
      <c r="B25">
        <f ca="1">(B24-22)/1.5</f>
        <v>157.60300699470861</v>
      </c>
      <c r="C25" t="s">
        <v>366</v>
      </c>
    </row>
    <row r="26" spans="1:5">
      <c r="A26" t="s">
        <v>483</v>
      </c>
      <c r="B26">
        <f ca="1">B24*1000/B25/Etagement!J8</f>
        <v>167.13468351072936</v>
      </c>
      <c r="C26" t="s">
        <v>76</v>
      </c>
    </row>
    <row r="27" spans="1:5">
      <c r="A27" s="135"/>
      <c r="B27" s="135"/>
      <c r="C27" s="135"/>
      <c r="D27" s="135"/>
      <c r="E27" s="135"/>
    </row>
    <row r="28" spans="1:5">
      <c r="A28" s="104" t="s">
        <v>368</v>
      </c>
    </row>
    <row r="29" spans="1:5">
      <c r="A29" t="s">
        <v>336</v>
      </c>
      <c r="B29">
        <v>1.36</v>
      </c>
      <c r="C29" t="s">
        <v>64</v>
      </c>
      <c r="D29" t="s">
        <v>337</v>
      </c>
    </row>
    <row r="30" spans="1:5">
      <c r="A30" t="s">
        <v>339</v>
      </c>
      <c r="B30">
        <v>1</v>
      </c>
      <c r="C30" t="s">
        <v>64</v>
      </c>
      <c r="D30" t="s">
        <v>340</v>
      </c>
    </row>
    <row r="31" spans="1:5">
      <c r="A31" t="s">
        <v>341</v>
      </c>
      <c r="B31">
        <v>1</v>
      </c>
      <c r="C31" t="s">
        <v>64</v>
      </c>
      <c r="D31" t="s">
        <v>342</v>
      </c>
    </row>
    <row r="32" spans="1:5">
      <c r="A32" t="s">
        <v>369</v>
      </c>
      <c r="B32">
        <v>1</v>
      </c>
      <c r="C32" t="s">
        <v>64</v>
      </c>
      <c r="D32" t="s">
        <v>371</v>
      </c>
    </row>
    <row r="33" spans="1:8">
      <c r="A33" t="s">
        <v>484</v>
      </c>
      <c r="B33">
        <v>1</v>
      </c>
      <c r="C33" t="s">
        <v>64</v>
      </c>
      <c r="D33" t="s">
        <v>485</v>
      </c>
    </row>
    <row r="34" spans="1:8">
      <c r="A34" t="s">
        <v>486</v>
      </c>
      <c r="B34">
        <v>1.1000000000000001</v>
      </c>
      <c r="C34" t="s">
        <v>64</v>
      </c>
      <c r="D34" t="s">
        <v>487</v>
      </c>
    </row>
    <row r="35" spans="1:8">
      <c r="A35" t="s">
        <v>488</v>
      </c>
      <c r="B35">
        <f ca="1">'Moteur Etage 3'!G23</f>
        <v>15.78605053236898</v>
      </c>
      <c r="C35" t="s">
        <v>274</v>
      </c>
    </row>
    <row r="36" spans="1:8">
      <c r="A36" t="s">
        <v>489</v>
      </c>
      <c r="B36">
        <f ca="1">'Moteur Etage 3'!B23</f>
        <v>45.663930399125924</v>
      </c>
      <c r="C36" t="s">
        <v>274</v>
      </c>
    </row>
    <row r="37" spans="1:8">
      <c r="A37" t="s">
        <v>347</v>
      </c>
      <c r="B37">
        <v>1.1000000000000001</v>
      </c>
      <c r="C37" t="s">
        <v>64</v>
      </c>
      <c r="D37" t="s">
        <v>372</v>
      </c>
    </row>
    <row r="38" spans="1:8">
      <c r="A38" t="s">
        <v>490</v>
      </c>
      <c r="B38">
        <f ca="1">9*B29*B30*B31*B32*B33*B35*B37</f>
        <v>212.54338436781597</v>
      </c>
      <c r="C38" t="s">
        <v>76</v>
      </c>
    </row>
    <row r="39" spans="1:8">
      <c r="A39" t="s">
        <v>491</v>
      </c>
      <c r="B39">
        <f ca="1">9*B29*B30*B31*B32*B34*B36*B37</f>
        <v>676.30107478321474</v>
      </c>
      <c r="C39" t="s">
        <v>76</v>
      </c>
    </row>
    <row r="40" spans="1:8">
      <c r="A40" t="s">
        <v>370</v>
      </c>
      <c r="B40">
        <f ca="1">B38+B39</f>
        <v>888.84445915103072</v>
      </c>
      <c r="C40" t="s">
        <v>76</v>
      </c>
    </row>
    <row r="41" spans="1:8">
      <c r="A41" s="135"/>
      <c r="B41" s="135"/>
      <c r="C41" s="135"/>
      <c r="D41" s="135"/>
      <c r="E41" s="135"/>
    </row>
    <row r="42" spans="1:8">
      <c r="A42" s="104" t="s">
        <v>373</v>
      </c>
    </row>
    <row r="43" spans="1:8">
      <c r="A43" s="104" t="s">
        <v>441</v>
      </c>
      <c r="C43" s="94"/>
      <c r="D43" s="94"/>
      <c r="E43" s="153" t="s">
        <v>442</v>
      </c>
      <c r="F43" s="94"/>
      <c r="G43" s="94"/>
      <c r="H43" s="94"/>
    </row>
    <row r="44" spans="1:8">
      <c r="A44" s="146" t="s">
        <v>374</v>
      </c>
      <c r="B44" s="135">
        <f>'Moteur Etage 3'!B42</f>
        <v>303900</v>
      </c>
      <c r="C44" s="135" t="s">
        <v>71</v>
      </c>
      <c r="D44" s="94" t="s">
        <v>492</v>
      </c>
      <c r="E44" s="149" t="s">
        <v>374</v>
      </c>
      <c r="F44" s="94">
        <f>'Moteur Etage 3'!B43</f>
        <v>405200</v>
      </c>
      <c r="G44" s="94" t="s">
        <v>71</v>
      </c>
      <c r="H44" s="94"/>
    </row>
    <row r="45" spans="1:8">
      <c r="A45" s="146" t="s">
        <v>375</v>
      </c>
      <c r="B45" s="135">
        <f ca="1">'Moteur Etage 3'!B23</f>
        <v>45.663930399125924</v>
      </c>
      <c r="C45" s="135" t="s">
        <v>274</v>
      </c>
      <c r="D45" s="94" t="s">
        <v>493</v>
      </c>
      <c r="E45" s="149" t="s">
        <v>375</v>
      </c>
      <c r="F45" s="94">
        <f ca="1">'Moteur Etage 3'!G23</f>
        <v>15.78605053236898</v>
      </c>
      <c r="G45" s="94" t="s">
        <v>274</v>
      </c>
      <c r="H45" s="94"/>
    </row>
    <row r="46" spans="1:8">
      <c r="A46" s="146" t="s">
        <v>376</v>
      </c>
      <c r="B46" s="135">
        <v>4</v>
      </c>
      <c r="C46" s="135" t="s">
        <v>443</v>
      </c>
      <c r="D46" s="94"/>
      <c r="E46" s="149"/>
      <c r="F46" s="94"/>
      <c r="G46" s="94"/>
      <c r="H46" s="94"/>
    </row>
    <row r="47" spans="1:8" ht="15">
      <c r="A47" s="146" t="s">
        <v>246</v>
      </c>
      <c r="B47" s="135">
        <v>8.32</v>
      </c>
      <c r="C47" s="135" t="s">
        <v>448</v>
      </c>
      <c r="D47" s="94"/>
      <c r="E47" s="149"/>
      <c r="F47" s="94"/>
      <c r="G47" s="94"/>
      <c r="H47" s="94"/>
    </row>
    <row r="48" spans="1:8">
      <c r="A48" s="146" t="s">
        <v>377</v>
      </c>
      <c r="B48" s="135">
        <f>'Moteur Etage 3'!E46</f>
        <v>152.19999999999999</v>
      </c>
      <c r="C48" s="135" t="s">
        <v>427</v>
      </c>
      <c r="D48" s="94"/>
      <c r="E48" s="149" t="s">
        <v>377</v>
      </c>
      <c r="F48" s="94">
        <f>'Moteur Etage 3'!E47</f>
        <v>195</v>
      </c>
      <c r="G48" s="94" t="s">
        <v>427</v>
      </c>
      <c r="H48" s="94"/>
    </row>
    <row r="49" spans="1:10">
      <c r="A49" s="146" t="s">
        <v>444</v>
      </c>
      <c r="B49" s="135">
        <f ca="1">B44*B45*B46/(B47*B48)*10^(-3)</f>
        <v>43.835503791488833</v>
      </c>
      <c r="C49" s="135" t="s">
        <v>76</v>
      </c>
      <c r="D49" s="94"/>
      <c r="E49" s="149" t="s">
        <v>444</v>
      </c>
      <c r="F49" s="94">
        <f ca="1">F44*F45*B46/(B47*F48)*10^(-3)</f>
        <v>15.770482435197019</v>
      </c>
      <c r="G49" s="94" t="s">
        <v>76</v>
      </c>
      <c r="H49" s="94"/>
    </row>
    <row r="50" spans="1:10">
      <c r="A50" s="146" t="s">
        <v>445</v>
      </c>
      <c r="B50" s="135">
        <f ca="1">(B49+30/100*B49)</f>
        <v>56.986154928935484</v>
      </c>
      <c r="C50" s="135" t="s">
        <v>76</v>
      </c>
      <c r="D50" s="94"/>
      <c r="E50" s="149" t="s">
        <v>445</v>
      </c>
      <c r="F50" s="94">
        <f ca="1">(F49+30/100*F49)</f>
        <v>20.501627165756126</v>
      </c>
      <c r="G50" s="94" t="s">
        <v>76</v>
      </c>
      <c r="H50" s="94"/>
    </row>
    <row r="51" spans="1:10">
      <c r="A51" s="94" t="s">
        <v>450</v>
      </c>
      <c r="B51" s="94">
        <f ca="1">F50</f>
        <v>20.501627165756126</v>
      </c>
      <c r="C51" s="94" t="s">
        <v>76</v>
      </c>
      <c r="D51" s="94"/>
      <c r="E51" s="149"/>
      <c r="F51" s="94"/>
      <c r="G51" s="94"/>
      <c r="H51" s="94"/>
    </row>
    <row r="52" spans="1:10">
      <c r="A52" s="146" t="s">
        <v>355</v>
      </c>
      <c r="B52">
        <v>40000</v>
      </c>
      <c r="C52" s="94" t="s">
        <v>85</v>
      </c>
      <c r="D52" s="94"/>
      <c r="E52" s="150"/>
      <c r="F52" s="94"/>
      <c r="G52" s="94"/>
      <c r="H52" s="94"/>
    </row>
    <row r="53" spans="1:10">
      <c r="A53" s="146" t="s">
        <v>378</v>
      </c>
      <c r="B53">
        <f>400*101300</f>
        <v>40520000</v>
      </c>
      <c r="C53" t="s">
        <v>71</v>
      </c>
      <c r="D53" s="94" t="s">
        <v>494</v>
      </c>
      <c r="E53" s="150"/>
      <c r="F53" s="94"/>
      <c r="G53" s="94"/>
    </row>
    <row r="54" spans="1:10">
      <c r="A54" s="146" t="s">
        <v>379</v>
      </c>
      <c r="B54">
        <f>300</f>
        <v>300</v>
      </c>
      <c r="C54" t="s">
        <v>427</v>
      </c>
      <c r="D54" t="s">
        <v>495</v>
      </c>
      <c r="E54" s="149"/>
      <c r="F54" s="94"/>
      <c r="G54" s="94"/>
    </row>
    <row r="55" spans="1:10">
      <c r="A55" s="146" t="s">
        <v>451</v>
      </c>
      <c r="B55">
        <v>2</v>
      </c>
      <c r="C55" t="s">
        <v>64</v>
      </c>
      <c r="E55" s="150"/>
      <c r="F55" s="94"/>
      <c r="G55" s="94"/>
    </row>
    <row r="56" spans="1:10">
      <c r="A56" t="s">
        <v>452</v>
      </c>
      <c r="B56">
        <f ca="1">'Moteur Etage 3'!B58</f>
        <v>0.11932965455845895</v>
      </c>
      <c r="C56" t="s">
        <v>274</v>
      </c>
      <c r="D56" t="s">
        <v>449</v>
      </c>
      <c r="E56" s="149"/>
      <c r="F56" s="94"/>
      <c r="G56" s="94"/>
    </row>
    <row r="57" spans="1:10">
      <c r="A57" t="s">
        <v>380</v>
      </c>
      <c r="B57">
        <f ca="1">B53*B55*B56/(B52*Etagement!J8)</f>
        <v>24.644432225834642</v>
      </c>
      <c r="C57" t="s">
        <v>76</v>
      </c>
      <c r="D57" s="94"/>
      <c r="E57" s="94"/>
      <c r="F57" s="94"/>
      <c r="G57" s="94"/>
    </row>
    <row r="58" spans="1:10">
      <c r="A58" s="135"/>
      <c r="B58" s="135"/>
      <c r="C58" s="135"/>
      <c r="D58" s="135"/>
      <c r="E58" s="135"/>
    </row>
    <row r="59" spans="1:10">
      <c r="A59" s="104" t="s">
        <v>381</v>
      </c>
    </row>
    <row r="60" spans="1:10">
      <c r="A60" t="s">
        <v>382</v>
      </c>
      <c r="B60" s="80">
        <f ca="1">'Moteur Etage 3'!B20+'Moteur Etage 3'!G20</f>
        <v>20241.926395972328</v>
      </c>
      <c r="C60" t="s">
        <v>76</v>
      </c>
      <c r="D60" t="s">
        <v>615</v>
      </c>
    </row>
    <row r="61" spans="1:10">
      <c r="A61" s="135"/>
      <c r="B61" s="135"/>
      <c r="C61" s="135"/>
      <c r="D61" s="135"/>
      <c r="E61" s="135"/>
    </row>
    <row r="62" spans="1:10">
      <c r="A62" s="104" t="s">
        <v>383</v>
      </c>
    </row>
    <row r="63" spans="1:10">
      <c r="A63" t="s">
        <v>385</v>
      </c>
      <c r="B63">
        <v>8.1999999999999993</v>
      </c>
      <c r="C63" t="s">
        <v>384</v>
      </c>
      <c r="G63" t="s">
        <v>673</v>
      </c>
    </row>
    <row r="64" spans="1:10">
      <c r="A64" t="s">
        <v>386</v>
      </c>
      <c r="B64">
        <v>6.9</v>
      </c>
      <c r="C64" t="s">
        <v>384</v>
      </c>
      <c r="G64" t="s">
        <v>603</v>
      </c>
      <c r="H64">
        <f ca="1">B68</f>
        <v>75.404013471517544</v>
      </c>
      <c r="I64" t="s">
        <v>76</v>
      </c>
      <c r="J64" t="s">
        <v>604</v>
      </c>
    </row>
    <row r="65" spans="1:10">
      <c r="A65" t="s">
        <v>387</v>
      </c>
      <c r="B65">
        <v>17</v>
      </c>
      <c r="C65" t="s">
        <v>384</v>
      </c>
      <c r="G65" t="s">
        <v>607</v>
      </c>
      <c r="H65">
        <f ca="1">B50</f>
        <v>56.986154928935484</v>
      </c>
      <c r="I65" t="s">
        <v>76</v>
      </c>
    </row>
    <row r="66" spans="1:10">
      <c r="A66" t="s">
        <v>388</v>
      </c>
      <c r="B66">
        <v>45</v>
      </c>
      <c r="C66" t="s">
        <v>384</v>
      </c>
    </row>
    <row r="67" spans="1:10">
      <c r="A67" s="146" t="s">
        <v>496</v>
      </c>
      <c r="B67">
        <f ca="1">B63*Géométrie!B57*Géométrie!B56</f>
        <v>42.453134556502199</v>
      </c>
      <c r="C67" t="s">
        <v>76</v>
      </c>
    </row>
    <row r="68" spans="1:10">
      <c r="A68" s="146" t="s">
        <v>497</v>
      </c>
      <c r="B68">
        <f ca="1">'Bilan Masse'!B64*Géométrie!B58*Géométrie!B59</f>
        <v>75.404013471517544</v>
      </c>
      <c r="C68" t="s">
        <v>76</v>
      </c>
      <c r="G68" t="s">
        <v>684</v>
      </c>
    </row>
    <row r="69" spans="1:10">
      <c r="A69" s="146" t="s">
        <v>498</v>
      </c>
      <c r="B69">
        <f>B65*Géométrie!B52</f>
        <v>7.8920518725247035</v>
      </c>
      <c r="C69" t="s">
        <v>76</v>
      </c>
      <c r="G69" t="s">
        <v>336</v>
      </c>
      <c r="H69">
        <f>1.36</f>
        <v>1.36</v>
      </c>
      <c r="I69" t="s">
        <v>64</v>
      </c>
      <c r="J69" t="s">
        <v>337</v>
      </c>
    </row>
    <row r="70" spans="1:10">
      <c r="A70" s="146" t="s">
        <v>499</v>
      </c>
      <c r="B70">
        <f ca="1">B66*Géométrie!B53</f>
        <v>273.93724872616446</v>
      </c>
      <c r="C70" t="s">
        <v>76</v>
      </c>
      <c r="G70" t="s">
        <v>338</v>
      </c>
      <c r="H70">
        <f>1</f>
        <v>1</v>
      </c>
      <c r="I70" t="s">
        <v>64</v>
      </c>
      <c r="J70" t="s">
        <v>505</v>
      </c>
    </row>
    <row r="71" spans="1:10">
      <c r="A71" t="s">
        <v>500</v>
      </c>
      <c r="B71">
        <f>2+Géométrie!B56+Géométrie!B58</f>
        <v>4</v>
      </c>
      <c r="C71" t="s">
        <v>64</v>
      </c>
      <c r="G71" t="s">
        <v>339</v>
      </c>
      <c r="H71">
        <v>1</v>
      </c>
      <c r="J71" t="s">
        <v>340</v>
      </c>
    </row>
    <row r="72" spans="1:10">
      <c r="A72" t="s">
        <v>389</v>
      </c>
      <c r="B72">
        <f>28*B71</f>
        <v>112</v>
      </c>
      <c r="C72" t="s">
        <v>76</v>
      </c>
      <c r="G72" t="s">
        <v>341</v>
      </c>
      <c r="H72">
        <v>1</v>
      </c>
      <c r="I72" t="s">
        <v>64</v>
      </c>
      <c r="J72" t="s">
        <v>342</v>
      </c>
    </row>
    <row r="73" spans="1:10">
      <c r="A73" t="s">
        <v>390</v>
      </c>
      <c r="B73">
        <f>31*B71</f>
        <v>124</v>
      </c>
      <c r="C73" t="s">
        <v>76</v>
      </c>
      <c r="G73" t="s">
        <v>347</v>
      </c>
      <c r="H73">
        <v>1.1000000000000001</v>
      </c>
      <c r="I73" t="s">
        <v>64</v>
      </c>
      <c r="J73" t="s">
        <v>348</v>
      </c>
    </row>
    <row r="74" spans="1:10">
      <c r="A74" t="s">
        <v>391</v>
      </c>
      <c r="B74">
        <f ca="1">10/100*B40</f>
        <v>88.884445915103072</v>
      </c>
      <c r="C74" t="s">
        <v>76</v>
      </c>
      <c r="D74" t="s">
        <v>501</v>
      </c>
      <c r="G74" t="s">
        <v>402</v>
      </c>
      <c r="H74">
        <f ca="1">2*PI() *Géométrie!B85/2*2*Géométrie!B49</f>
        <v>5.5427906972981029</v>
      </c>
      <c r="I74" t="s">
        <v>345</v>
      </c>
      <c r="J74" t="s">
        <v>503</v>
      </c>
    </row>
    <row r="75" spans="1:10">
      <c r="A75" s="135"/>
      <c r="B75" s="135"/>
      <c r="C75" s="135"/>
      <c r="D75" s="135"/>
      <c r="E75" s="135"/>
      <c r="G75" t="s">
        <v>403</v>
      </c>
      <c r="H75">
        <f ca="1">9*H69*H70*H71*H72*H74*H73</f>
        <v>74.628133948421663</v>
      </c>
      <c r="I75" t="s">
        <v>76</v>
      </c>
    </row>
    <row r="76" spans="1:10">
      <c r="A76" s="104" t="s">
        <v>335</v>
      </c>
      <c r="G76" t="s">
        <v>605</v>
      </c>
      <c r="H76">
        <f ca="1">H65+H75</f>
        <v>131.61428887735715</v>
      </c>
      <c r="I76" t="s">
        <v>76</v>
      </c>
    </row>
    <row r="77" spans="1:10">
      <c r="A77" t="s">
        <v>336</v>
      </c>
      <c r="B77">
        <f>1.36</f>
        <v>1.36</v>
      </c>
      <c r="C77" t="s">
        <v>64</v>
      </c>
      <c r="D77" t="s">
        <v>337</v>
      </c>
    </row>
    <row r="78" spans="1:10">
      <c r="A78" t="s">
        <v>338</v>
      </c>
      <c r="B78">
        <f>1.2</f>
        <v>1.2</v>
      </c>
      <c r="C78" t="s">
        <v>64</v>
      </c>
      <c r="D78" t="s">
        <v>502</v>
      </c>
      <c r="G78" t="s">
        <v>606</v>
      </c>
      <c r="H78">
        <f ca="1">H64+H65</f>
        <v>132.39016840045304</v>
      </c>
      <c r="I78" t="s">
        <v>76</v>
      </c>
    </row>
    <row r="79" spans="1:10">
      <c r="A79" t="s">
        <v>339</v>
      </c>
      <c r="B79">
        <v>1</v>
      </c>
      <c r="C79" t="s">
        <v>64</v>
      </c>
      <c r="D79" t="s">
        <v>340</v>
      </c>
    </row>
    <row r="80" spans="1:10">
      <c r="A80" t="s">
        <v>341</v>
      </c>
      <c r="B80">
        <v>1</v>
      </c>
      <c r="C80" t="s">
        <v>64</v>
      </c>
      <c r="D80" t="s">
        <v>342</v>
      </c>
      <c r="G80" t="s">
        <v>683</v>
      </c>
      <c r="H80">
        <f ca="1">H64</f>
        <v>75.404013471517544</v>
      </c>
      <c r="I80" t="s">
        <v>76</v>
      </c>
    </row>
    <row r="81" spans="1:10">
      <c r="A81" t="s">
        <v>347</v>
      </c>
      <c r="B81">
        <v>1.1000000000000001</v>
      </c>
      <c r="C81" t="s">
        <v>64</v>
      </c>
      <c r="D81" t="s">
        <v>348</v>
      </c>
    </row>
    <row r="82" spans="1:10">
      <c r="A82" t="s">
        <v>343</v>
      </c>
      <c r="B82">
        <f>PI()*(Géométrie!B85+Géométrie!B3)/2*Géométrie!H44</f>
        <v>16.165814097053961</v>
      </c>
      <c r="C82" t="s">
        <v>345</v>
      </c>
      <c r="D82" t="s">
        <v>503</v>
      </c>
    </row>
    <row r="83" spans="1:10">
      <c r="A83" t="s">
        <v>344</v>
      </c>
      <c r="B83">
        <f>9*B77*B78*B79*B80*B82*B81</f>
        <v>261.18782520328142</v>
      </c>
      <c r="C83" t="s">
        <v>76</v>
      </c>
      <c r="D83" t="s">
        <v>503</v>
      </c>
    </row>
    <row r="84" spans="1:10">
      <c r="A84" t="s">
        <v>346</v>
      </c>
      <c r="B84">
        <f ca="1" xml:space="preserve"> PI() *(Géométrie!B85+Géométrie!B74)/2*Géométrie!B75</f>
        <v>69.610713775539267</v>
      </c>
      <c r="C84" t="s">
        <v>345</v>
      </c>
    </row>
    <row r="85" spans="1:10">
      <c r="A85" t="s">
        <v>327</v>
      </c>
      <c r="B85">
        <f ca="1">9*B79*B80*B81*B84*B78*B77</f>
        <v>1124.686380328633</v>
      </c>
      <c r="C85" t="s">
        <v>76</v>
      </c>
    </row>
    <row r="86" spans="1:10">
      <c r="A86" s="135"/>
      <c r="B86" s="135"/>
      <c r="C86" s="135"/>
      <c r="D86" s="135"/>
      <c r="E86" s="135"/>
    </row>
    <row r="87" spans="1:10">
      <c r="A87" s="104" t="s">
        <v>393</v>
      </c>
    </row>
    <row r="88" spans="1:10">
      <c r="A88" t="s">
        <v>394</v>
      </c>
      <c r="B88">
        <v>1.25</v>
      </c>
      <c r="C88" t="s">
        <v>64</v>
      </c>
      <c r="D88" t="s">
        <v>337</v>
      </c>
    </row>
    <row r="89" spans="1:10">
      <c r="A89" t="s">
        <v>396</v>
      </c>
      <c r="B89" s="80">
        <f>Géométrie!B85</f>
        <v>3.2</v>
      </c>
      <c r="C89" t="s">
        <v>85</v>
      </c>
      <c r="D89" t="s">
        <v>312</v>
      </c>
    </row>
    <row r="90" spans="1:10">
      <c r="A90" s="146" t="s">
        <v>395</v>
      </c>
      <c r="B90">
        <f ca="1">Etagement!J8*'Moteur Etage 3'!B11*Etagement!B12</f>
        <v>272004.74788638199</v>
      </c>
      <c r="C90" t="s">
        <v>61</v>
      </c>
      <c r="D90" t="s">
        <v>504</v>
      </c>
      <c r="J90" s="143"/>
    </row>
    <row r="91" spans="1:10">
      <c r="A91" t="s">
        <v>347</v>
      </c>
      <c r="B91">
        <v>1.1000000000000001</v>
      </c>
      <c r="C91" t="s">
        <v>64</v>
      </c>
      <c r="D91" t="s">
        <v>397</v>
      </c>
    </row>
    <row r="92" spans="1:10">
      <c r="A92" t="s">
        <v>398</v>
      </c>
      <c r="B92">
        <f ca="1">0.0007*B88*B89*B90/Etagement!J8*'Bilan Masse'!B91</f>
        <v>85.400063556580704</v>
      </c>
      <c r="C92" t="s">
        <v>76</v>
      </c>
      <c r="D92" s="143" t="s">
        <v>399</v>
      </c>
    </row>
    <row r="93" spans="1:10">
      <c r="A93" t="s">
        <v>400</v>
      </c>
      <c r="B93">
        <f ca="1">2.5*B92</f>
        <v>213.50015889145175</v>
      </c>
      <c r="C93" t="s">
        <v>76</v>
      </c>
    </row>
    <row r="95" spans="1:10">
      <c r="A95" s="104" t="s">
        <v>401</v>
      </c>
    </row>
    <row r="96" spans="1:10">
      <c r="A96" t="s">
        <v>336</v>
      </c>
      <c r="B96">
        <f>1.36</f>
        <v>1.36</v>
      </c>
      <c r="C96" t="s">
        <v>64</v>
      </c>
      <c r="D96" t="s">
        <v>337</v>
      </c>
    </row>
    <row r="97" spans="1:9">
      <c r="A97" t="s">
        <v>338</v>
      </c>
      <c r="B97">
        <f>1.2</f>
        <v>1.2</v>
      </c>
      <c r="C97" t="s">
        <v>64</v>
      </c>
      <c r="D97" t="s">
        <v>505</v>
      </c>
    </row>
    <row r="98" spans="1:9">
      <c r="A98" t="s">
        <v>339</v>
      </c>
      <c r="B98">
        <v>1</v>
      </c>
      <c r="D98" t="s">
        <v>340</v>
      </c>
    </row>
    <row r="99" spans="1:9">
      <c r="A99" t="s">
        <v>341</v>
      </c>
      <c r="B99">
        <v>1</v>
      </c>
      <c r="C99" t="s">
        <v>64</v>
      </c>
      <c r="D99" t="s">
        <v>342</v>
      </c>
    </row>
    <row r="100" spans="1:9">
      <c r="A100" t="s">
        <v>347</v>
      </c>
      <c r="B100">
        <v>1.1000000000000001</v>
      </c>
      <c r="C100" t="s">
        <v>64</v>
      </c>
      <c r="D100" t="s">
        <v>348</v>
      </c>
    </row>
    <row r="101" spans="1:9">
      <c r="A101" t="s">
        <v>402</v>
      </c>
      <c r="B101">
        <f>2*PI()*Géométrie!B85/2*(Géométrie!B73+Géométrie!B38+Géométrie!B26)</f>
        <v>22.747637343942621</v>
      </c>
      <c r="C101" t="s">
        <v>345</v>
      </c>
      <c r="D101" t="s">
        <v>503</v>
      </c>
    </row>
    <row r="102" spans="1:9">
      <c r="A102" t="s">
        <v>403</v>
      </c>
      <c r="B102">
        <f>9*B96*B97*B98*B99*B101*B100</f>
        <v>367.52902703861213</v>
      </c>
      <c r="C102" t="s">
        <v>76</v>
      </c>
    </row>
    <row r="103" spans="1:9">
      <c r="A103" s="135"/>
      <c r="B103" s="135"/>
      <c r="C103" s="135"/>
      <c r="D103" s="135"/>
      <c r="E103" s="135"/>
      <c r="I103" s="143"/>
    </row>
    <row r="104" spans="1:9">
      <c r="A104" s="104" t="s">
        <v>406</v>
      </c>
    </row>
    <row r="105" spans="1:9">
      <c r="A105" t="s">
        <v>407</v>
      </c>
      <c r="C105" t="s">
        <v>76</v>
      </c>
      <c r="D105" t="s">
        <v>663</v>
      </c>
    </row>
    <row r="106" spans="1:9">
      <c r="A106" t="s">
        <v>408</v>
      </c>
      <c r="B106">
        <f ca="1">20/100*B57</f>
        <v>4.9288864451669285</v>
      </c>
      <c r="C106" t="s">
        <v>76</v>
      </c>
    </row>
    <row r="108" spans="1:9">
      <c r="A108" s="135"/>
      <c r="B108" s="135"/>
      <c r="C108" s="135"/>
      <c r="D108" s="135"/>
      <c r="E108" s="135"/>
    </row>
    <row r="109" spans="1:9">
      <c r="A109" s="104" t="s">
        <v>351</v>
      </c>
    </row>
    <row r="111" spans="1:9">
      <c r="A111" s="135"/>
      <c r="B111" s="135"/>
      <c r="C111" s="135"/>
      <c r="D111" s="135"/>
      <c r="E111" s="135"/>
    </row>
    <row r="112" spans="1:9">
      <c r="A112" s="104" t="s">
        <v>409</v>
      </c>
    </row>
    <row r="113" spans="1:12">
      <c r="A113" t="s">
        <v>411</v>
      </c>
      <c r="B113">
        <v>1</v>
      </c>
      <c r="C113" t="s">
        <v>64</v>
      </c>
    </row>
    <row r="114" spans="1:12">
      <c r="A114" t="s">
        <v>410</v>
      </c>
      <c r="B114">
        <f ca="1">0.056*B113*B24</f>
        <v>14.470652587555524</v>
      </c>
      <c r="C114" t="s">
        <v>76</v>
      </c>
      <c r="D114" s="143"/>
    </row>
    <row r="115" spans="1:12">
      <c r="A115" t="s">
        <v>412</v>
      </c>
      <c r="B115">
        <f ca="1">0.041*B113*B24</f>
        <v>10.59458493017458</v>
      </c>
      <c r="C115" t="s">
        <v>76</v>
      </c>
      <c r="F115" s="143"/>
    </row>
    <row r="116" spans="1:12">
      <c r="A116" t="s">
        <v>413</v>
      </c>
      <c r="B116">
        <f ca="1">0.02*B113*B24+67</f>
        <v>72.168090209841253</v>
      </c>
      <c r="C116" t="s">
        <v>76</v>
      </c>
    </row>
    <row r="117" spans="1:12">
      <c r="A117" s="135"/>
      <c r="B117" s="135"/>
      <c r="C117" s="135"/>
      <c r="D117" s="135"/>
      <c r="E117" s="135"/>
      <c r="G117" t="s">
        <v>507</v>
      </c>
      <c r="I117">
        <f ca="1">B60</f>
        <v>20241.926395972328</v>
      </c>
      <c r="K117" t="s">
        <v>579</v>
      </c>
      <c r="L117">
        <f ca="1">I118/I117</f>
        <v>0.18468915075980552</v>
      </c>
    </row>
    <row r="118" spans="1:12">
      <c r="A118" t="s">
        <v>508</v>
      </c>
      <c r="B118" s="80">
        <f ca="1">B106+B105+B102+B93+B85+B83+B74+B73+B72+B60+B57+B51+B40+B26+B116+B115+B114+B70+B69+B68+B67</f>
        <v>24136.688098202208</v>
      </c>
      <c r="C118" t="s">
        <v>76</v>
      </c>
      <c r="D118" s="143"/>
      <c r="G118" t="s">
        <v>509</v>
      </c>
      <c r="I118">
        <f ca="1">(B118-B18-B60)</f>
        <v>3738.4641958146203</v>
      </c>
    </row>
    <row r="119" spans="1:12">
      <c r="A119" s="142"/>
      <c r="B119" s="142"/>
      <c r="C119" s="142"/>
      <c r="D119" s="142"/>
      <c r="E119" s="142"/>
    </row>
    <row r="120" spans="1:12">
      <c r="A120" s="78" t="s">
        <v>315</v>
      </c>
    </row>
    <row r="121" spans="1:12">
      <c r="A121" s="104" t="s">
        <v>322</v>
      </c>
    </row>
    <row r="122" spans="1:12">
      <c r="A122" t="s">
        <v>325</v>
      </c>
      <c r="B122">
        <f ca="1">Etagement!B29</f>
        <v>82164.394545398274</v>
      </c>
      <c r="C122" t="s">
        <v>76</v>
      </c>
    </row>
    <row r="123" spans="1:12">
      <c r="A123" s="135"/>
      <c r="B123" s="135"/>
      <c r="C123" s="135"/>
      <c r="D123" s="135"/>
      <c r="E123" s="135"/>
    </row>
    <row r="124" spans="1:12">
      <c r="A124" s="104" t="s">
        <v>323</v>
      </c>
    </row>
    <row r="125" spans="1:12">
      <c r="A125" t="s">
        <v>355</v>
      </c>
      <c r="B125">
        <v>10</v>
      </c>
      <c r="C125" t="s">
        <v>356</v>
      </c>
      <c r="D125" t="s">
        <v>510</v>
      </c>
    </row>
    <row r="126" spans="1:12">
      <c r="A126" t="s">
        <v>511</v>
      </c>
      <c r="B126">
        <f ca="1">1.4*'Moteur Etage 2'!B9*'Moteur Etage 2'!B20/Etagement!J8/(B125*10^3)</f>
        <v>3666.1237696569333</v>
      </c>
      <c r="C126" t="s">
        <v>76</v>
      </c>
      <c r="D126" s="143" t="s">
        <v>512</v>
      </c>
    </row>
    <row r="127" spans="1:12">
      <c r="A127" t="s">
        <v>358</v>
      </c>
      <c r="B127">
        <f>4*10^(-3)</f>
        <v>4.0000000000000001E-3</v>
      </c>
      <c r="C127" t="s">
        <v>85</v>
      </c>
      <c r="D127" t="s">
        <v>324</v>
      </c>
    </row>
    <row r="128" spans="1:12">
      <c r="A128" t="s">
        <v>359</v>
      </c>
      <c r="B128">
        <f>0.18*Géométrie!B113</f>
        <v>0.61199999999999999</v>
      </c>
      <c r="C128" t="s">
        <v>85</v>
      </c>
    </row>
    <row r="129" spans="1:11">
      <c r="A129" t="s">
        <v>513</v>
      </c>
      <c r="B129">
        <f>1550</f>
        <v>1550</v>
      </c>
      <c r="C129" t="s">
        <v>514</v>
      </c>
      <c r="D129" t="s">
        <v>515</v>
      </c>
    </row>
    <row r="130" spans="1:11">
      <c r="A130" t="s">
        <v>516</v>
      </c>
      <c r="B130">
        <f>PI()*Géométrie!B113*B127*B128*B129</f>
        <v>40.529561160255774</v>
      </c>
      <c r="C130" t="s">
        <v>326</v>
      </c>
      <c r="D130" s="143"/>
      <c r="E130" t="s">
        <v>517</v>
      </c>
    </row>
    <row r="131" spans="1:11">
      <c r="A131" s="146" t="s">
        <v>350</v>
      </c>
      <c r="B131">
        <f ca="1">10/100*(B130+B126)</f>
        <v>370.66533308171893</v>
      </c>
      <c r="C131" t="s">
        <v>76</v>
      </c>
      <c r="D131" s="143"/>
    </row>
    <row r="132" spans="1:11">
      <c r="A132" s="135"/>
      <c r="B132" s="135"/>
      <c r="C132" s="135"/>
      <c r="D132" s="147"/>
      <c r="E132" s="135"/>
    </row>
    <row r="133" spans="1:11">
      <c r="A133" s="104" t="s">
        <v>328</v>
      </c>
    </row>
    <row r="134" spans="1:11">
      <c r="A134" t="s">
        <v>330</v>
      </c>
      <c r="B134">
        <f ca="1">0.256*10^(-4)*((B122*'Moteur Etage 2'!B7)^(1.2)*'Moteur Etage 2'!B6^0.3/(('Moteur Etage 2'!B9/10^6)^0.8*'Moteur Etage 2'!B12^0.6*TAN('Moteur Etage 2'!B27*PI()/180)^0.4))^0.917</f>
        <v>1339.5801936198995</v>
      </c>
      <c r="C134" t="s">
        <v>76</v>
      </c>
      <c r="D134" s="143" t="s">
        <v>360</v>
      </c>
    </row>
    <row r="135" spans="1:11">
      <c r="A135" s="135"/>
      <c r="B135" s="135"/>
      <c r="C135" s="135"/>
      <c r="D135" s="135"/>
      <c r="E135" s="135"/>
    </row>
    <row r="136" spans="1:11">
      <c r="A136" s="104" t="s">
        <v>331</v>
      </c>
    </row>
    <row r="137" spans="1:11">
      <c r="A137" t="s">
        <v>332</v>
      </c>
      <c r="B137" s="80">
        <f ca="1">72.2*Géométrie!B113*(Géométrie!B90+2*Géométrie!B92)</f>
        <v>1554.2245381230132</v>
      </c>
      <c r="C137" t="s">
        <v>76</v>
      </c>
      <c r="D137" t="s">
        <v>518</v>
      </c>
      <c r="E137" s="143"/>
      <c r="F137" t="s">
        <v>361</v>
      </c>
      <c r="G137" s="143"/>
      <c r="H137" t="s">
        <v>519</v>
      </c>
      <c r="K137" t="s">
        <v>611</v>
      </c>
    </row>
    <row r="138" spans="1:11">
      <c r="A138" s="135"/>
      <c r="B138" s="135"/>
      <c r="C138" s="135"/>
      <c r="D138" s="135"/>
      <c r="E138" s="135"/>
    </row>
    <row r="139" spans="1:11">
      <c r="A139" s="104" t="s">
        <v>333</v>
      </c>
    </row>
    <row r="140" spans="1:11">
      <c r="A140" t="s">
        <v>334</v>
      </c>
      <c r="B140">
        <f ca="1">B122*0.00136+3</f>
        <v>114.74357658174166</v>
      </c>
      <c r="C140" t="s">
        <v>76</v>
      </c>
    </row>
    <row r="141" spans="1:11">
      <c r="A141" s="135"/>
      <c r="B141" s="135"/>
      <c r="C141" s="135"/>
      <c r="D141" s="135"/>
      <c r="E141" s="135"/>
    </row>
    <row r="142" spans="1:11">
      <c r="A142" s="104" t="s">
        <v>335</v>
      </c>
    </row>
    <row r="143" spans="1:11">
      <c r="A143" t="s">
        <v>336</v>
      </c>
      <c r="B143">
        <f>1.36</f>
        <v>1.36</v>
      </c>
      <c r="C143" t="s">
        <v>64</v>
      </c>
      <c r="D143" t="s">
        <v>337</v>
      </c>
    </row>
    <row r="144" spans="1:11">
      <c r="A144" t="s">
        <v>338</v>
      </c>
      <c r="B144">
        <f>1.1</f>
        <v>1.1000000000000001</v>
      </c>
      <c r="C144" t="s">
        <v>64</v>
      </c>
      <c r="D144" t="s">
        <v>520</v>
      </c>
    </row>
    <row r="145" spans="1:6">
      <c r="A145" t="s">
        <v>339</v>
      </c>
      <c r="B145">
        <v>1</v>
      </c>
      <c r="D145" t="s">
        <v>340</v>
      </c>
    </row>
    <row r="146" spans="1:6">
      <c r="A146" t="s">
        <v>341</v>
      </c>
      <c r="B146">
        <v>1</v>
      </c>
      <c r="C146" t="s">
        <v>64</v>
      </c>
      <c r="D146" t="s">
        <v>342</v>
      </c>
    </row>
    <row r="147" spans="1:6">
      <c r="A147" t="s">
        <v>347</v>
      </c>
      <c r="B147">
        <v>1.1000000000000001</v>
      </c>
      <c r="C147" t="s">
        <v>64</v>
      </c>
      <c r="D147" t="s">
        <v>348</v>
      </c>
    </row>
    <row r="148" spans="1:6">
      <c r="A148" t="s">
        <v>343</v>
      </c>
      <c r="B148">
        <f>PI()*Géométrie!B113*Géométrie!B110+PI()*(Géométrie!B113+Géométrie!B85)/2*Géométrie!B108</f>
        <v>22.987637084646877</v>
      </c>
      <c r="C148" t="s">
        <v>345</v>
      </c>
      <c r="D148" t="s">
        <v>503</v>
      </c>
    </row>
    <row r="149" spans="1:6">
      <c r="A149" t="s">
        <v>344</v>
      </c>
      <c r="B149">
        <f>9*B143*B144*B145*B146*B148*B147</f>
        <v>340.45610027845419</v>
      </c>
      <c r="C149" t="s">
        <v>76</v>
      </c>
    </row>
    <row r="150" spans="1:6">
      <c r="A150" t="s">
        <v>346</v>
      </c>
      <c r="B150">
        <f ca="1">PI()*(Géométrie!B104+Géométrie!B113)/2*Géométrie!I120</f>
        <v>13.917312366643033</v>
      </c>
      <c r="C150" t="s">
        <v>345</v>
      </c>
    </row>
    <row r="151" spans="1:6">
      <c r="A151" t="s">
        <v>327</v>
      </c>
      <c r="B151">
        <f ca="1">9*B145*B146*B147*B150*B144*B143</f>
        <v>206.12096307493002</v>
      </c>
      <c r="C151" t="s">
        <v>76</v>
      </c>
    </row>
    <row r="152" spans="1:6">
      <c r="A152" s="135"/>
      <c r="B152" s="135"/>
      <c r="C152" s="135"/>
      <c r="D152" s="135"/>
      <c r="E152" s="135"/>
    </row>
    <row r="153" spans="1:6">
      <c r="A153" s="136" t="s">
        <v>349</v>
      </c>
      <c r="B153" s="135"/>
      <c r="C153" s="135"/>
      <c r="D153" s="135" t="s">
        <v>521</v>
      </c>
      <c r="E153" s="135"/>
    </row>
    <row r="154" spans="1:6">
      <c r="A154" s="135" t="s">
        <v>522</v>
      </c>
      <c r="B154" s="138">
        <f ca="1">B122+B126+B140+B134+B137+B131</f>
        <v>89209.731956461575</v>
      </c>
      <c r="C154" s="135" t="s">
        <v>76</v>
      </c>
      <c r="D154" s="135" t="s">
        <v>523</v>
      </c>
      <c r="E154" s="135"/>
    </row>
    <row r="155" spans="1:6">
      <c r="A155" s="135" t="s">
        <v>524</v>
      </c>
      <c r="B155" s="135">
        <f ca="1">20/100*B154</f>
        <v>17841.946391292317</v>
      </c>
      <c r="C155" s="135" t="s">
        <v>76</v>
      </c>
      <c r="D155" s="147"/>
      <c r="E155" s="135"/>
    </row>
    <row r="156" spans="1:6">
      <c r="A156" s="135"/>
      <c r="B156" s="135"/>
      <c r="C156" s="135"/>
      <c r="D156" s="135"/>
      <c r="E156" s="135"/>
    </row>
    <row r="157" spans="1:6">
      <c r="A157" s="136" t="s">
        <v>351</v>
      </c>
      <c r="B157" s="135"/>
      <c r="C157" s="135"/>
      <c r="D157" s="135"/>
      <c r="E157" s="135"/>
    </row>
    <row r="158" spans="1:6">
      <c r="A158" s="135" t="s">
        <v>352</v>
      </c>
      <c r="B158" s="135">
        <f ca="1">70*(1+0.03*Géométrie!B142)</f>
        <v>156.2975064152613</v>
      </c>
      <c r="C158" s="135" t="s">
        <v>76</v>
      </c>
      <c r="D158" s="147"/>
      <c r="E158" s="135"/>
    </row>
    <row r="159" spans="1:6">
      <c r="A159" s="135"/>
      <c r="B159" s="135"/>
      <c r="C159" s="135"/>
      <c r="D159" s="135"/>
      <c r="E159" s="135"/>
      <c r="F159" s="143"/>
    </row>
    <row r="160" spans="1:6">
      <c r="A160" s="104" t="s">
        <v>353</v>
      </c>
    </row>
    <row r="161" spans="1:12">
      <c r="A161" t="s">
        <v>525</v>
      </c>
      <c r="B161" s="80">
        <f ca="1">B154+B151+B149+B130</f>
        <v>89796.838580975222</v>
      </c>
      <c r="C161" t="s">
        <v>76</v>
      </c>
    </row>
    <row r="162" spans="1:12">
      <c r="A162" t="s">
        <v>354</v>
      </c>
      <c r="B162">
        <f ca="1">3*B161/1000</f>
        <v>269.39051574292569</v>
      </c>
      <c r="C162" t="s">
        <v>76</v>
      </c>
      <c r="D162" s="143"/>
      <c r="H162" s="143"/>
    </row>
    <row r="163" spans="1:12">
      <c r="A163" s="135"/>
      <c r="B163" s="135"/>
      <c r="C163" s="135"/>
      <c r="D163" s="147"/>
      <c r="E163" s="135"/>
      <c r="G163" t="s">
        <v>507</v>
      </c>
      <c r="H163" s="143"/>
      <c r="I163">
        <f ca="1">B122</f>
        <v>82164.394545398274</v>
      </c>
      <c r="K163" t="s">
        <v>581</v>
      </c>
      <c r="L163">
        <f ca="1">I164/I163</f>
        <v>9.6171031199577262E-2</v>
      </c>
    </row>
    <row r="164" spans="1:12">
      <c r="A164" t="s">
        <v>420</v>
      </c>
      <c r="B164" s="80">
        <f ca="1">B162+B161</f>
        <v>90066.229096718147</v>
      </c>
      <c r="C164" t="s">
        <v>76</v>
      </c>
      <c r="D164" s="143"/>
      <c r="G164" t="s">
        <v>526</v>
      </c>
      <c r="H164" s="143"/>
      <c r="I164" s="80">
        <f ca="1">(B164-B122)</f>
        <v>7901.8345513198728</v>
      </c>
    </row>
    <row r="165" spans="1:12">
      <c r="A165" s="142"/>
      <c r="B165" s="142"/>
      <c r="C165" s="142"/>
      <c r="D165" s="142"/>
      <c r="E165" s="142"/>
    </row>
    <row r="166" spans="1:12">
      <c r="A166" s="78" t="s">
        <v>314</v>
      </c>
    </row>
    <row r="167" spans="1:12">
      <c r="A167" s="104" t="s">
        <v>322</v>
      </c>
    </row>
    <row r="168" spans="1:12">
      <c r="A168" t="s">
        <v>329</v>
      </c>
      <c r="B168">
        <f ca="1">Etagement!C29</f>
        <v>91000.347025432697</v>
      </c>
      <c r="C168" t="s">
        <v>76</v>
      </c>
      <c r="D168" t="s">
        <v>325</v>
      </c>
    </row>
    <row r="169" spans="1:12">
      <c r="A169" s="135"/>
      <c r="B169" s="135"/>
      <c r="C169" s="135"/>
      <c r="D169" s="135"/>
      <c r="E169" s="135"/>
    </row>
    <row r="170" spans="1:12">
      <c r="A170" s="104" t="s">
        <v>323</v>
      </c>
    </row>
    <row r="171" spans="1:12">
      <c r="A171" t="s">
        <v>355</v>
      </c>
      <c r="B171">
        <v>10</v>
      </c>
      <c r="C171" t="s">
        <v>356</v>
      </c>
      <c r="D171" t="s">
        <v>510</v>
      </c>
    </row>
    <row r="172" spans="1:12">
      <c r="A172" t="s">
        <v>511</v>
      </c>
      <c r="B172">
        <f ca="1">1.4*'Moteur Etage 1'!B13*'Moteur Etage 1'!B25/Etagement!J8/(B171*10^3)</f>
        <v>5117.339426381769</v>
      </c>
      <c r="C172" t="s">
        <v>76</v>
      </c>
      <c r="D172" s="143" t="s">
        <v>357</v>
      </c>
    </row>
    <row r="173" spans="1:12">
      <c r="A173" t="s">
        <v>358</v>
      </c>
      <c r="B173">
        <f>4*10^(-3)</f>
        <v>4.0000000000000001E-3</v>
      </c>
      <c r="C173" t="s">
        <v>85</v>
      </c>
      <c r="D173" t="s">
        <v>324</v>
      </c>
    </row>
    <row r="174" spans="1:12">
      <c r="A174" t="s">
        <v>359</v>
      </c>
      <c r="B174">
        <f>0.18*Géométrie!B138</f>
        <v>0.61199999999999999</v>
      </c>
      <c r="C174" t="s">
        <v>85</v>
      </c>
      <c r="I174">
        <f ca="1">(B168*'Moteur Etage 1'!B10)^1.2</f>
        <v>6192588984.3273745</v>
      </c>
    </row>
    <row r="175" spans="1:12">
      <c r="A175" t="s">
        <v>527</v>
      </c>
      <c r="B175">
        <f>1550</f>
        <v>1550</v>
      </c>
      <c r="C175" t="s">
        <v>514</v>
      </c>
      <c r="D175" t="s">
        <v>515</v>
      </c>
      <c r="I175" s="80">
        <f>'Moteur Etage 1'!B9^0.3</f>
        <v>1.9952623149688797</v>
      </c>
    </row>
    <row r="176" spans="1:12">
      <c r="A176" t="s">
        <v>362</v>
      </c>
      <c r="B176">
        <f>PI()*Géométrie!B138*B173*B174*B175</f>
        <v>40.529561160255774</v>
      </c>
      <c r="C176" t="s">
        <v>326</v>
      </c>
      <c r="D176" t="s">
        <v>528</v>
      </c>
      <c r="I176">
        <f>('Moteur Etage 1'!B13/10^6)^0.8*'Moteur Etage 1'!B18^0.6*TAN('Moteur Etage 1'!B32*PI()/180)^0.4</f>
        <v>40.977009595384622</v>
      </c>
    </row>
    <row r="177" spans="1:9">
      <c r="A177" s="148" t="s">
        <v>529</v>
      </c>
      <c r="B177" s="148">
        <f ca="1">10/100*(B176+B172)</f>
        <v>515.78689875420253</v>
      </c>
      <c r="C177" s="94" t="s">
        <v>76</v>
      </c>
      <c r="D177" s="94" t="s">
        <v>530</v>
      </c>
      <c r="E177" s="94"/>
      <c r="F177" s="94"/>
      <c r="I177">
        <f ca="1">0.256*10^(-4)*(I174*I175/I176)^0.917</f>
        <v>1526.8184672899945</v>
      </c>
    </row>
    <row r="178" spans="1:9">
      <c r="A178" s="135"/>
      <c r="B178" s="135"/>
      <c r="C178" s="135"/>
      <c r="D178" s="147"/>
      <c r="E178" s="135"/>
    </row>
    <row r="179" spans="1:9">
      <c r="A179" s="104" t="s">
        <v>328</v>
      </c>
    </row>
    <row r="180" spans="1:9">
      <c r="A180" t="s">
        <v>330</v>
      </c>
      <c r="B180">
        <f ca="1">0.256*10^(-4)*((B168*'Moteur Etage 1'!B10)^(1.2)*'Moteur Etage 1'!B9^(0.3)/(('Moteur Etage 1'!B13/(10^6))^0.8*'Moteur Etage 1'!B18^0.6*TAN('Moteur Etage 1'!B32*PI()/180)^0.4))^0.917</f>
        <v>1526.8184672899945</v>
      </c>
      <c r="C180" t="s">
        <v>76</v>
      </c>
      <c r="D180" s="143" t="s">
        <v>360</v>
      </c>
      <c r="I180" t="s">
        <v>575</v>
      </c>
    </row>
    <row r="181" spans="1:9">
      <c r="A181" s="135"/>
      <c r="B181" s="135"/>
      <c r="C181" s="135"/>
      <c r="D181" s="135"/>
      <c r="E181" s="135"/>
    </row>
    <row r="182" spans="1:9">
      <c r="A182" s="104" t="s">
        <v>331</v>
      </c>
      <c r="F182" s="143"/>
      <c r="G182" s="143"/>
    </row>
    <row r="183" spans="1:9">
      <c r="A183" t="s">
        <v>332</v>
      </c>
      <c r="B183" s="80">
        <f ca="1">72.2*(Géométrie!B120+2*Géométrie!B122)*Géométrie!B138</f>
        <v>1691.8799186303688</v>
      </c>
      <c r="C183" t="s">
        <v>76</v>
      </c>
      <c r="D183" t="s">
        <v>518</v>
      </c>
      <c r="F183" t="s">
        <v>361</v>
      </c>
    </row>
    <row r="184" spans="1:9">
      <c r="A184" s="135"/>
      <c r="B184" s="135"/>
      <c r="C184" s="135"/>
      <c r="D184" s="135"/>
      <c r="E184" s="135"/>
    </row>
    <row r="185" spans="1:9">
      <c r="A185" s="104" t="s">
        <v>333</v>
      </c>
    </row>
    <row r="186" spans="1:9">
      <c r="A186" t="s">
        <v>334</v>
      </c>
      <c r="B186">
        <f ca="1">B168*0.00136+3</f>
        <v>126.76047195458848</v>
      </c>
      <c r="C186" t="s">
        <v>76</v>
      </c>
    </row>
    <row r="187" spans="1:9">
      <c r="A187" s="135"/>
      <c r="B187" s="135"/>
      <c r="C187" s="135"/>
      <c r="D187" s="135"/>
      <c r="E187" s="135"/>
    </row>
    <row r="188" spans="1:9">
      <c r="A188" s="104" t="s">
        <v>335</v>
      </c>
    </row>
    <row r="189" spans="1:9">
      <c r="A189" t="s">
        <v>336</v>
      </c>
      <c r="B189">
        <f>1.36</f>
        <v>1.36</v>
      </c>
      <c r="C189" t="s">
        <v>64</v>
      </c>
      <c r="D189" t="s">
        <v>337</v>
      </c>
    </row>
    <row r="190" spans="1:9">
      <c r="A190" t="s">
        <v>531</v>
      </c>
      <c r="B190">
        <f>1.1</f>
        <v>1.1000000000000001</v>
      </c>
      <c r="C190" t="s">
        <v>64</v>
      </c>
      <c r="D190" t="s">
        <v>487</v>
      </c>
    </row>
    <row r="191" spans="1:9">
      <c r="A191" t="s">
        <v>339</v>
      </c>
      <c r="B191">
        <v>1</v>
      </c>
      <c r="D191" t="s">
        <v>340</v>
      </c>
    </row>
    <row r="192" spans="1:9">
      <c r="A192" t="s">
        <v>341</v>
      </c>
      <c r="B192">
        <v>1</v>
      </c>
      <c r="C192" t="s">
        <v>64</v>
      </c>
      <c r="D192" t="s">
        <v>342</v>
      </c>
    </row>
    <row r="193" spans="1:6">
      <c r="A193" t="s">
        <v>347</v>
      </c>
      <c r="B193">
        <v>1.1000000000000001</v>
      </c>
      <c r="C193" t="s">
        <v>64</v>
      </c>
      <c r="D193" t="s">
        <v>348</v>
      </c>
    </row>
    <row r="194" spans="1:6">
      <c r="A194" t="s">
        <v>343</v>
      </c>
      <c r="B194">
        <f ca="1">PI()*(Géométrie!B104+Géométrie!B138)/2*Géométrie!I121</f>
        <v>29.359244364168113</v>
      </c>
      <c r="C194" t="s">
        <v>345</v>
      </c>
      <c r="D194" t="s">
        <v>503</v>
      </c>
    </row>
    <row r="195" spans="1:6">
      <c r="A195" t="s">
        <v>344</v>
      </c>
      <c r="B195">
        <f ca="1">9*B189*B190*B191*B192*B194*B193</f>
        <v>434.82215273107556</v>
      </c>
      <c r="C195" t="s">
        <v>76</v>
      </c>
    </row>
    <row r="196" spans="1:6">
      <c r="A196" t="s">
        <v>532</v>
      </c>
      <c r="B196">
        <v>1</v>
      </c>
      <c r="C196" t="s">
        <v>64</v>
      </c>
      <c r="D196" t="s">
        <v>404</v>
      </c>
    </row>
    <row r="197" spans="1:6">
      <c r="A197" t="s">
        <v>346</v>
      </c>
      <c r="B197">
        <f ca="1">2*PI()*Géométrie!B138/2*Géométrie!B133</f>
        <v>19.677373592619521</v>
      </c>
      <c r="C197" t="s">
        <v>345</v>
      </c>
    </row>
    <row r="198" spans="1:6">
      <c r="A198" t="s">
        <v>327</v>
      </c>
      <c r="B198">
        <f ca="1">9*B191*B192*B193*B197*B196*B189</f>
        <v>264.93615805102922</v>
      </c>
      <c r="C198" t="s">
        <v>76</v>
      </c>
    </row>
    <row r="199" spans="1:6">
      <c r="A199" s="135"/>
      <c r="B199" s="135"/>
      <c r="C199" s="135"/>
      <c r="D199" s="135"/>
      <c r="E199" s="135"/>
    </row>
    <row r="200" spans="1:6">
      <c r="A200" s="136" t="s">
        <v>349</v>
      </c>
      <c r="B200" s="135"/>
      <c r="C200" s="135"/>
      <c r="D200" s="147"/>
      <c r="E200" s="135"/>
    </row>
    <row r="201" spans="1:6">
      <c r="A201" s="135" t="s">
        <v>533</v>
      </c>
      <c r="B201" s="138">
        <f ca="1">B180+B172+B168+B183+B177+B186</f>
        <v>99978.932208443613</v>
      </c>
      <c r="C201" s="135" t="s">
        <v>76</v>
      </c>
      <c r="D201" s="135" t="s">
        <v>523</v>
      </c>
      <c r="E201" s="135"/>
    </row>
    <row r="202" spans="1:6">
      <c r="A202" s="135" t="s">
        <v>524</v>
      </c>
      <c r="B202" s="135">
        <f ca="1">20/100*B201</f>
        <v>19995.786441688724</v>
      </c>
      <c r="C202" s="135" t="s">
        <v>76</v>
      </c>
      <c r="D202" s="147"/>
      <c r="E202" s="135"/>
    </row>
    <row r="203" spans="1:6">
      <c r="A203" s="135"/>
      <c r="B203" s="135"/>
      <c r="C203" s="135"/>
      <c r="D203" s="147"/>
      <c r="E203" s="135"/>
    </row>
    <row r="204" spans="1:6">
      <c r="A204" s="136" t="s">
        <v>351</v>
      </c>
      <c r="B204" s="135"/>
      <c r="C204" s="135"/>
      <c r="D204" s="135"/>
      <c r="E204" s="135"/>
    </row>
    <row r="205" spans="1:6">
      <c r="A205" s="135" t="s">
        <v>352</v>
      </c>
      <c r="B205" s="135">
        <f ca="1">70*(1+0.03*Géométrie!B142)</f>
        <v>156.2975064152613</v>
      </c>
      <c r="C205" s="135" t="s">
        <v>76</v>
      </c>
      <c r="D205" s="147"/>
      <c r="E205" s="135"/>
      <c r="F205" s="143"/>
    </row>
    <row r="206" spans="1:6">
      <c r="A206" s="135"/>
      <c r="B206" s="135"/>
      <c r="C206" s="135"/>
      <c r="D206" s="135"/>
      <c r="E206" s="135"/>
    </row>
    <row r="207" spans="1:6">
      <c r="A207" s="104" t="s">
        <v>353</v>
      </c>
    </row>
    <row r="208" spans="1:6">
      <c r="A208" t="s">
        <v>525</v>
      </c>
      <c r="B208" s="80">
        <f ca="1">B201+B198+B195+B176</f>
        <v>100719.22008038597</v>
      </c>
      <c r="C208" t="s">
        <v>76</v>
      </c>
    </row>
    <row r="209" spans="1:12">
      <c r="A209" t="s">
        <v>354</v>
      </c>
      <c r="B209">
        <f ca="1">3*B208/1000</f>
        <v>302.15766024115794</v>
      </c>
      <c r="C209" t="s">
        <v>76</v>
      </c>
      <c r="D209" s="143"/>
    </row>
    <row r="210" spans="1:12">
      <c r="A210" s="135"/>
      <c r="B210" s="135"/>
      <c r="C210" s="135"/>
      <c r="D210" s="135"/>
      <c r="E210" s="135"/>
      <c r="G210" t="s">
        <v>507</v>
      </c>
      <c r="I210">
        <f ca="1">B168</f>
        <v>91000.347025432697</v>
      </c>
      <c r="K210" t="s">
        <v>580</v>
      </c>
      <c r="L210">
        <f ca="1">I211/I210</f>
        <v>0.11012079670854179</v>
      </c>
    </row>
    <row r="211" spans="1:12">
      <c r="A211" t="s">
        <v>421</v>
      </c>
      <c r="B211" s="80">
        <f ca="1">B208+B209</f>
        <v>101021.37774062713</v>
      </c>
      <c r="C211" t="s">
        <v>76</v>
      </c>
      <c r="G211" t="s">
        <v>534</v>
      </c>
      <c r="I211" s="80">
        <f ca="1">(B211-B168)</f>
        <v>10021.030715194429</v>
      </c>
    </row>
    <row r="212" spans="1:12">
      <c r="A212" s="142"/>
      <c r="B212" s="142"/>
      <c r="C212" s="142"/>
      <c r="D212" s="142"/>
      <c r="E212" s="142"/>
    </row>
    <row r="214" spans="1:12">
      <c r="A214" t="s">
        <v>422</v>
      </c>
      <c r="B214" s="80">
        <f ca="1">B211+B164+B118+B20</f>
        <v>218617.3857018782</v>
      </c>
      <c r="C214" t="s">
        <v>76</v>
      </c>
    </row>
    <row r="215" spans="1:12">
      <c r="B215" s="80">
        <f ca="1">B214/1000</f>
        <v>218.61738570187819</v>
      </c>
      <c r="C215" t="s">
        <v>535</v>
      </c>
      <c r="I215" s="80">
        <f ca="1">I211+I210+'Bilan Masse'!I164+'Bilan Masse'!I163+'Bilan Masse'!I118+'Bilan Masse'!I117+'Bilan Masse'!I20</f>
        <v>215067.99742913223</v>
      </c>
    </row>
    <row r="217" spans="1:12">
      <c r="A217" s="154" t="s">
        <v>423</v>
      </c>
      <c r="B217" s="154">
        <f ca="1">1.25*B214</f>
        <v>273271.73212734773</v>
      </c>
      <c r="C217" s="154" t="s">
        <v>76</v>
      </c>
      <c r="D217" s="154"/>
      <c r="E217" s="154"/>
    </row>
    <row r="218" spans="1:12">
      <c r="B218">
        <f ca="1">B217/1000</f>
        <v>273.27173212734772</v>
      </c>
      <c r="C218" t="s">
        <v>535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14" enableFormatConditionsCalculation="0"/>
  <dimension ref="A1:F41"/>
  <sheetViews>
    <sheetView topLeftCell="A13" workbookViewId="0">
      <selection activeCell="H33" sqref="H33"/>
    </sheetView>
  </sheetViews>
  <sheetFormatPr baseColWidth="10" defaultRowHeight="12.75"/>
  <cols>
    <col min="1" max="1" width="22.125" bestFit="1" customWidth="1"/>
    <col min="2" max="2" width="15" style="80" customWidth="1"/>
    <col min="3" max="3" width="6.75" customWidth="1"/>
    <col min="4" max="4" width="27.375" customWidth="1"/>
    <col min="5" max="5" width="11.125" customWidth="1"/>
    <col min="6" max="6" width="12.75" customWidth="1"/>
  </cols>
  <sheetData>
    <row r="1" spans="1:6">
      <c r="A1" s="78" t="s">
        <v>55</v>
      </c>
      <c r="F1" s="79" t="s">
        <v>78</v>
      </c>
    </row>
    <row r="2" spans="1:6">
      <c r="A2" t="s">
        <v>165</v>
      </c>
      <c r="E2" t="s">
        <v>99</v>
      </c>
    </row>
    <row r="3" spans="1:6">
      <c r="A3" s="96"/>
      <c r="B3" s="97"/>
      <c r="C3" s="96"/>
      <c r="D3" s="96"/>
      <c r="E3" s="96"/>
      <c r="F3" s="96"/>
    </row>
    <row r="4" spans="1:6">
      <c r="A4" s="96"/>
      <c r="B4" s="97"/>
      <c r="C4" s="96"/>
      <c r="D4" s="96"/>
      <c r="E4" s="96"/>
      <c r="F4" s="96"/>
    </row>
    <row r="5" spans="1:6">
      <c r="A5" s="94" t="s">
        <v>56</v>
      </c>
      <c r="B5" s="95">
        <f>B6*Etagement!J8</f>
        <v>17.1675</v>
      </c>
      <c r="C5" s="94" t="s">
        <v>57</v>
      </c>
      <c r="D5" t="s">
        <v>269</v>
      </c>
    </row>
    <row r="6" spans="1:6">
      <c r="A6" s="81" t="s">
        <v>56</v>
      </c>
      <c r="B6" s="82">
        <v>1.75</v>
      </c>
      <c r="C6" s="81" t="s">
        <v>59</v>
      </c>
    </row>
    <row r="7" spans="1:6">
      <c r="A7" s="94" t="s">
        <v>58</v>
      </c>
      <c r="B7" s="95">
        <f ca="1">B8/(Etagement!C26-B15*B18*B16)/Etagement!J8</f>
        <v>2.1102003549065702</v>
      </c>
      <c r="C7" s="94" t="s">
        <v>59</v>
      </c>
      <c r="D7" t="s">
        <v>170</v>
      </c>
    </row>
    <row r="8" spans="1:6">
      <c r="A8" t="s">
        <v>60</v>
      </c>
      <c r="B8" s="80">
        <f ca="1">B5*Etagement!C26</f>
        <v>3684945.0677624843</v>
      </c>
      <c r="C8" t="s">
        <v>61</v>
      </c>
    </row>
    <row r="9" spans="1:6">
      <c r="A9" t="s">
        <v>62</v>
      </c>
      <c r="B9" s="80">
        <v>10</v>
      </c>
      <c r="C9" t="s">
        <v>64</v>
      </c>
      <c r="D9" t="s">
        <v>65</v>
      </c>
      <c r="E9" t="s">
        <v>63</v>
      </c>
    </row>
    <row r="10" spans="1:6">
      <c r="A10" t="s">
        <v>66</v>
      </c>
      <c r="B10" s="80">
        <v>1588</v>
      </c>
      <c r="C10" t="s">
        <v>67</v>
      </c>
      <c r="E10" t="s">
        <v>63</v>
      </c>
    </row>
    <row r="11" spans="1:6">
      <c r="A11" t="s">
        <v>72</v>
      </c>
      <c r="B11" s="80">
        <v>0.98</v>
      </c>
      <c r="C11" t="s">
        <v>64</v>
      </c>
    </row>
    <row r="12" spans="1:6">
      <c r="A12" t="s">
        <v>600</v>
      </c>
      <c r="B12" s="80">
        <f>101325</f>
        <v>101325</v>
      </c>
      <c r="C12" t="s">
        <v>71</v>
      </c>
      <c r="D12" t="s">
        <v>601</v>
      </c>
    </row>
    <row r="13" spans="1:6">
      <c r="A13" t="s">
        <v>70</v>
      </c>
      <c r="B13" s="80">
        <f>70*B12</f>
        <v>7092750</v>
      </c>
      <c r="C13" t="s">
        <v>71</v>
      </c>
      <c r="D13" t="s">
        <v>271</v>
      </c>
      <c r="E13" t="s">
        <v>63</v>
      </c>
    </row>
    <row r="14" spans="1:6">
      <c r="A14" t="s">
        <v>71</v>
      </c>
      <c r="B14" s="80">
        <f>40.28*B12</f>
        <v>4081371</v>
      </c>
      <c r="C14" t="s">
        <v>71</v>
      </c>
      <c r="D14" t="s">
        <v>272</v>
      </c>
    </row>
    <row r="15" spans="1:6">
      <c r="A15" s="81" t="s">
        <v>270</v>
      </c>
      <c r="B15" s="82">
        <v>0.33333333333333331</v>
      </c>
      <c r="C15" s="81" t="s">
        <v>64</v>
      </c>
    </row>
    <row r="16" spans="1:6">
      <c r="A16" t="s">
        <v>582</v>
      </c>
      <c r="B16" s="80">
        <f ca="1">B14*B8/(Etagement!J8*Etagement!B10*B14-B10*B11*B12*B9)</f>
        <v>1510.8893633308166</v>
      </c>
      <c r="C16" t="s">
        <v>69</v>
      </c>
      <c r="D16" t="s">
        <v>75</v>
      </c>
    </row>
    <row r="17" spans="1:6">
      <c r="A17" s="81" t="s">
        <v>583</v>
      </c>
      <c r="B17" s="82">
        <v>24.25</v>
      </c>
      <c r="C17" s="81" t="s">
        <v>74</v>
      </c>
    </row>
    <row r="18" spans="1:6">
      <c r="A18" s="94" t="s">
        <v>73</v>
      </c>
      <c r="B18" s="95">
        <f>B17/B15</f>
        <v>72.75</v>
      </c>
      <c r="C18" s="94" t="s">
        <v>74</v>
      </c>
      <c r="E18" s="83" t="s">
        <v>585</v>
      </c>
      <c r="F18" s="86">
        <f ca="1">(B19*Etagement!J8*Etagement!B10-B12*B29)</f>
        <v>2582977.8571983213</v>
      </c>
    </row>
    <row r="19" spans="1:6">
      <c r="A19" t="s">
        <v>77</v>
      </c>
      <c r="B19" s="80">
        <f ca="1">(Etagement!C29-B17*B16)/((1-B15)/B15*B17)</f>
        <v>1120.8511332919666</v>
      </c>
      <c r="C19" t="s">
        <v>69</v>
      </c>
      <c r="E19" s="87" t="s">
        <v>586</v>
      </c>
      <c r="F19" s="89">
        <f ca="1">(B16*Etagement!J8*Etagement!B10-B12*B29)</f>
        <v>3684945.0677624838</v>
      </c>
    </row>
    <row r="20" spans="1:6">
      <c r="A20" t="s">
        <v>584</v>
      </c>
      <c r="B20" s="80">
        <f>B18-B17</f>
        <v>48.5</v>
      </c>
      <c r="C20" t="s">
        <v>74</v>
      </c>
      <c r="D20" s="80"/>
      <c r="E20" s="105" t="s">
        <v>616</v>
      </c>
      <c r="F20" s="163">
        <f ca="1">1-F18/F19</f>
        <v>0.29904576331534904</v>
      </c>
    </row>
    <row r="21" spans="1:6">
      <c r="A21" s="156"/>
      <c r="B21" s="157"/>
      <c r="C21" s="156"/>
      <c r="D21" s="156"/>
      <c r="E21" s="156"/>
      <c r="F21" s="156"/>
    </row>
    <row r="22" spans="1:6">
      <c r="A22" s="81" t="s">
        <v>100</v>
      </c>
      <c r="B22" s="82">
        <v>0.75</v>
      </c>
      <c r="C22" s="81" t="s">
        <v>64</v>
      </c>
      <c r="D22" t="s">
        <v>102</v>
      </c>
      <c r="E22" t="s">
        <v>99</v>
      </c>
    </row>
    <row r="23" spans="1:6">
      <c r="A23" s="81" t="s">
        <v>101</v>
      </c>
      <c r="B23" s="82">
        <v>0.9</v>
      </c>
      <c r="C23" s="81" t="s">
        <v>64</v>
      </c>
      <c r="D23" t="s">
        <v>182</v>
      </c>
      <c r="E23" t="s">
        <v>99</v>
      </c>
    </row>
    <row r="24" spans="1:6">
      <c r="A24" s="81" t="s">
        <v>80</v>
      </c>
      <c r="B24" s="82">
        <v>1800</v>
      </c>
      <c r="C24" s="81" t="s">
        <v>81</v>
      </c>
      <c r="D24" t="s">
        <v>104</v>
      </c>
      <c r="E24" t="s">
        <v>105</v>
      </c>
    </row>
    <row r="25" spans="1:6">
      <c r="A25" t="s">
        <v>82</v>
      </c>
      <c r="B25" s="80">
        <f ca="1">Etagement!C29/B24</f>
        <v>50.555748347462611</v>
      </c>
      <c r="C25" t="s">
        <v>83</v>
      </c>
    </row>
    <row r="26" spans="1:6">
      <c r="A26" t="s">
        <v>106</v>
      </c>
      <c r="B26" s="80">
        <f ca="1">B25/B23</f>
        <v>56.173053719402901</v>
      </c>
      <c r="C26" t="s">
        <v>83</v>
      </c>
    </row>
    <row r="27" spans="1:6">
      <c r="A27" s="96"/>
      <c r="B27" s="97"/>
      <c r="C27" s="96"/>
      <c r="D27" s="96"/>
      <c r="E27" s="96"/>
      <c r="F27" s="96"/>
    </row>
    <row r="28" spans="1:6">
      <c r="A28" s="83" t="s">
        <v>111</v>
      </c>
      <c r="B28" s="84">
        <f ca="1">B16*B10*B11/B14</f>
        <v>0.57610701472371673</v>
      </c>
      <c r="C28" s="85" t="s">
        <v>112</v>
      </c>
      <c r="D28" s="85"/>
      <c r="E28" s="86"/>
    </row>
    <row r="29" spans="1:6">
      <c r="A29" s="87" t="s">
        <v>113</v>
      </c>
      <c r="B29" s="88">
        <f ca="1">B9*B28</f>
        <v>5.7610701472371675</v>
      </c>
      <c r="C29" s="41" t="s">
        <v>112</v>
      </c>
      <c r="D29" s="41"/>
      <c r="E29" s="89"/>
    </row>
    <row r="30" spans="1:6">
      <c r="A30" s="87" t="s">
        <v>107</v>
      </c>
      <c r="B30" s="88">
        <f ca="1">2*SQRT(B28/(PI()))</f>
        <v>0.85645912520420886</v>
      </c>
      <c r="C30" s="41" t="s">
        <v>85</v>
      </c>
      <c r="D30" s="41"/>
      <c r="E30" s="89"/>
    </row>
    <row r="31" spans="1:6">
      <c r="A31" s="87" t="s">
        <v>110</v>
      </c>
      <c r="B31" s="88">
        <f ca="1">2*SQRT(B29/PI())</f>
        <v>2.7083615584806227</v>
      </c>
      <c r="C31" s="41" t="s">
        <v>85</v>
      </c>
      <c r="D31" s="41"/>
      <c r="E31" s="89"/>
    </row>
    <row r="32" spans="1:6">
      <c r="A32" s="87" t="s">
        <v>97</v>
      </c>
      <c r="B32" s="88">
        <v>19</v>
      </c>
      <c r="C32" s="41" t="s">
        <v>98</v>
      </c>
      <c r="D32" s="41" t="s">
        <v>109</v>
      </c>
      <c r="E32" s="89" t="s">
        <v>108</v>
      </c>
    </row>
    <row r="33" spans="1:6">
      <c r="A33" s="90" t="s">
        <v>114</v>
      </c>
      <c r="B33" s="91">
        <f ca="1">(B31-B30)/(2*TAN(B32*PI()/180))</f>
        <v>2.6891575955578428</v>
      </c>
      <c r="C33" s="92" t="s">
        <v>85</v>
      </c>
      <c r="D33" s="92"/>
      <c r="E33" s="93"/>
    </row>
    <row r="34" spans="1:6">
      <c r="A34" s="96"/>
      <c r="B34" s="97"/>
      <c r="C34" s="96"/>
      <c r="D34" s="96"/>
      <c r="E34" s="96"/>
      <c r="F34" s="96"/>
    </row>
    <row r="35" spans="1:6">
      <c r="A35" t="s">
        <v>84</v>
      </c>
      <c r="B35" s="80">
        <f ca="1">B25/(PI()*B36)*2</f>
        <v>9.4661144131865811</v>
      </c>
      <c r="C35" t="s">
        <v>85</v>
      </c>
      <c r="D35" t="s">
        <v>166</v>
      </c>
    </row>
    <row r="36" spans="1:6">
      <c r="A36" s="81" t="s">
        <v>86</v>
      </c>
      <c r="B36" s="82">
        <f>Géométrie!B138</f>
        <v>3.4</v>
      </c>
      <c r="C36" s="81" t="s">
        <v>85</v>
      </c>
      <c r="D36" t="s">
        <v>181</v>
      </c>
    </row>
    <row r="37" spans="1:6">
      <c r="A37" t="s">
        <v>79</v>
      </c>
      <c r="B37" s="80">
        <f>B36*0.85/2/B18*1000</f>
        <v>19.862542955326457</v>
      </c>
      <c r="C37" t="s">
        <v>87</v>
      </c>
      <c r="D37" t="s">
        <v>88</v>
      </c>
      <c r="E37" t="s">
        <v>89</v>
      </c>
    </row>
    <row r="38" spans="1:6">
      <c r="A38" s="96"/>
      <c r="B38" s="97"/>
      <c r="C38" s="96"/>
      <c r="D38" s="96"/>
      <c r="E38" s="96"/>
      <c r="F38" s="96"/>
    </row>
    <row r="39" spans="1:6">
      <c r="A39" s="96"/>
      <c r="B39" s="97"/>
      <c r="C39" s="96"/>
      <c r="D39" s="96"/>
      <c r="E39" s="96"/>
      <c r="F39" s="96"/>
    </row>
    <row r="41" spans="1:6">
      <c r="A41" s="81"/>
      <c r="B41" s="98" t="s">
        <v>164</v>
      </c>
    </row>
  </sheetData>
  <hyperlinks>
    <hyperlink ref="F1" r:id="rId1"/>
  </hyperlinks>
  <pageMargins left="0.78740157499999996" right="0.78740157499999996" top="0.984251969" bottom="0.984251969" header="0.5" footer="0.5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6" enableFormatConditionsCalculation="0"/>
  <dimension ref="A1:G38"/>
  <sheetViews>
    <sheetView topLeftCell="A4" workbookViewId="0">
      <selection activeCell="B22" sqref="B22"/>
    </sheetView>
  </sheetViews>
  <sheetFormatPr baseColWidth="10" defaultRowHeight="12.75"/>
  <cols>
    <col min="1" max="1" width="25.125" customWidth="1"/>
    <col min="4" max="4" width="30.75" customWidth="1"/>
    <col min="6" max="6" width="51.25" customWidth="1"/>
  </cols>
  <sheetData>
    <row r="1" spans="1:7">
      <c r="A1" s="78" t="s">
        <v>55</v>
      </c>
      <c r="B1" s="80"/>
      <c r="G1" s="96"/>
    </row>
    <row r="2" spans="1:7">
      <c r="A2" t="s">
        <v>172</v>
      </c>
      <c r="B2" s="80"/>
      <c r="E2" t="s">
        <v>99</v>
      </c>
      <c r="G2" s="96"/>
    </row>
    <row r="3" spans="1:7">
      <c r="A3" s="96"/>
      <c r="B3" s="97"/>
      <c r="C3" s="96"/>
      <c r="D3" s="96"/>
      <c r="E3" s="96"/>
      <c r="F3" s="96"/>
      <c r="G3" s="96"/>
    </row>
    <row r="4" spans="1:7">
      <c r="A4" s="96"/>
      <c r="B4" s="97"/>
      <c r="C4" s="96"/>
      <c r="D4" s="96"/>
      <c r="E4" s="96"/>
      <c r="F4" s="96"/>
      <c r="G4" s="96"/>
    </row>
    <row r="5" spans="1:7">
      <c r="A5" s="81" t="s">
        <v>123</v>
      </c>
      <c r="B5" s="82">
        <v>10</v>
      </c>
      <c r="C5" s="81" t="s">
        <v>125</v>
      </c>
      <c r="D5" t="s">
        <v>124</v>
      </c>
      <c r="G5" s="96"/>
    </row>
    <row r="6" spans="1:7">
      <c r="A6" t="s">
        <v>62</v>
      </c>
      <c r="B6" s="80">
        <v>40</v>
      </c>
      <c r="C6" t="s">
        <v>64</v>
      </c>
      <c r="D6" t="s">
        <v>65</v>
      </c>
      <c r="E6" t="s">
        <v>63</v>
      </c>
      <c r="G6" s="96"/>
    </row>
    <row r="7" spans="1:7">
      <c r="A7" t="s">
        <v>66</v>
      </c>
      <c r="B7" s="80">
        <v>1585</v>
      </c>
      <c r="C7" t="s">
        <v>67</v>
      </c>
      <c r="E7" t="s">
        <v>63</v>
      </c>
      <c r="G7" s="96"/>
    </row>
    <row r="8" spans="1:7">
      <c r="A8" t="s">
        <v>72</v>
      </c>
      <c r="B8" s="80">
        <v>0.98</v>
      </c>
      <c r="C8" t="s">
        <v>64</v>
      </c>
      <c r="G8" s="96"/>
    </row>
    <row r="9" spans="1:7">
      <c r="A9" t="s">
        <v>70</v>
      </c>
      <c r="B9" s="80">
        <f>50*101300</f>
        <v>5065000</v>
      </c>
      <c r="C9" t="s">
        <v>71</v>
      </c>
      <c r="D9" t="s">
        <v>271</v>
      </c>
      <c r="E9" t="s">
        <v>63</v>
      </c>
      <c r="G9" s="96"/>
    </row>
    <row r="10" spans="1:7">
      <c r="A10" t="s">
        <v>71</v>
      </c>
      <c r="B10" s="80">
        <f>28.79*101300</f>
        <v>2916427</v>
      </c>
      <c r="C10" t="s">
        <v>71</v>
      </c>
      <c r="D10" t="s">
        <v>272</v>
      </c>
      <c r="G10" s="96"/>
    </row>
    <row r="11" spans="1:7">
      <c r="A11" t="s">
        <v>68</v>
      </c>
      <c r="B11" s="80">
        <f ca="1">B5*Etagement!B26/(Etagement!J8*Etagement!E11)</f>
        <v>402.27144396418356</v>
      </c>
      <c r="C11" t="s">
        <v>69</v>
      </c>
      <c r="F11" t="s">
        <v>122</v>
      </c>
      <c r="G11" s="96"/>
    </row>
    <row r="12" spans="1:7">
      <c r="A12" s="94" t="s">
        <v>73</v>
      </c>
      <c r="B12" s="95">
        <f ca="1">Etagement!B29/B11</f>
        <v>204.2511239070547</v>
      </c>
      <c r="C12" s="94" t="s">
        <v>74</v>
      </c>
      <c r="D12" t="s">
        <v>151</v>
      </c>
      <c r="G12" s="96"/>
    </row>
    <row r="13" spans="1:7">
      <c r="A13" s="96"/>
      <c r="B13" s="97"/>
      <c r="C13" s="96"/>
      <c r="D13" s="96"/>
      <c r="E13" s="96"/>
      <c r="F13" s="96"/>
      <c r="G13" s="96"/>
    </row>
    <row r="14" spans="1:7">
      <c r="A14" t="s">
        <v>148</v>
      </c>
      <c r="B14" s="80">
        <f ca="1">B11*Etagement!E11/Etagement!B26</f>
        <v>1.019367991845056</v>
      </c>
      <c r="C14" t="s">
        <v>59</v>
      </c>
      <c r="G14" s="96"/>
    </row>
    <row r="15" spans="1:7">
      <c r="A15" s="96"/>
      <c r="B15" s="97"/>
      <c r="C15" s="96"/>
      <c r="D15" s="96"/>
      <c r="E15" s="96"/>
      <c r="F15" s="96"/>
      <c r="G15" s="96"/>
    </row>
    <row r="16" spans="1:7">
      <c r="A16" s="81" t="s">
        <v>100</v>
      </c>
      <c r="B16" s="82">
        <v>0.75</v>
      </c>
      <c r="C16" s="81" t="s">
        <v>64</v>
      </c>
      <c r="D16" t="s">
        <v>102</v>
      </c>
      <c r="E16" t="s">
        <v>99</v>
      </c>
      <c r="F16" t="s">
        <v>173</v>
      </c>
      <c r="G16" s="96"/>
    </row>
    <row r="17" spans="1:7">
      <c r="A17" s="81" t="s">
        <v>101</v>
      </c>
      <c r="B17" s="82">
        <v>0.9</v>
      </c>
      <c r="C17" s="81" t="s">
        <v>64</v>
      </c>
      <c r="D17" t="s">
        <v>103</v>
      </c>
      <c r="E17" t="s">
        <v>99</v>
      </c>
      <c r="F17" t="s">
        <v>174</v>
      </c>
      <c r="G17" s="96"/>
    </row>
    <row r="18" spans="1:7">
      <c r="A18" s="81" t="s">
        <v>80</v>
      </c>
      <c r="B18" s="82">
        <v>1800</v>
      </c>
      <c r="C18" s="81" t="s">
        <v>81</v>
      </c>
      <c r="D18" t="s">
        <v>104</v>
      </c>
      <c r="E18" t="s">
        <v>105</v>
      </c>
      <c r="G18" s="96"/>
    </row>
    <row r="19" spans="1:7">
      <c r="A19" t="s">
        <v>82</v>
      </c>
      <c r="B19" s="80">
        <f ca="1">Etagement!B29/B18</f>
        <v>45.646885858554597</v>
      </c>
      <c r="C19" t="s">
        <v>83</v>
      </c>
      <c r="G19" s="96"/>
    </row>
    <row r="20" spans="1:7">
      <c r="A20" t="s">
        <v>106</v>
      </c>
      <c r="B20" s="80">
        <f ca="1">B19/B17</f>
        <v>50.718762065060659</v>
      </c>
      <c r="C20" t="s">
        <v>83</v>
      </c>
      <c r="G20" s="96"/>
    </row>
    <row r="21" spans="1:7">
      <c r="A21" s="94" t="s">
        <v>231</v>
      </c>
      <c r="B21" s="80">
        <f ca="1">B19/(PI()*B31)*2</f>
        <v>8.5469735542829408</v>
      </c>
      <c r="C21" s="94" t="s">
        <v>85</v>
      </c>
      <c r="G21" s="96"/>
    </row>
    <row r="22" spans="1:7">
      <c r="A22" s="96"/>
      <c r="B22" s="96"/>
      <c r="C22" s="96"/>
      <c r="D22" s="96"/>
      <c r="E22" s="96"/>
      <c r="F22" s="96"/>
      <c r="G22" s="96"/>
    </row>
    <row r="23" spans="1:7">
      <c r="A23" s="83" t="s">
        <v>111</v>
      </c>
      <c r="B23" s="84">
        <f ca="1">B11/B9*B8*B7</f>
        <v>0.12336589020919375</v>
      </c>
      <c r="C23" s="85" t="s">
        <v>112</v>
      </c>
      <c r="D23" s="85"/>
      <c r="E23" s="86"/>
      <c r="G23" s="96"/>
    </row>
    <row r="24" spans="1:7">
      <c r="A24" s="87" t="s">
        <v>113</v>
      </c>
      <c r="B24" s="88">
        <f ca="1">B6*B23</f>
        <v>4.9346356083677501</v>
      </c>
      <c r="C24" s="41" t="s">
        <v>112</v>
      </c>
      <c r="D24" s="41"/>
      <c r="E24" s="89"/>
      <c r="G24" s="96"/>
    </row>
    <row r="25" spans="1:7">
      <c r="A25" s="87" t="s">
        <v>107</v>
      </c>
      <c r="B25" s="88">
        <f ca="1">2*SQRT(B23/(PI()))</f>
        <v>0.39632603987853476</v>
      </c>
      <c r="C25" s="41" t="s">
        <v>85</v>
      </c>
      <c r="D25" s="41"/>
      <c r="E25" s="89"/>
      <c r="G25" s="96"/>
    </row>
    <row r="26" spans="1:7">
      <c r="A26" s="87" t="s">
        <v>110</v>
      </c>
      <c r="B26" s="88">
        <f ca="1">2*SQRT(B24/PI())</f>
        <v>2.5065859641017854</v>
      </c>
      <c r="C26" s="41" t="s">
        <v>85</v>
      </c>
      <c r="D26" s="41"/>
      <c r="E26" s="89"/>
      <c r="G26" s="96"/>
    </row>
    <row r="27" spans="1:7">
      <c r="A27" s="100" t="s">
        <v>97</v>
      </c>
      <c r="B27" s="101">
        <v>23</v>
      </c>
      <c r="C27" s="102" t="s">
        <v>98</v>
      </c>
      <c r="D27" s="41" t="s">
        <v>128</v>
      </c>
      <c r="E27" s="89" t="s">
        <v>108</v>
      </c>
      <c r="G27" s="96"/>
    </row>
    <row r="28" spans="1:7">
      <c r="A28" s="90" t="s">
        <v>114</v>
      </c>
      <c r="B28" s="91">
        <f ca="1">(B26-B25)/(2*TAN(B27*PI()/180))</f>
        <v>2.4857304174921993</v>
      </c>
      <c r="C28" s="92" t="s">
        <v>85</v>
      </c>
      <c r="D28" s="92"/>
      <c r="E28" s="93"/>
      <c r="G28" s="96"/>
    </row>
    <row r="29" spans="1:7">
      <c r="A29" s="96"/>
      <c r="B29" s="96"/>
      <c r="C29" s="96"/>
      <c r="D29" s="96"/>
      <c r="E29" s="96"/>
      <c r="F29" s="96"/>
      <c r="G29" s="96"/>
    </row>
    <row r="30" spans="1:7">
      <c r="A30" t="s">
        <v>84</v>
      </c>
      <c r="B30" s="80">
        <f ca="1">B19/(PI()*B31)*2</f>
        <v>8.5469735542829408</v>
      </c>
      <c r="C30" t="s">
        <v>85</v>
      </c>
      <c r="D30" t="s">
        <v>166</v>
      </c>
      <c r="F30" t="s">
        <v>167</v>
      </c>
      <c r="G30" s="96"/>
    </row>
    <row r="31" spans="1:7">
      <c r="A31" s="81" t="s">
        <v>86</v>
      </c>
      <c r="B31" s="82">
        <f>Géométrie!B113</f>
        <v>3.4</v>
      </c>
      <c r="C31" s="81" t="s">
        <v>85</v>
      </c>
      <c r="G31" s="96"/>
    </row>
    <row r="32" spans="1:7">
      <c r="A32" t="s">
        <v>79</v>
      </c>
      <c r="B32" s="80">
        <f ca="1">B31*0.85/2/B12*1000</f>
        <v>7.0746244738293482</v>
      </c>
      <c r="C32" t="s">
        <v>87</v>
      </c>
      <c r="D32" t="s">
        <v>88</v>
      </c>
      <c r="E32" t="s">
        <v>89</v>
      </c>
      <c r="G32" s="96"/>
    </row>
    <row r="33" spans="1:7">
      <c r="A33" s="96"/>
      <c r="B33" s="96"/>
      <c r="C33" s="96"/>
      <c r="D33" s="96"/>
      <c r="E33" s="96"/>
      <c r="F33" s="96"/>
      <c r="G33" s="96"/>
    </row>
    <row r="38" spans="1:7">
      <c r="A38" s="81"/>
      <c r="B38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7" enableFormatConditionsCalculation="0"/>
  <dimension ref="A1:I63"/>
  <sheetViews>
    <sheetView topLeftCell="A4" workbookViewId="0">
      <selection activeCell="B18" sqref="B18"/>
    </sheetView>
  </sheetViews>
  <sheetFormatPr baseColWidth="10" defaultRowHeight="12.75"/>
  <cols>
    <col min="1" max="1" width="38.125" customWidth="1"/>
    <col min="2" max="2" width="12" bestFit="1" customWidth="1"/>
    <col min="3" max="3" width="14.375" customWidth="1"/>
    <col min="4" max="4" width="30.375" customWidth="1"/>
    <col min="6" max="6" width="25.75" customWidth="1"/>
  </cols>
  <sheetData>
    <row r="1" spans="1:9">
      <c r="A1" s="78" t="s">
        <v>55</v>
      </c>
      <c r="B1" s="80"/>
      <c r="I1" s="96"/>
    </row>
    <row r="2" spans="1:9">
      <c r="A2" t="s">
        <v>142</v>
      </c>
      <c r="B2" s="80"/>
      <c r="E2" t="s">
        <v>99</v>
      </c>
      <c r="I2" s="96"/>
    </row>
    <row r="3" spans="1:9">
      <c r="A3" s="96"/>
      <c r="B3" s="97"/>
      <c r="C3" s="96"/>
      <c r="D3" s="96"/>
      <c r="E3" s="96"/>
      <c r="F3" s="96"/>
      <c r="G3" s="96"/>
      <c r="H3" s="96"/>
      <c r="I3" s="96"/>
    </row>
    <row r="4" spans="1:9">
      <c r="A4" s="96"/>
      <c r="B4" s="97"/>
      <c r="C4" s="96"/>
      <c r="D4" s="96"/>
      <c r="E4" s="96"/>
      <c r="F4" s="96"/>
      <c r="G4" s="96"/>
      <c r="H4" s="96"/>
      <c r="I4" s="96"/>
    </row>
    <row r="5" spans="1:9">
      <c r="A5" s="81" t="s">
        <v>123</v>
      </c>
      <c r="B5" s="82">
        <v>10</v>
      </c>
      <c r="C5" s="81" t="s">
        <v>125</v>
      </c>
      <c r="D5" t="s">
        <v>124</v>
      </c>
      <c r="I5" s="96"/>
    </row>
    <row r="6" spans="1:9">
      <c r="A6" t="s">
        <v>62</v>
      </c>
      <c r="B6" s="80">
        <v>100</v>
      </c>
      <c r="C6" t="s">
        <v>64</v>
      </c>
      <c r="D6" t="s">
        <v>65</v>
      </c>
      <c r="E6" t="s">
        <v>127</v>
      </c>
      <c r="F6" s="143"/>
      <c r="G6" s="143"/>
      <c r="H6" s="143"/>
      <c r="I6" s="96"/>
    </row>
    <row r="7" spans="1:9">
      <c r="A7" t="s">
        <v>66</v>
      </c>
      <c r="B7" s="80">
        <v>2351</v>
      </c>
      <c r="C7" t="s">
        <v>67</v>
      </c>
      <c r="I7" s="96"/>
    </row>
    <row r="8" spans="1:9">
      <c r="A8" t="s">
        <v>72</v>
      </c>
      <c r="B8" s="80">
        <v>0.94</v>
      </c>
      <c r="C8" t="s">
        <v>64</v>
      </c>
      <c r="E8" t="s">
        <v>149</v>
      </c>
      <c r="I8" s="96"/>
    </row>
    <row r="9" spans="1:9">
      <c r="A9" t="s">
        <v>71</v>
      </c>
      <c r="B9" s="80">
        <f>57.342*101300</f>
        <v>5808744.5999999996</v>
      </c>
      <c r="C9" t="s">
        <v>71</v>
      </c>
      <c r="D9" t="s">
        <v>126</v>
      </c>
      <c r="E9" t="s">
        <v>150</v>
      </c>
      <c r="I9" s="96"/>
    </row>
    <row r="10" spans="1:9">
      <c r="A10" t="s">
        <v>70</v>
      </c>
      <c r="B10" s="80">
        <f>100*101300</f>
        <v>10130000</v>
      </c>
      <c r="C10" t="s">
        <v>71</v>
      </c>
      <c r="D10" t="s">
        <v>271</v>
      </c>
      <c r="I10" s="96"/>
    </row>
    <row r="11" spans="1:9">
      <c r="A11" t="s">
        <v>68</v>
      </c>
      <c r="B11" s="80">
        <f ca="1">B5*Etagement!A26/(Etagement!J8*Etagement!E12)</f>
        <v>59.006795834275799</v>
      </c>
      <c r="C11" t="s">
        <v>69</v>
      </c>
      <c r="D11" t="s">
        <v>75</v>
      </c>
      <c r="F11" t="s">
        <v>169</v>
      </c>
      <c r="I11" s="96"/>
    </row>
    <row r="12" spans="1:9">
      <c r="A12" s="94" t="s">
        <v>73</v>
      </c>
      <c r="B12" s="95">
        <f ca="1">Etagement!A29/B11</f>
        <v>333.05241280071914</v>
      </c>
      <c r="C12" s="94" t="s">
        <v>74</v>
      </c>
      <c r="D12" t="s">
        <v>151</v>
      </c>
      <c r="F12" t="s">
        <v>168</v>
      </c>
      <c r="I12" s="96"/>
    </row>
    <row r="13" spans="1:9">
      <c r="A13" s="94"/>
      <c r="I13" s="96"/>
    </row>
    <row r="14" spans="1:9">
      <c r="A14" s="135"/>
      <c r="B14" s="138"/>
      <c r="C14" s="135"/>
      <c r="D14" s="135"/>
      <c r="E14" s="135"/>
      <c r="F14" s="135"/>
      <c r="G14" s="135"/>
      <c r="H14" s="135"/>
      <c r="I14" s="96"/>
    </row>
    <row r="15" spans="1:9">
      <c r="A15" s="94" t="s">
        <v>158</v>
      </c>
      <c r="B15" s="95">
        <v>0.18</v>
      </c>
      <c r="C15" s="94"/>
      <c r="D15" s="94" t="s">
        <v>273</v>
      </c>
      <c r="E15" s="135"/>
      <c r="F15" s="94"/>
      <c r="G15" s="94"/>
      <c r="H15" s="94"/>
      <c r="I15" s="96"/>
    </row>
    <row r="16" spans="1:9">
      <c r="A16" s="144" t="s">
        <v>154</v>
      </c>
      <c r="B16" s="95"/>
      <c r="C16" s="94" t="s">
        <v>64</v>
      </c>
      <c r="E16" s="135"/>
      <c r="F16" s="145" t="s">
        <v>153</v>
      </c>
      <c r="I16" s="96"/>
    </row>
    <row r="17" spans="1:9">
      <c r="A17" s="94" t="s">
        <v>157</v>
      </c>
      <c r="B17" s="95">
        <v>71</v>
      </c>
      <c r="C17" s="94" t="s">
        <v>81</v>
      </c>
      <c r="D17" t="s">
        <v>440</v>
      </c>
      <c r="E17" s="135"/>
      <c r="F17" s="94" t="s">
        <v>156</v>
      </c>
      <c r="G17" s="95">
        <v>1141</v>
      </c>
      <c r="H17" s="94" t="s">
        <v>81</v>
      </c>
      <c r="I17" s="96"/>
    </row>
    <row r="18" spans="1:9">
      <c r="A18" t="s">
        <v>159</v>
      </c>
      <c r="B18" s="80">
        <f ca="1">B21/B17</f>
        <v>42.222774294152494</v>
      </c>
      <c r="C18" t="s">
        <v>83</v>
      </c>
      <c r="E18" s="135"/>
      <c r="F18" t="s">
        <v>159</v>
      </c>
      <c r="G18" s="80">
        <f ca="1">G21/G17</f>
        <v>14.596440621700395</v>
      </c>
      <c r="H18" t="s">
        <v>83</v>
      </c>
      <c r="I18" s="96"/>
    </row>
    <row r="19" spans="1:9">
      <c r="A19" t="s">
        <v>612</v>
      </c>
      <c r="B19" s="80">
        <f ca="1">B18*1.03</f>
        <v>43.489457522977069</v>
      </c>
      <c r="C19" t="s">
        <v>83</v>
      </c>
      <c r="D19" t="s">
        <v>614</v>
      </c>
      <c r="E19" s="135"/>
      <c r="F19" t="s">
        <v>612</v>
      </c>
      <c r="G19" s="80">
        <f ca="1">G18*1.03</f>
        <v>15.034333840351408</v>
      </c>
      <c r="H19" t="s">
        <v>274</v>
      </c>
      <c r="I19" s="156"/>
    </row>
    <row r="20" spans="1:9">
      <c r="A20" t="s">
        <v>613</v>
      </c>
      <c r="B20" s="80">
        <f ca="1">B21*1.03</f>
        <v>3087.7514841313723</v>
      </c>
      <c r="C20" t="s">
        <v>76</v>
      </c>
      <c r="E20" s="135"/>
      <c r="F20" t="s">
        <v>613</v>
      </c>
      <c r="G20" s="80">
        <f ca="1">G19*G17</f>
        <v>17154.174911840957</v>
      </c>
      <c r="H20" t="s">
        <v>76</v>
      </c>
      <c r="I20" s="156"/>
    </row>
    <row r="21" spans="1:9">
      <c r="A21" t="s">
        <v>155</v>
      </c>
      <c r="B21" s="80">
        <f ca="1">Etagement!A29/(1+1/B15)</f>
        <v>2997.8169748848272</v>
      </c>
      <c r="C21" t="s">
        <v>76</v>
      </c>
      <c r="E21" s="135"/>
      <c r="F21" t="s">
        <v>155</v>
      </c>
      <c r="G21" s="80">
        <f ca="1">Etagement!A29-B21</f>
        <v>16654.538749360152</v>
      </c>
      <c r="H21" t="s">
        <v>76</v>
      </c>
      <c r="I21" s="96"/>
    </row>
    <row r="22" spans="1:9">
      <c r="A22" t="s">
        <v>161</v>
      </c>
      <c r="B22">
        <v>0</v>
      </c>
      <c r="C22" t="s">
        <v>83</v>
      </c>
      <c r="D22" t="s">
        <v>162</v>
      </c>
      <c r="E22" s="135"/>
      <c r="F22" t="s">
        <v>161</v>
      </c>
      <c r="G22">
        <v>0</v>
      </c>
      <c r="H22" t="s">
        <v>83</v>
      </c>
      <c r="I22" s="96"/>
    </row>
    <row r="23" spans="1:9">
      <c r="A23" s="140" t="s">
        <v>160</v>
      </c>
      <c r="B23" s="140">
        <f ca="1">Etagement!A29*1.03*1.05/((1+1/B15)*B17)+B22</f>
        <v>45.663930399125924</v>
      </c>
      <c r="C23" s="140" t="s">
        <v>83</v>
      </c>
      <c r="E23" s="135"/>
      <c r="F23" s="140" t="s">
        <v>163</v>
      </c>
      <c r="G23" s="140">
        <f ca="1">1/B15*Etagement!A29*1.03*1.05/((1+1/B15)*G17)+G22</f>
        <v>15.78605053236898</v>
      </c>
      <c r="H23" s="140" t="s">
        <v>83</v>
      </c>
      <c r="I23" s="96"/>
    </row>
    <row r="24" spans="1:9">
      <c r="A24" t="s">
        <v>595</v>
      </c>
      <c r="B24">
        <f ca="1">5.5/(1+5.5)*B11</f>
        <v>49.928827244387215</v>
      </c>
      <c r="C24" t="s">
        <v>69</v>
      </c>
      <c r="E24" s="135"/>
      <c r="F24" t="s">
        <v>596</v>
      </c>
      <c r="G24">
        <f ca="1">1/(1+5.5)*B11</f>
        <v>9.0779685898885845</v>
      </c>
      <c r="H24" t="s">
        <v>81</v>
      </c>
      <c r="I24" s="96"/>
    </row>
    <row r="25" spans="1:9">
      <c r="A25" t="s">
        <v>84</v>
      </c>
      <c r="B25">
        <f ca="1">(B23+G23)/(PI()*B38^2/4)</f>
        <v>7.6406782954297849</v>
      </c>
      <c r="C25" t="s">
        <v>597</v>
      </c>
      <c r="D25">
        <f ca="1">SQRT(4*B24/(B17*25*PI()))</f>
        <v>0.18924811535676347</v>
      </c>
      <c r="E25" s="135"/>
      <c r="F25" t="s">
        <v>597</v>
      </c>
      <c r="G25">
        <f ca="1">SQRT(4*G24/(G17*12*PI()))</f>
        <v>2.9054670322533581E-2</v>
      </c>
      <c r="I25" s="96"/>
    </row>
    <row r="26" spans="1:9" ht="13.5" customHeight="1">
      <c r="A26" s="135"/>
      <c r="B26" s="135"/>
      <c r="C26" s="135"/>
      <c r="D26" s="135"/>
      <c r="E26" s="135"/>
      <c r="F26" s="135"/>
      <c r="G26" s="135"/>
      <c r="H26" s="135"/>
      <c r="I26" s="96"/>
    </row>
    <row r="27" spans="1:9" ht="13.5" customHeight="1">
      <c r="A27" s="83" t="s">
        <v>129</v>
      </c>
      <c r="B27" s="84">
        <f ca="1">B11/B10*B8*B7</f>
        <v>1.287280142013815E-2</v>
      </c>
      <c r="C27" s="85" t="s">
        <v>112</v>
      </c>
      <c r="D27" s="85"/>
      <c r="E27" s="86"/>
      <c r="F27" t="s">
        <v>147</v>
      </c>
      <c r="I27" s="96"/>
    </row>
    <row r="28" spans="1:9" ht="13.5" customHeight="1">
      <c r="A28" s="87" t="s">
        <v>152</v>
      </c>
      <c r="B28" s="88">
        <f ca="1">B6*B27</f>
        <v>1.2872801420138149</v>
      </c>
      <c r="C28" s="41" t="s">
        <v>112</v>
      </c>
      <c r="D28" s="41"/>
      <c r="E28" s="89"/>
      <c r="I28" s="96"/>
    </row>
    <row r="29" spans="1:9">
      <c r="A29" s="87" t="s">
        <v>130</v>
      </c>
      <c r="B29" s="88">
        <f ca="1">2*SQRT(B27/(PI()))</f>
        <v>0.12802405953430337</v>
      </c>
      <c r="C29" s="41" t="s">
        <v>85</v>
      </c>
      <c r="D29" s="41"/>
      <c r="E29" s="89"/>
      <c r="I29" s="96"/>
    </row>
    <row r="30" spans="1:9">
      <c r="A30" s="87" t="s">
        <v>110</v>
      </c>
      <c r="B30" s="88">
        <f ca="1">2*SQRT(B28/PI())</f>
        <v>1.2802405953430336</v>
      </c>
      <c r="C30" s="41" t="s">
        <v>85</v>
      </c>
      <c r="D30" s="41"/>
      <c r="E30" s="89"/>
      <c r="I30" s="96"/>
    </row>
    <row r="31" spans="1:9">
      <c r="A31" s="87" t="s">
        <v>131</v>
      </c>
      <c r="B31" s="88">
        <v>0.89</v>
      </c>
      <c r="C31" s="75" t="s">
        <v>85</v>
      </c>
      <c r="D31" s="41" t="s">
        <v>133</v>
      </c>
      <c r="E31" s="89" t="s">
        <v>134</v>
      </c>
      <c r="I31" s="96"/>
    </row>
    <row r="32" spans="1:9">
      <c r="A32" s="87" t="s">
        <v>97</v>
      </c>
      <c r="B32" s="88">
        <v>28</v>
      </c>
      <c r="C32" s="41" t="s">
        <v>98</v>
      </c>
      <c r="D32" s="41" t="s">
        <v>135</v>
      </c>
      <c r="E32" s="89" t="s">
        <v>136</v>
      </c>
      <c r="F32" s="75" t="s">
        <v>137</v>
      </c>
      <c r="I32" s="96"/>
    </row>
    <row r="33" spans="1:9">
      <c r="A33" s="87" t="s">
        <v>114</v>
      </c>
      <c r="B33" s="88">
        <f ca="1">(B30/2-B29/2)/TAN(B32*PI()/180)</f>
        <v>1.0835020663525743</v>
      </c>
      <c r="C33" s="75" t="s">
        <v>85</v>
      </c>
      <c r="D33" s="41"/>
      <c r="E33" s="89"/>
      <c r="F33" s="75"/>
      <c r="I33" s="96"/>
    </row>
    <row r="34" spans="1:9">
      <c r="A34" s="87" t="s">
        <v>305</v>
      </c>
      <c r="B34" s="88">
        <f ca="1">SQRT(B35/(PI()))</f>
        <v>0.18271897689125638</v>
      </c>
      <c r="C34" s="75" t="s">
        <v>85</v>
      </c>
      <c r="D34" s="41"/>
      <c r="E34" s="89"/>
      <c r="F34" s="75"/>
      <c r="I34" s="96"/>
    </row>
    <row r="35" spans="1:9">
      <c r="A35" s="87" t="s">
        <v>146</v>
      </c>
      <c r="B35" s="88">
        <f ca="1">B27*(8*B30^(-0.6)+1.25)</f>
        <v>0.10488591767115403</v>
      </c>
      <c r="C35" s="75" t="s">
        <v>112</v>
      </c>
      <c r="D35" s="41"/>
      <c r="E35" s="89" t="s">
        <v>134</v>
      </c>
      <c r="F35" s="75"/>
      <c r="I35" s="96"/>
    </row>
    <row r="36" spans="1:9">
      <c r="A36" s="90" t="s">
        <v>132</v>
      </c>
      <c r="B36" s="91">
        <f ca="1">B31*B27/B35</f>
        <v>0.1092309960984765</v>
      </c>
      <c r="C36" s="92" t="s">
        <v>85</v>
      </c>
      <c r="D36" s="92" t="s">
        <v>141</v>
      </c>
      <c r="E36" s="93" t="s">
        <v>134</v>
      </c>
      <c r="I36" s="96"/>
    </row>
    <row r="37" spans="1:9">
      <c r="A37" s="135"/>
      <c r="B37" s="135"/>
      <c r="C37" s="135"/>
      <c r="D37" s="135"/>
      <c r="E37" s="135"/>
      <c r="F37" s="135"/>
      <c r="G37" s="135"/>
      <c r="H37" s="135"/>
      <c r="I37" s="96"/>
    </row>
    <row r="38" spans="1:9">
      <c r="A38" s="94" t="s">
        <v>86</v>
      </c>
      <c r="B38" s="95">
        <f>Géométrie!B85</f>
        <v>3.2</v>
      </c>
      <c r="C38" s="94" t="s">
        <v>85</v>
      </c>
      <c r="D38" s="75" t="s">
        <v>171</v>
      </c>
      <c r="I38" s="96"/>
    </row>
    <row r="39" spans="1:9">
      <c r="A39" s="135"/>
      <c r="B39" s="138"/>
      <c r="C39" s="135"/>
      <c r="D39" s="135"/>
      <c r="E39" s="135"/>
      <c r="F39" s="135"/>
      <c r="G39" s="135"/>
      <c r="H39" s="135"/>
      <c r="I39" s="96"/>
    </row>
    <row r="40" spans="1:9">
      <c r="A40" t="s">
        <v>439</v>
      </c>
      <c r="I40" s="96"/>
    </row>
    <row r="41" spans="1:9">
      <c r="A41" t="s">
        <v>138</v>
      </c>
      <c r="D41" t="s">
        <v>139</v>
      </c>
      <c r="E41" t="s">
        <v>140</v>
      </c>
      <c r="I41" s="96"/>
    </row>
    <row r="42" spans="1:9">
      <c r="A42" t="s">
        <v>424</v>
      </c>
      <c r="B42">
        <f>3*101300</f>
        <v>303900</v>
      </c>
      <c r="C42" t="s">
        <v>71</v>
      </c>
      <c r="E42" t="s">
        <v>140</v>
      </c>
      <c r="I42" s="96"/>
    </row>
    <row r="43" spans="1:9">
      <c r="A43" t="s">
        <v>425</v>
      </c>
      <c r="B43">
        <f>4*101300</f>
        <v>405200</v>
      </c>
      <c r="C43" t="s">
        <v>71</v>
      </c>
      <c r="E43" t="s">
        <v>140</v>
      </c>
      <c r="I43" s="96"/>
    </row>
    <row r="44" spans="1:9">
      <c r="A44" t="s">
        <v>143</v>
      </c>
      <c r="B44">
        <v>1.4</v>
      </c>
      <c r="D44" t="s">
        <v>144</v>
      </c>
      <c r="E44" t="s">
        <v>145</v>
      </c>
      <c r="I44" s="96"/>
    </row>
    <row r="45" spans="1:9">
      <c r="A45" t="s">
        <v>426</v>
      </c>
      <c r="B45">
        <v>300</v>
      </c>
      <c r="C45" t="s">
        <v>427</v>
      </c>
      <c r="I45" s="96"/>
    </row>
    <row r="46" spans="1:9">
      <c r="A46" t="s">
        <v>428</v>
      </c>
      <c r="B46">
        <v>300</v>
      </c>
      <c r="C46" t="s">
        <v>427</v>
      </c>
      <c r="D46" t="s">
        <v>431</v>
      </c>
      <c r="E46">
        <f>(B45+B47)/2</f>
        <v>152.19999999999999</v>
      </c>
      <c r="F46" t="s">
        <v>427</v>
      </c>
      <c r="I46" s="96"/>
    </row>
    <row r="47" spans="1:9">
      <c r="A47" t="s">
        <v>429</v>
      </c>
      <c r="B47">
        <v>4.4000000000000004</v>
      </c>
      <c r="C47" t="s">
        <v>427</v>
      </c>
      <c r="D47" t="s">
        <v>432</v>
      </c>
      <c r="E47">
        <f>(B46+B48)/2</f>
        <v>195</v>
      </c>
      <c r="F47" t="s">
        <v>427</v>
      </c>
      <c r="I47" s="96"/>
    </row>
    <row r="48" spans="1:9" ht="15">
      <c r="A48" t="s">
        <v>430</v>
      </c>
      <c r="B48">
        <v>90</v>
      </c>
      <c r="C48" t="s">
        <v>427</v>
      </c>
      <c r="D48" t="s">
        <v>246</v>
      </c>
      <c r="E48">
        <v>8.32</v>
      </c>
      <c r="F48" t="s">
        <v>448</v>
      </c>
      <c r="I48" s="96"/>
    </row>
    <row r="49" spans="1:9">
      <c r="A49" t="s">
        <v>536</v>
      </c>
      <c r="B49">
        <v>300</v>
      </c>
      <c r="C49" t="s">
        <v>427</v>
      </c>
      <c r="I49" s="96"/>
    </row>
    <row r="50" spans="1:9">
      <c r="A50" t="s">
        <v>537</v>
      </c>
      <c r="B50">
        <f>4*101300</f>
        <v>405200</v>
      </c>
      <c r="C50" t="s">
        <v>71</v>
      </c>
      <c r="I50" s="96"/>
    </row>
    <row r="51" spans="1:9">
      <c r="F51" s="96"/>
      <c r="G51" s="96"/>
      <c r="H51" s="96"/>
      <c r="I51" s="96"/>
    </row>
    <row r="52" spans="1:9">
      <c r="A52" t="s">
        <v>433</v>
      </c>
      <c r="B52">
        <f ca="1">'Bilan Masse'!B50</f>
        <v>56.986154928935484</v>
      </c>
      <c r="C52" t="s">
        <v>76</v>
      </c>
      <c r="D52" t="s">
        <v>446</v>
      </c>
    </row>
    <row r="53" spans="1:9">
      <c r="A53" t="s">
        <v>435</v>
      </c>
      <c r="B53">
        <f ca="1">B52/'Bilan Masse'!B46*E48*B49/B50</f>
        <v>8.7757553493720983E-2</v>
      </c>
      <c r="C53" t="s">
        <v>274</v>
      </c>
    </row>
    <row r="55" spans="1:9">
      <c r="A55" t="s">
        <v>434</v>
      </c>
      <c r="B55">
        <f ca="1">'Bilan Masse'!F50</f>
        <v>20.501627165756126</v>
      </c>
      <c r="C55" t="s">
        <v>76</v>
      </c>
    </row>
    <row r="56" spans="1:9">
      <c r="A56" t="s">
        <v>436</v>
      </c>
      <c r="B56">
        <f ca="1">B55/'Bilan Masse'!B46*E48*B49/B50</f>
        <v>3.157210106473797E-2</v>
      </c>
      <c r="C56" t="s">
        <v>274</v>
      </c>
    </row>
    <row r="58" spans="1:9">
      <c r="A58" s="140" t="s">
        <v>437</v>
      </c>
      <c r="B58" s="140">
        <f ca="1">B56+B53</f>
        <v>0.11932965455845895</v>
      </c>
      <c r="C58" s="140" t="s">
        <v>274</v>
      </c>
    </row>
    <row r="59" spans="1:9">
      <c r="A59" s="140" t="s">
        <v>438</v>
      </c>
      <c r="B59" s="140">
        <f ca="1">B55+B52</f>
        <v>77.48778209469161</v>
      </c>
      <c r="C59" s="140" t="s">
        <v>76</v>
      </c>
    </row>
    <row r="60" spans="1:9">
      <c r="A60" s="135"/>
      <c r="B60" s="135"/>
      <c r="C60" s="135"/>
      <c r="D60" s="135"/>
      <c r="E60" s="135"/>
      <c r="F60" s="135"/>
      <c r="G60" s="135"/>
      <c r="H60" s="135"/>
      <c r="I60" s="135"/>
    </row>
    <row r="61" spans="1:9">
      <c r="A61" t="s">
        <v>230</v>
      </c>
      <c r="B61">
        <f ca="1">(B25+Géométrie!B2)/B38</f>
        <v>5.0544904048218076</v>
      </c>
    </row>
    <row r="63" spans="1:9">
      <c r="A63" s="81"/>
      <c r="B63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8" enableFormatConditionsCalculation="0"/>
  <dimension ref="A1:C6"/>
  <sheetViews>
    <sheetView workbookViewId="0">
      <selection activeCell="B6" sqref="B6"/>
    </sheetView>
  </sheetViews>
  <sheetFormatPr baseColWidth="10" defaultRowHeight="12.75"/>
  <cols>
    <col min="1" max="1" width="16.875" customWidth="1"/>
  </cols>
  <sheetData>
    <row r="1" spans="1:3">
      <c r="A1" s="78" t="s">
        <v>214</v>
      </c>
    </row>
    <row r="2" spans="1:3">
      <c r="B2" s="104" t="s">
        <v>219</v>
      </c>
      <c r="C2" s="104" t="s">
        <v>218</v>
      </c>
    </row>
    <row r="3" spans="1:3">
      <c r="A3" t="s">
        <v>215</v>
      </c>
      <c r="B3">
        <v>3.15</v>
      </c>
      <c r="C3">
        <f>2.167</f>
        <v>2.1669999999999998</v>
      </c>
    </row>
    <row r="4" spans="1:3">
      <c r="A4" t="s">
        <v>216</v>
      </c>
      <c r="B4">
        <v>4.0999999999999996</v>
      </c>
      <c r="C4">
        <f>MAX(3.05,2.3)</f>
        <v>3.05</v>
      </c>
    </row>
    <row r="5" spans="1:3">
      <c r="A5" t="s">
        <v>217</v>
      </c>
      <c r="B5">
        <v>3.94</v>
      </c>
      <c r="C5">
        <f>MAX(3.29,2.3)</f>
        <v>3.29</v>
      </c>
    </row>
    <row r="6" spans="1:3">
      <c r="A6" s="105" t="s">
        <v>220</v>
      </c>
      <c r="B6" s="106">
        <f>MAX(B3:B5)</f>
        <v>4.0999999999999996</v>
      </c>
      <c r="C6" s="107">
        <f>MAX(C3:C5)</f>
        <v>3.29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19" enableFormatConditionsCalculation="0"/>
  <dimension ref="A1:O143"/>
  <sheetViews>
    <sheetView tabSelected="1" topLeftCell="A67" workbookViewId="0">
      <selection activeCell="A58" sqref="A58"/>
    </sheetView>
  </sheetViews>
  <sheetFormatPr baseColWidth="10" defaultRowHeight="12.75"/>
  <cols>
    <col min="1" max="1" width="37.25" customWidth="1"/>
    <col min="4" max="4" width="11.25" customWidth="1"/>
    <col min="5" max="5" width="21.75" customWidth="1"/>
    <col min="6" max="6" width="17.125" customWidth="1"/>
    <col min="9" max="9" width="22.875" customWidth="1"/>
    <col min="11" max="11" width="3.75" customWidth="1"/>
    <col min="12" max="12" width="14.625" customWidth="1"/>
    <col min="14" max="14" width="3.625" customWidth="1"/>
  </cols>
  <sheetData>
    <row r="1" spans="1:7">
      <c r="A1" s="78" t="s">
        <v>266</v>
      </c>
      <c r="E1" s="109" t="s">
        <v>221</v>
      </c>
      <c r="F1" s="85">
        <f>B3/2</f>
        <v>2.0562499999999999</v>
      </c>
      <c r="G1" s="86" t="s">
        <v>85</v>
      </c>
    </row>
    <row r="2" spans="1:7">
      <c r="A2" s="140" t="s">
        <v>84</v>
      </c>
      <c r="B2" s="140">
        <f>8.533691</f>
        <v>8.5336909999999992</v>
      </c>
      <c r="C2" s="140" t="s">
        <v>85</v>
      </c>
      <c r="E2" s="110" t="s">
        <v>204</v>
      </c>
      <c r="F2" s="41">
        <f>B4</f>
        <v>14.9</v>
      </c>
      <c r="G2" s="89" t="s">
        <v>98</v>
      </c>
    </row>
    <row r="3" spans="1:7">
      <c r="A3" s="140" t="s">
        <v>86</v>
      </c>
      <c r="B3" s="140">
        <f>B6/0.8</f>
        <v>4.1124999999999998</v>
      </c>
      <c r="C3" s="140" t="s">
        <v>85</v>
      </c>
      <c r="E3" s="110" t="s">
        <v>222</v>
      </c>
      <c r="F3" s="41">
        <f>F8-F9</f>
        <v>3.4786229010685945</v>
      </c>
      <c r="G3" s="89" t="s">
        <v>85</v>
      </c>
    </row>
    <row r="4" spans="1:7">
      <c r="A4" t="s">
        <v>179</v>
      </c>
      <c r="B4">
        <v>14.9</v>
      </c>
      <c r="C4" t="s">
        <v>98</v>
      </c>
      <c r="E4" s="110" t="s">
        <v>223</v>
      </c>
      <c r="F4" s="41">
        <f>F9+F10</f>
        <v>4.5501780836491932</v>
      </c>
      <c r="G4" s="89" t="s">
        <v>85</v>
      </c>
    </row>
    <row r="5" spans="1:7">
      <c r="A5" t="s">
        <v>176</v>
      </c>
      <c r="B5">
        <v>1.17</v>
      </c>
      <c r="C5" t="s">
        <v>85</v>
      </c>
      <c r="E5" s="110" t="s">
        <v>224</v>
      </c>
      <c r="F5" s="41">
        <f>TAN(B4*PI()/180)</f>
        <v>0.26607942669201468</v>
      </c>
      <c r="G5" s="89" t="s">
        <v>64</v>
      </c>
    </row>
    <row r="6" spans="1:7">
      <c r="A6" t="s">
        <v>177</v>
      </c>
      <c r="B6">
        <f>Satellites!C6</f>
        <v>3.29</v>
      </c>
      <c r="C6" t="s">
        <v>85</v>
      </c>
      <c r="E6" s="110" t="s">
        <v>190</v>
      </c>
      <c r="F6" s="41">
        <f>B5/SQRT(1+F5^2)</f>
        <v>1.1306600128059554</v>
      </c>
      <c r="G6" s="89" t="s">
        <v>85</v>
      </c>
    </row>
    <row r="7" spans="1:7">
      <c r="A7" t="s">
        <v>178</v>
      </c>
      <c r="B7">
        <f>Satellites!B6</f>
        <v>4.0999999999999996</v>
      </c>
      <c r="C7" t="s">
        <v>85</v>
      </c>
      <c r="E7" s="110" t="s">
        <v>225</v>
      </c>
      <c r="F7" s="41">
        <f>SQRT(F4^2-B5^2)</f>
        <v>4.3971832566907469</v>
      </c>
      <c r="G7" s="89" t="s">
        <v>85</v>
      </c>
    </row>
    <row r="8" spans="1:7">
      <c r="A8" t="s">
        <v>257</v>
      </c>
      <c r="B8">
        <f>F6/B3</f>
        <v>0.27493252591026274</v>
      </c>
      <c r="C8" t="s">
        <v>64</v>
      </c>
      <c r="E8" s="110" t="s">
        <v>226</v>
      </c>
      <c r="F8" s="41">
        <f>F1/F5</f>
        <v>7.7279556167267938</v>
      </c>
      <c r="G8" s="89" t="s">
        <v>85</v>
      </c>
    </row>
    <row r="9" spans="1:7">
      <c r="A9" t="s">
        <v>256</v>
      </c>
      <c r="B9">
        <f>B2/B3</f>
        <v>2.0750616413373861</v>
      </c>
      <c r="C9" t="s">
        <v>64</v>
      </c>
      <c r="E9" s="110" t="s">
        <v>227</v>
      </c>
      <c r="F9" s="41">
        <f>F6/F5</f>
        <v>4.2493327156581993</v>
      </c>
      <c r="G9" s="89" t="s">
        <v>85</v>
      </c>
    </row>
    <row r="10" spans="1:7">
      <c r="A10" t="s">
        <v>289</v>
      </c>
      <c r="B10">
        <f>SQRT(1-F6^2/B5^2)*PI()*B5^2*(F3^2/F6^2-2)+2*PI()*B5*(B5+F3)</f>
        <v>42.429113741943809</v>
      </c>
      <c r="C10" t="s">
        <v>112</v>
      </c>
      <c r="E10" s="110" t="s">
        <v>228</v>
      </c>
      <c r="F10" s="41">
        <f>SQRT(B5^2-F6^2)</f>
        <v>0.30084536799099382</v>
      </c>
      <c r="G10" s="89" t="s">
        <v>85</v>
      </c>
    </row>
    <row r="11" spans="1:7">
      <c r="E11" s="110"/>
      <c r="F11" s="41"/>
      <c r="G11" s="89"/>
    </row>
    <row r="12" spans="1:7">
      <c r="A12" s="136" t="s">
        <v>538</v>
      </c>
      <c r="B12" s="135"/>
      <c r="C12" s="135"/>
      <c r="E12" s="110" t="s">
        <v>539</v>
      </c>
      <c r="F12" s="41"/>
      <c r="G12" s="89"/>
    </row>
    <row r="13" spans="1:7">
      <c r="A13" s="135" t="s">
        <v>392</v>
      </c>
      <c r="B13" s="135">
        <v>0.3</v>
      </c>
      <c r="C13" s="135" t="s">
        <v>85</v>
      </c>
      <c r="E13" s="110" t="s">
        <v>540</v>
      </c>
      <c r="F13" s="41">
        <v>4.3230000000000004</v>
      </c>
      <c r="G13" s="89" t="s">
        <v>85</v>
      </c>
    </row>
    <row r="14" spans="1:7">
      <c r="E14" s="110" t="s">
        <v>121</v>
      </c>
      <c r="F14" s="41">
        <v>4.21</v>
      </c>
      <c r="G14" s="89" t="s">
        <v>85</v>
      </c>
    </row>
    <row r="15" spans="1:7">
      <c r="A15" s="78" t="s">
        <v>417</v>
      </c>
      <c r="E15" s="110"/>
      <c r="F15" s="41"/>
      <c r="G15" s="89"/>
    </row>
    <row r="16" spans="1:7">
      <c r="A16" t="s">
        <v>392</v>
      </c>
      <c r="B16" s="94">
        <v>1</v>
      </c>
      <c r="C16" t="s">
        <v>85</v>
      </c>
      <c r="E16" s="110" t="s">
        <v>229</v>
      </c>
      <c r="F16" s="41">
        <f>F3-F10</f>
        <v>3.1777775330776006</v>
      </c>
      <c r="G16" s="89" t="s">
        <v>85</v>
      </c>
    </row>
    <row r="17" spans="1:15">
      <c r="E17" s="110"/>
      <c r="F17" s="41"/>
      <c r="G17" s="89"/>
    </row>
    <row r="18" spans="1:15">
      <c r="A18" t="s">
        <v>642</v>
      </c>
      <c r="B18">
        <f ca="1">(B16+F14+B84)/B3</f>
        <v>4.4029059161794599</v>
      </c>
      <c r="C18" t="s">
        <v>64</v>
      </c>
      <c r="E18" s="110"/>
      <c r="F18" s="41"/>
      <c r="G18" s="89"/>
    </row>
    <row r="19" spans="1:15">
      <c r="A19" s="142"/>
      <c r="B19" s="142"/>
      <c r="C19" s="142"/>
      <c r="D19" s="142"/>
      <c r="E19" s="110" t="s">
        <v>262</v>
      </c>
      <c r="F19" s="41">
        <f>F16+B5</f>
        <v>4.3477775330776005</v>
      </c>
      <c r="G19" s="89" t="s">
        <v>85</v>
      </c>
    </row>
    <row r="20" spans="1:15">
      <c r="A20" s="78" t="s">
        <v>309</v>
      </c>
      <c r="E20" s="111" t="s">
        <v>121</v>
      </c>
      <c r="F20" s="92">
        <f>B7-(F1-B6/2)/F5</f>
        <v>2.5544088766546413</v>
      </c>
      <c r="G20" s="93" t="s">
        <v>85</v>
      </c>
    </row>
    <row r="21" spans="1:15">
      <c r="A21" s="104" t="s">
        <v>541</v>
      </c>
      <c r="O21" s="94"/>
    </row>
    <row r="22" spans="1:15">
      <c r="A22" t="s">
        <v>278</v>
      </c>
      <c r="B22" s="80">
        <f>'Moteur Etage 3'!B38/2</f>
        <v>1.6</v>
      </c>
      <c r="C22" t="s">
        <v>85</v>
      </c>
      <c r="D22" s="135" t="s">
        <v>321</v>
      </c>
      <c r="E22" s="135"/>
      <c r="F22" s="136" t="s">
        <v>287</v>
      </c>
      <c r="G22" s="135"/>
      <c r="H22" s="135"/>
      <c r="I22" s="135"/>
      <c r="J22" s="135"/>
      <c r="K22" s="135"/>
      <c r="L22" s="234" t="s">
        <v>675</v>
      </c>
      <c r="M22" s="148"/>
      <c r="N22" s="148"/>
      <c r="O22" s="94"/>
    </row>
    <row r="23" spans="1:15">
      <c r="A23" t="s">
        <v>279</v>
      </c>
      <c r="B23">
        <f ca="1">B24/(PI()*B22^2)</f>
        <v>4.6412701721584648</v>
      </c>
      <c r="C23" t="s">
        <v>85</v>
      </c>
      <c r="F23" s="135" t="s">
        <v>285</v>
      </c>
      <c r="G23" s="135">
        <v>5</v>
      </c>
      <c r="H23" s="137" t="s">
        <v>64</v>
      </c>
      <c r="I23" s="135"/>
      <c r="J23" s="135"/>
      <c r="K23" s="135"/>
      <c r="L23" s="148" t="s">
        <v>447</v>
      </c>
      <c r="M23" s="148">
        <v>4</v>
      </c>
      <c r="N23" s="148" t="s">
        <v>64</v>
      </c>
      <c r="O23" s="94"/>
    </row>
    <row r="24" spans="1:15">
      <c r="A24" t="s">
        <v>280</v>
      </c>
      <c r="B24">
        <f ca="1">'Moteur Etage 3'!B23-2*B27</f>
        <v>37.327309507016878</v>
      </c>
      <c r="C24" t="s">
        <v>274</v>
      </c>
      <c r="F24" s="135" t="s">
        <v>286</v>
      </c>
      <c r="G24" s="135">
        <f ca="1">('Moteur Etage 3'!B23/G23*3/(PI()*4))^(1/3)</f>
        <v>1.2966961616198676</v>
      </c>
      <c r="H24" s="137" t="s">
        <v>85</v>
      </c>
      <c r="I24" s="135"/>
      <c r="J24" s="135"/>
      <c r="K24" s="135"/>
      <c r="L24" s="148" t="s">
        <v>278</v>
      </c>
      <c r="M24" s="235">
        <f>(B3-2*M33)/4</f>
        <v>0.64312499999999995</v>
      </c>
      <c r="N24" s="148" t="s">
        <v>85</v>
      </c>
      <c r="O24" s="94"/>
    </row>
    <row r="25" spans="1:15" ht="12.75" customHeight="1">
      <c r="A25" t="s">
        <v>281</v>
      </c>
      <c r="B25">
        <f xml:space="preserve"> 1.15*B22</f>
        <v>1.8399999999999999</v>
      </c>
      <c r="C25" t="s">
        <v>85</v>
      </c>
      <c r="F25" s="135"/>
      <c r="G25" s="135"/>
      <c r="H25" s="135"/>
      <c r="I25" s="135"/>
      <c r="J25" s="135"/>
      <c r="K25" s="135"/>
      <c r="L25" s="148" t="s">
        <v>279</v>
      </c>
      <c r="M25" s="148">
        <f ca="1">M26/(PI()*M24^2)</f>
        <v>8.3689705111021819</v>
      </c>
      <c r="N25" s="148" t="s">
        <v>85</v>
      </c>
      <c r="O25" s="94"/>
    </row>
    <row r="26" spans="1:15" ht="12.75" customHeight="1">
      <c r="A26" t="s">
        <v>282</v>
      </c>
      <c r="B26" s="80">
        <f>B25-SQRT(B25^2-B22^2)</f>
        <v>0.93137466467195673</v>
      </c>
      <c r="C26" t="s">
        <v>85</v>
      </c>
      <c r="F26" s="136" t="s">
        <v>320</v>
      </c>
      <c r="G26" s="135"/>
      <c r="H26" s="135"/>
      <c r="I26" s="135"/>
      <c r="J26" s="135"/>
      <c r="K26" s="135"/>
      <c r="L26" s="148" t="s">
        <v>280</v>
      </c>
      <c r="M26" s="148">
        <f ca="1">'Moteur Etage 3'!B23/M23-2*M29</f>
        <v>10.874585056465579</v>
      </c>
      <c r="N26" s="148" t="s">
        <v>274</v>
      </c>
      <c r="O26" s="94"/>
    </row>
    <row r="27" spans="1:15">
      <c r="A27" t="s">
        <v>283</v>
      </c>
      <c r="B27">
        <f>PI()*B26^2*(B25-B26/3)</f>
        <v>4.1683104460545213</v>
      </c>
      <c r="C27" t="s">
        <v>274</v>
      </c>
      <c r="F27" s="135" t="s">
        <v>277</v>
      </c>
      <c r="G27" s="138">
        <f>'Moteur Etage 3'!B38/(2*SQRT(2)+2)</f>
        <v>0.66274169979695219</v>
      </c>
      <c r="H27" s="135" t="s">
        <v>85</v>
      </c>
      <c r="I27" s="135"/>
      <c r="J27" s="135"/>
      <c r="K27" s="135"/>
      <c r="L27" s="148" t="s">
        <v>281</v>
      </c>
      <c r="M27" s="148">
        <f xml:space="preserve"> 1.15*M24</f>
        <v>0.73959374999999983</v>
      </c>
      <c r="N27" s="148" t="s">
        <v>85</v>
      </c>
      <c r="O27" s="94"/>
    </row>
    <row r="28" spans="1:15">
      <c r="A28" t="s">
        <v>592</v>
      </c>
      <c r="B28" s="80">
        <f ca="1">2*B26+B23</f>
        <v>6.5040195015023787</v>
      </c>
      <c r="C28" t="s">
        <v>85</v>
      </c>
      <c r="F28" s="135" t="s">
        <v>275</v>
      </c>
      <c r="G28" s="139">
        <v>0.05</v>
      </c>
      <c r="H28" s="135" t="s">
        <v>64</v>
      </c>
      <c r="I28" s="135"/>
      <c r="J28" s="135"/>
      <c r="K28" s="135"/>
      <c r="L28" s="148" t="s">
        <v>282</v>
      </c>
      <c r="M28" s="235">
        <f>M27-SQRT(M27^2-M24^2)</f>
        <v>0.37436895701071998</v>
      </c>
      <c r="N28" s="148" t="s">
        <v>85</v>
      </c>
      <c r="O28" s="94"/>
    </row>
    <row r="29" spans="1:15">
      <c r="F29" s="135" t="s">
        <v>276</v>
      </c>
      <c r="G29" s="135">
        <f>G27-G27*G28</f>
        <v>0.62960461480710461</v>
      </c>
      <c r="H29" s="135" t="s">
        <v>85</v>
      </c>
      <c r="I29" s="135"/>
      <c r="J29" s="135"/>
      <c r="K29" s="135"/>
      <c r="L29" s="148" t="s">
        <v>283</v>
      </c>
      <c r="M29" s="148">
        <f>PI()*M28^2*(M27-M28/3)</f>
        <v>0.2706987716579512</v>
      </c>
      <c r="N29" s="148" t="s">
        <v>274</v>
      </c>
      <c r="O29" s="94"/>
    </row>
    <row r="30" spans="1:15">
      <c r="F30" s="135"/>
      <c r="G30" s="135"/>
      <c r="H30" s="135"/>
      <c r="I30" s="135"/>
      <c r="J30" s="135"/>
      <c r="K30" s="135"/>
      <c r="L30" s="148" t="s">
        <v>317</v>
      </c>
      <c r="M30" s="148">
        <f ca="1">M28*2+M25</f>
        <v>9.117708425123622</v>
      </c>
      <c r="N30" s="148" t="s">
        <v>85</v>
      </c>
      <c r="O30" s="94"/>
    </row>
    <row r="31" spans="1:15">
      <c r="L31" s="148"/>
      <c r="M31" s="148"/>
      <c r="N31" s="148"/>
      <c r="O31" s="94"/>
    </row>
    <row r="32" spans="1:15">
      <c r="L32" s="234" t="s">
        <v>674</v>
      </c>
      <c r="M32" s="148"/>
      <c r="N32" s="148"/>
      <c r="O32" s="94"/>
    </row>
    <row r="33" spans="1:15">
      <c r="A33" s="153" t="s">
        <v>288</v>
      </c>
      <c r="B33" s="94"/>
      <c r="C33" s="94"/>
      <c r="L33" s="148" t="s">
        <v>542</v>
      </c>
      <c r="M33" s="235">
        <f>0.77</f>
        <v>0.77</v>
      </c>
      <c r="N33" s="148" t="s">
        <v>85</v>
      </c>
      <c r="O33" s="94"/>
    </row>
    <row r="34" spans="1:15">
      <c r="A34" s="94" t="s">
        <v>542</v>
      </c>
      <c r="B34" s="95">
        <f>B22</f>
        <v>1.6</v>
      </c>
      <c r="C34" s="94" t="s">
        <v>85</v>
      </c>
      <c r="L34" s="148" t="s">
        <v>279</v>
      </c>
      <c r="M34" s="148">
        <f ca="1">M35/(PI()*M33^2)</f>
        <v>7.976196855447375</v>
      </c>
      <c r="N34" s="148" t="s">
        <v>85</v>
      </c>
      <c r="O34" s="94"/>
    </row>
    <row r="35" spans="1:15">
      <c r="A35" s="94" t="s">
        <v>279</v>
      </c>
      <c r="B35" s="94">
        <f ca="1">B36/(PI()*B34^2)</f>
        <v>0.92626058629894426</v>
      </c>
      <c r="C35" s="94" t="s">
        <v>85</v>
      </c>
      <c r="L35" s="148" t="s">
        <v>543</v>
      </c>
      <c r="M35" s="148">
        <f ca="1">'Moteur Etage 3'!G23-2*M38</f>
        <v>14.856865340538606</v>
      </c>
      <c r="N35" s="148" t="s">
        <v>274</v>
      </c>
      <c r="O35" s="94"/>
    </row>
    <row r="36" spans="1:15">
      <c r="A36" s="94" t="s">
        <v>543</v>
      </c>
      <c r="B36" s="94">
        <f ca="1">'Moteur Etage 3'!G23-2*B39</f>
        <v>7.4494296402599378</v>
      </c>
      <c r="C36" s="94" t="s">
        <v>274</v>
      </c>
      <c r="L36" s="148" t="s">
        <v>281</v>
      </c>
      <c r="M36" s="148">
        <f xml:space="preserve"> 1.15*M33</f>
        <v>0.88549999999999995</v>
      </c>
      <c r="N36" s="148" t="s">
        <v>85</v>
      </c>
      <c r="O36" s="94"/>
    </row>
    <row r="37" spans="1:15">
      <c r="A37" s="94" t="s">
        <v>281</v>
      </c>
      <c r="B37" s="94">
        <f xml:space="preserve"> 1.15*B34</f>
        <v>1.8399999999999999</v>
      </c>
      <c r="C37" s="94" t="s">
        <v>85</v>
      </c>
      <c r="L37" s="148" t="s">
        <v>282</v>
      </c>
      <c r="M37" s="235">
        <f>M36-SQRT(M36^2-M33^2)</f>
        <v>0.448224057373379</v>
      </c>
      <c r="N37" s="148" t="s">
        <v>85</v>
      </c>
      <c r="O37" s="94"/>
    </row>
    <row r="38" spans="1:15">
      <c r="A38" s="94" t="s">
        <v>282</v>
      </c>
      <c r="B38" s="95">
        <f>B37-SQRT(B37^2-B34^2)</f>
        <v>0.93137466467195673</v>
      </c>
      <c r="C38" s="94" t="s">
        <v>85</v>
      </c>
      <c r="L38" s="148" t="s">
        <v>283</v>
      </c>
      <c r="M38" s="148">
        <f>PI()*M37^2*(M36-M37/3)</f>
        <v>0.46459259591518742</v>
      </c>
      <c r="N38" s="148" t="s">
        <v>274</v>
      </c>
      <c r="O38" s="94"/>
    </row>
    <row r="39" spans="1:15">
      <c r="A39" s="94" t="s">
        <v>545</v>
      </c>
      <c r="B39" s="94">
        <f>PI()*B38^2*(B37-B38/3)</f>
        <v>4.1683104460545213</v>
      </c>
      <c r="C39" s="94" t="s">
        <v>274</v>
      </c>
      <c r="F39" s="136" t="s">
        <v>284</v>
      </c>
      <c r="G39" s="135"/>
      <c r="H39" s="135"/>
      <c r="I39" s="135"/>
      <c r="J39" s="135"/>
      <c r="K39" s="135"/>
      <c r="L39" s="148" t="s">
        <v>317</v>
      </c>
      <c r="M39" s="148">
        <f ca="1">M37*2+M34</f>
        <v>8.8726449701941323</v>
      </c>
      <c r="N39" s="148" t="s">
        <v>85</v>
      </c>
      <c r="O39" s="94"/>
    </row>
    <row r="40" spans="1:15">
      <c r="A40" s="94" t="s">
        <v>592</v>
      </c>
      <c r="B40" s="94">
        <f ca="1">B35+2*B38</f>
        <v>2.7890099156428576</v>
      </c>
      <c r="C40" s="94" t="s">
        <v>85</v>
      </c>
      <c r="F40" s="135" t="s">
        <v>316</v>
      </c>
      <c r="G40" s="135">
        <f ca="1">('Moteur Etage 3'!G23*3/(PI()*4))^(1/3)</f>
        <v>1.5561864390549902</v>
      </c>
      <c r="H40" s="135"/>
      <c r="I40" s="135" t="s">
        <v>318</v>
      </c>
      <c r="J40" s="135">
        <f ca="1">B23+2*B26+M39</f>
        <v>15.376664471696511</v>
      </c>
      <c r="K40" s="135"/>
      <c r="L40" s="135"/>
      <c r="M40" s="135"/>
      <c r="N40" s="135"/>
      <c r="O40" s="94"/>
    </row>
    <row r="41" spans="1:15">
      <c r="F41" s="94"/>
      <c r="G41" s="94"/>
      <c r="H41" s="94"/>
      <c r="I41" s="94"/>
      <c r="J41" s="94"/>
      <c r="K41" s="94"/>
      <c r="L41" s="94"/>
      <c r="M41" s="94"/>
      <c r="N41" s="94"/>
      <c r="O41" s="94"/>
    </row>
    <row r="42" spans="1:15">
      <c r="F42" s="94" t="s">
        <v>552</v>
      </c>
      <c r="G42" s="94"/>
      <c r="H42" s="94">
        <f>(B3-B85)/2</f>
        <v>0.45624999999999982</v>
      </c>
      <c r="I42" s="94" t="s">
        <v>85</v>
      </c>
    </row>
    <row r="43" spans="1:15">
      <c r="A43" s="140" t="s">
        <v>313</v>
      </c>
      <c r="B43" s="140">
        <f ca="1">B23+2*B26+2*B38+B35</f>
        <v>9.2930294171452363</v>
      </c>
      <c r="C43" s="140" t="s">
        <v>85</v>
      </c>
      <c r="D43" s="140"/>
      <c r="F43" s="94" t="s">
        <v>554</v>
      </c>
      <c r="G43" s="94"/>
      <c r="H43" s="94">
        <f>ATAN((H42/B81))/PI()*180</f>
        <v>18.916121558369806</v>
      </c>
      <c r="I43" s="94" t="s">
        <v>98</v>
      </c>
    </row>
    <row r="44" spans="1:15">
      <c r="A44" s="94"/>
      <c r="B44" s="94"/>
      <c r="C44" s="94"/>
      <c r="D44" s="94"/>
      <c r="F44" s="94" t="s">
        <v>556</v>
      </c>
      <c r="H44">
        <f>H42/SIN(H43*PI()/180)</f>
        <v>1.4073814551252144</v>
      </c>
      <c r="I44" s="94" t="s">
        <v>85</v>
      </c>
    </row>
    <row r="45" spans="1:15">
      <c r="A45" s="153" t="s">
        <v>544</v>
      </c>
      <c r="B45" s="94"/>
      <c r="C45" s="94"/>
      <c r="D45" s="94"/>
    </row>
    <row r="46" spans="1:15">
      <c r="A46" s="94" t="s">
        <v>546</v>
      </c>
      <c r="B46" s="94">
        <v>1</v>
      </c>
      <c r="C46" s="94" t="s">
        <v>64</v>
      </c>
      <c r="D46" s="94"/>
      <c r="I46" s="104" t="s">
        <v>676</v>
      </c>
    </row>
    <row r="47" spans="1:15">
      <c r="A47" s="94" t="s">
        <v>547</v>
      </c>
      <c r="B47" s="94">
        <f ca="1">(3*'Moteur Etage 3'!B56/B46/PI()/4)^(1/3)</f>
        <v>0.19606720521263277</v>
      </c>
      <c r="C47" s="94" t="s">
        <v>85</v>
      </c>
      <c r="D47" s="94"/>
      <c r="I47" t="s">
        <v>290</v>
      </c>
      <c r="J47">
        <f ca="1" xml:space="preserve"> SQRT('Moteur Etage 3'!G23/(2*PI()^2*J48))</f>
        <v>0.63234905807184161</v>
      </c>
      <c r="K47" t="s">
        <v>85</v>
      </c>
    </row>
    <row r="48" spans="1:15">
      <c r="A48" s="135" t="s">
        <v>548</v>
      </c>
      <c r="B48" s="135">
        <v>1</v>
      </c>
      <c r="C48" s="135" t="s">
        <v>64</v>
      </c>
      <c r="D48" s="94" t="s">
        <v>549</v>
      </c>
      <c r="I48" t="s">
        <v>291</v>
      </c>
      <c r="J48" s="80">
        <v>2</v>
      </c>
      <c r="K48" t="s">
        <v>85</v>
      </c>
    </row>
    <row r="49" spans="1:11">
      <c r="A49" s="135" t="s">
        <v>550</v>
      </c>
      <c r="B49" s="135">
        <f ca="1">(3*'Moteur Etage 3'!B53/B48/PI()/4)^(1/3)</f>
        <v>0.27567579312461454</v>
      </c>
      <c r="C49" s="135" t="s">
        <v>85</v>
      </c>
      <c r="D49" s="94" t="s">
        <v>551</v>
      </c>
      <c r="I49" t="s">
        <v>84</v>
      </c>
      <c r="J49">
        <f ca="1">2*J47</f>
        <v>1.2646981161436832</v>
      </c>
      <c r="K49" t="s">
        <v>85</v>
      </c>
    </row>
    <row r="50" spans="1:11">
      <c r="I50" t="s">
        <v>677</v>
      </c>
      <c r="J50" s="80">
        <f ca="1">J48+J47</f>
        <v>2.6323490580718416</v>
      </c>
      <c r="K50" t="s">
        <v>85</v>
      </c>
    </row>
    <row r="51" spans="1:11">
      <c r="A51" s="104" t="s">
        <v>553</v>
      </c>
    </row>
    <row r="52" spans="1:11">
      <c r="A52" t="s">
        <v>555</v>
      </c>
      <c r="B52" s="80">
        <f>(J48^2+B66^2)^(-1/2)</f>
        <v>0.4642383454426296</v>
      </c>
      <c r="C52" t="s">
        <v>85</v>
      </c>
      <c r="G52" t="s">
        <v>593</v>
      </c>
      <c r="H52">
        <f>(J48^2+B66^2)^(-1/2)</f>
        <v>0.4642383454426296</v>
      </c>
    </row>
    <row r="53" spans="1:11">
      <c r="A53" t="s">
        <v>557</v>
      </c>
      <c r="B53" s="80">
        <f ca="1">SQRT(B85^2/4+B73^2)+B40+SQRT(B85^2/4+B66^2/4)</f>
        <v>6.0874944161369875</v>
      </c>
      <c r="C53" t="s">
        <v>85</v>
      </c>
      <c r="D53" t="s">
        <v>310</v>
      </c>
    </row>
    <row r="54" spans="1:11">
      <c r="D54" t="s">
        <v>303</v>
      </c>
      <c r="E54">
        <f>E55</f>
        <v>0.8</v>
      </c>
      <c r="F54" t="s">
        <v>85</v>
      </c>
    </row>
    <row r="55" spans="1:11">
      <c r="A55" s="104" t="s">
        <v>558</v>
      </c>
      <c r="D55" t="s">
        <v>302</v>
      </c>
      <c r="E55">
        <f>1/4*B85</f>
        <v>0.8</v>
      </c>
      <c r="F55" t="s">
        <v>85</v>
      </c>
    </row>
    <row r="56" spans="1:11">
      <c r="A56" t="s">
        <v>559</v>
      </c>
      <c r="B56">
        <f>B46</f>
        <v>1</v>
      </c>
      <c r="C56" t="s">
        <v>64</v>
      </c>
      <c r="D56" t="s">
        <v>301</v>
      </c>
      <c r="E56" s="80">
        <f>E57</f>
        <v>0.8</v>
      </c>
      <c r="F56" t="s">
        <v>85</v>
      </c>
    </row>
    <row r="57" spans="1:11">
      <c r="A57" t="s">
        <v>555</v>
      </c>
      <c r="B57">
        <f ca="1">3*B47+B40+B34+B73/2</f>
        <v>5.1772115312807561</v>
      </c>
      <c r="C57" t="s">
        <v>85</v>
      </c>
      <c r="D57" t="s">
        <v>300</v>
      </c>
      <c r="E57" s="80">
        <f>E54</f>
        <v>0.8</v>
      </c>
      <c r="F57" t="s">
        <v>85</v>
      </c>
    </row>
    <row r="58" spans="1:11">
      <c r="A58" t="s">
        <v>560</v>
      </c>
      <c r="B58">
        <f>B48</f>
        <v>1</v>
      </c>
      <c r="C58" t="s">
        <v>64</v>
      </c>
      <c r="D58" t="s">
        <v>304</v>
      </c>
      <c r="E58" s="80">
        <f ca="1">'Moteur Etage 3'!B33-E55</f>
        <v>0.28350206635257424</v>
      </c>
      <c r="F58" t="s">
        <v>85</v>
      </c>
    </row>
    <row r="59" spans="1:11">
      <c r="A59" t="s">
        <v>557</v>
      </c>
      <c r="B59">
        <f ca="1">(('Moteur Etage 3'!B38/2-'Moteur Etage 3'!B33)^2+(Géométrie!B64-'Moteur Etage 3'!B36)^2)^(-1/2)+ 2*J47+B73+2*B26+B23+B85/2</f>
        <v>10.928117894422831</v>
      </c>
      <c r="C59" t="s">
        <v>85</v>
      </c>
    </row>
    <row r="61" spans="1:11">
      <c r="A61" t="s">
        <v>598</v>
      </c>
      <c r="B61">
        <f ca="1">'Moteur Etage 3'!D25*10</f>
        <v>1.8924811535676347</v>
      </c>
      <c r="C61" t="s">
        <v>85</v>
      </c>
    </row>
    <row r="63" spans="1:11">
      <c r="A63" s="104" t="s">
        <v>292</v>
      </c>
    </row>
    <row r="64" spans="1:11">
      <c r="A64" t="s">
        <v>294</v>
      </c>
      <c r="B64">
        <f>E54</f>
        <v>0.8</v>
      </c>
      <c r="C64" t="s">
        <v>85</v>
      </c>
    </row>
    <row r="65" spans="1:6">
      <c r="A65" t="s">
        <v>293</v>
      </c>
      <c r="B65">
        <f>E55</f>
        <v>0.8</v>
      </c>
      <c r="C65" t="s">
        <v>85</v>
      </c>
    </row>
    <row r="66" spans="1:6">
      <c r="A66" t="s">
        <v>295</v>
      </c>
      <c r="B66" s="80">
        <f>E56</f>
        <v>0.8</v>
      </c>
      <c r="C66" t="s">
        <v>85</v>
      </c>
    </row>
    <row r="67" spans="1:6">
      <c r="A67" t="s">
        <v>296</v>
      </c>
      <c r="B67" s="80">
        <f>E57</f>
        <v>0.8</v>
      </c>
      <c r="C67" t="s">
        <v>85</v>
      </c>
    </row>
    <row r="68" spans="1:6">
      <c r="A68" t="s">
        <v>297</v>
      </c>
      <c r="B68" s="80">
        <f ca="1">E58</f>
        <v>0.28350206635257424</v>
      </c>
      <c r="C68" t="s">
        <v>85</v>
      </c>
    </row>
    <row r="69" spans="1:6">
      <c r="A69" t="s">
        <v>306</v>
      </c>
      <c r="B69">
        <f ca="1" xml:space="preserve"> ATAN(('Moteur Etage 3'!B30)/'Moteur Etage 3'!B33)*180/PI()</f>
        <v>49.75786366943818</v>
      </c>
      <c r="C69" t="s">
        <v>98</v>
      </c>
    </row>
    <row r="70" spans="1:6">
      <c r="A70" t="s">
        <v>307</v>
      </c>
      <c r="B70">
        <f ca="1">(TAN(15*PI()/180)*'Moteur Etage 3'!B33+'Moteur Etage 3'!B30)*2</f>
        <v>3.1411281980393171</v>
      </c>
      <c r="C70" t="s">
        <v>85</v>
      </c>
    </row>
    <row r="71" spans="1:6">
      <c r="A71" t="s">
        <v>561</v>
      </c>
      <c r="B71">
        <f ca="1">(B85-'Moteur Etage 3'!B30)/2/TAN(15*PI()/180)</f>
        <v>3.5823198182439899</v>
      </c>
      <c r="C71" t="s">
        <v>85</v>
      </c>
    </row>
    <row r="72" spans="1:6">
      <c r="A72" t="s">
        <v>562</v>
      </c>
      <c r="B72" s="80">
        <f ca="1">2*B38+B61+'Moteur Etage 3'!B36+'Moteur Etage 3'!B33+F72-B65+2*B73+B35+B26</f>
        <v>6.9243057434576052</v>
      </c>
      <c r="C72" t="s">
        <v>85</v>
      </c>
      <c r="E72" t="s">
        <v>599</v>
      </c>
      <c r="F72">
        <f ca="1">TAN(PI()/4)*('Moteur Etage 3'!B34-'Moteur Etage 3'!B29/2)</f>
        <v>0.11870694712410468</v>
      </c>
    </row>
    <row r="73" spans="1:6">
      <c r="A73" t="s">
        <v>563</v>
      </c>
      <c r="B73" s="80">
        <f>0.4</f>
        <v>0.4</v>
      </c>
      <c r="C73" t="s">
        <v>85</v>
      </c>
    </row>
    <row r="74" spans="1:6">
      <c r="A74" t="s">
        <v>570</v>
      </c>
      <c r="B74" s="80">
        <f>B85</f>
        <v>3.2</v>
      </c>
      <c r="C74" t="s">
        <v>85</v>
      </c>
    </row>
    <row r="75" spans="1:6">
      <c r="A75" t="s">
        <v>617</v>
      </c>
      <c r="B75" s="80">
        <f ca="1">B72</f>
        <v>6.9243057434576052</v>
      </c>
      <c r="C75" t="s">
        <v>85</v>
      </c>
    </row>
    <row r="76" spans="1:6">
      <c r="B76" s="80"/>
    </row>
    <row r="77" spans="1:6">
      <c r="A77" s="104" t="s">
        <v>608</v>
      </c>
      <c r="B77" s="80"/>
    </row>
    <row r="78" spans="1:6">
      <c r="A78" t="s">
        <v>609</v>
      </c>
      <c r="B78" s="80">
        <f>B73+B38+B26</f>
        <v>2.2627493293439134</v>
      </c>
      <c r="C78" t="s">
        <v>85</v>
      </c>
    </row>
    <row r="79" spans="1:6">
      <c r="B79">
        <v>0</v>
      </c>
    </row>
    <row r="80" spans="1:6">
      <c r="A80" s="104" t="s">
        <v>308</v>
      </c>
    </row>
    <row r="81" spans="1:12">
      <c r="A81" t="s">
        <v>564</v>
      </c>
      <c r="B81" s="80">
        <f xml:space="preserve"> B26+B73</f>
        <v>1.3313746646719569</v>
      </c>
      <c r="C81" t="s">
        <v>85</v>
      </c>
    </row>
    <row r="82" spans="1:12">
      <c r="B82" s="80"/>
    </row>
    <row r="83" spans="1:12">
      <c r="A83" t="s">
        <v>587</v>
      </c>
      <c r="B83">
        <f ca="1">(B84+B65)/B85</f>
        <v>4.2802970563400082</v>
      </c>
      <c r="C83" t="s">
        <v>594</v>
      </c>
    </row>
    <row r="84" spans="1:12">
      <c r="A84" s="140" t="s">
        <v>311</v>
      </c>
      <c r="B84" s="141">
        <f ca="1">B81+B72+B23</f>
        <v>12.896950580288028</v>
      </c>
      <c r="C84" s="140" t="s">
        <v>85</v>
      </c>
    </row>
    <row r="85" spans="1:12">
      <c r="A85" s="140" t="s">
        <v>312</v>
      </c>
      <c r="B85" s="141">
        <f>3.2</f>
        <v>3.2</v>
      </c>
      <c r="C85" s="140" t="s">
        <v>85</v>
      </c>
    </row>
    <row r="86" spans="1:12">
      <c r="A86" s="142"/>
      <c r="B86" s="142"/>
      <c r="C86" s="142"/>
      <c r="D86" s="142"/>
    </row>
    <row r="87" spans="1:12">
      <c r="A87" s="78" t="s">
        <v>315</v>
      </c>
    </row>
    <row r="88" spans="1:12">
      <c r="A88" t="s">
        <v>183</v>
      </c>
      <c r="B88" s="80">
        <f ca="1">'Moteur Etage 2'!B20</f>
        <v>50.718762065060659</v>
      </c>
      <c r="C88" t="s">
        <v>274</v>
      </c>
      <c r="K88" t="s">
        <v>666</v>
      </c>
      <c r="L88">
        <f>(B74-B85)/2/SIN(I96*PI()/180)</f>
        <v>0</v>
      </c>
    </row>
    <row r="89" spans="1:12">
      <c r="A89" t="s">
        <v>278</v>
      </c>
      <c r="B89">
        <f>B113/2</f>
        <v>1.7</v>
      </c>
      <c r="C89" t="s">
        <v>85</v>
      </c>
      <c r="D89" s="143"/>
      <c r="K89" t="s">
        <v>665</v>
      </c>
      <c r="L89">
        <f ca="1">2*((B138-B113)/2/(B103+B136)*B103)+B113</f>
        <v>3.4</v>
      </c>
    </row>
    <row r="90" spans="1:12">
      <c r="A90" t="s">
        <v>279</v>
      </c>
      <c r="B90">
        <f ca="1">B91/(PI()*B89^2)</f>
        <v>4.3683783943650702</v>
      </c>
      <c r="C90" t="s">
        <v>85</v>
      </c>
    </row>
    <row r="91" spans="1:12">
      <c r="A91" t="s">
        <v>280</v>
      </c>
      <c r="B91">
        <f ca="1">'Moteur Etage 2'!B20+B97-2*B93</f>
        <v>39.661393213610893</v>
      </c>
      <c r="C91" t="s">
        <v>274</v>
      </c>
      <c r="E91" t="s">
        <v>565</v>
      </c>
      <c r="F91">
        <f ca="1">B90+2*B92</f>
        <v>6.3313693096097978</v>
      </c>
      <c r="G91" t="s">
        <v>85</v>
      </c>
    </row>
    <row r="92" spans="1:12">
      <c r="A92" t="s">
        <v>282</v>
      </c>
      <c r="B92" s="80">
        <f>B113/2/SQRT(3)</f>
        <v>0.98149545762236379</v>
      </c>
      <c r="C92" t="s">
        <v>85</v>
      </c>
      <c r="D92" t="s">
        <v>588</v>
      </c>
    </row>
    <row r="93" spans="1:12">
      <c r="A93" t="s">
        <v>283</v>
      </c>
      <c r="B93">
        <f>4/3/2*PI()*(B113/2)^2*B92</f>
        <v>5.9407975176551409</v>
      </c>
      <c r="C93" t="s">
        <v>274</v>
      </c>
    </row>
    <row r="94" spans="1:12">
      <c r="A94" t="s">
        <v>566</v>
      </c>
      <c r="B94" s="80">
        <f ca="1">'Moteur Etage 2'!B28*0.8</f>
        <v>1.9885843339937594</v>
      </c>
      <c r="C94" t="s">
        <v>85</v>
      </c>
    </row>
    <row r="95" spans="1:12">
      <c r="A95" t="s">
        <v>184</v>
      </c>
      <c r="B95">
        <v>15</v>
      </c>
      <c r="C95" t="s">
        <v>98</v>
      </c>
      <c r="D95" t="s">
        <v>319</v>
      </c>
      <c r="I95" s="80">
        <f>ABS((B85-B113)/2)</f>
        <v>9.9999999999999867E-2</v>
      </c>
      <c r="J95" t="s">
        <v>85</v>
      </c>
    </row>
    <row r="96" spans="1:12">
      <c r="A96" t="s">
        <v>589</v>
      </c>
      <c r="B96">
        <f ca="1">0.2*'Moteur Etage 2'!B28*TAN('Moteur Etage 2'!B27)+'Moteur Etage 2'!B25/2</f>
        <v>0.98770710534321027</v>
      </c>
      <c r="C96" t="s">
        <v>85</v>
      </c>
      <c r="I96">
        <f>5</f>
        <v>5</v>
      </c>
      <c r="J96" t="s">
        <v>98</v>
      </c>
      <c r="K96">
        <f>ATAN(I95/(B109-B110))/PI()*180</f>
        <v>5.0000000000000009</v>
      </c>
    </row>
    <row r="97" spans="1:10">
      <c r="A97" t="s">
        <v>567</v>
      </c>
      <c r="B97">
        <f ca="1">0.2*'Moteur Etage 2'!B28/3*('Moteur Etage 2'!B23+PI()*Géométrie!B96^2+SQRT('Moteur Etage 2'!B23+PI()*Géométrie!B96^2))</f>
        <v>0.82422618386051993</v>
      </c>
      <c r="C97" t="s">
        <v>274</v>
      </c>
      <c r="I97">
        <f ca="1">B91+TAN(I96*PI()/180)*(B71+B69)*2</f>
        <v>48.994715944740641</v>
      </c>
      <c r="J97" t="s">
        <v>85</v>
      </c>
    </row>
    <row r="98" spans="1:10">
      <c r="A98" t="s">
        <v>592</v>
      </c>
      <c r="B98">
        <f ca="1">B90+2*B92</f>
        <v>6.3313693096097978</v>
      </c>
      <c r="C98" t="s">
        <v>85</v>
      </c>
      <c r="I98">
        <f ca="1">B84/COS(I96*PI()/180)</f>
        <v>12.946214836309307</v>
      </c>
      <c r="J98" t="s">
        <v>85</v>
      </c>
    </row>
    <row r="99" spans="1:10">
      <c r="I99">
        <f>B117/COS(I96*PI()/180)</f>
        <v>0</v>
      </c>
      <c r="J99" t="s">
        <v>85</v>
      </c>
    </row>
    <row r="100" spans="1:10">
      <c r="A100" s="104" t="s">
        <v>292</v>
      </c>
    </row>
    <row r="101" spans="1:10">
      <c r="A101" t="s">
        <v>110</v>
      </c>
      <c r="B101" s="80">
        <f ca="1">'Moteur Etage 2'!B26</f>
        <v>2.5065859641017854</v>
      </c>
      <c r="C101" t="s">
        <v>85</v>
      </c>
    </row>
    <row r="102" spans="1:10">
      <c r="A102" t="s">
        <v>186</v>
      </c>
      <c r="B102">
        <f ca="1">(B113-B101)/(2*TAN(B95*PI()/180))</f>
        <v>1.6671332870836508</v>
      </c>
      <c r="C102" t="s">
        <v>85</v>
      </c>
      <c r="D102" t="s">
        <v>185</v>
      </c>
      <c r="G102" t="s">
        <v>568</v>
      </c>
    </row>
    <row r="103" spans="1:10">
      <c r="A103" t="s">
        <v>187</v>
      </c>
      <c r="B103" s="80">
        <f ca="1">B94-B102+B92</f>
        <v>1.3029465045324724</v>
      </c>
      <c r="C103" t="s">
        <v>85</v>
      </c>
      <c r="D103" t="s">
        <v>188</v>
      </c>
      <c r="G103" t="s">
        <v>569</v>
      </c>
    </row>
    <row r="104" spans="1:10">
      <c r="A104" t="s">
        <v>570</v>
      </c>
      <c r="B104" s="80">
        <f ca="1">2*((B138-B113)/2/(B103+B136)*B103)+B113</f>
        <v>3.4</v>
      </c>
      <c r="C104" t="s">
        <v>85</v>
      </c>
      <c r="G104" t="s">
        <v>571</v>
      </c>
    </row>
    <row r="105" spans="1:10">
      <c r="G105" t="s">
        <v>572</v>
      </c>
    </row>
    <row r="106" spans="1:10">
      <c r="A106" s="104" t="s">
        <v>308</v>
      </c>
      <c r="G106" t="s">
        <v>573</v>
      </c>
    </row>
    <row r="107" spans="1:10">
      <c r="A107" t="s">
        <v>293</v>
      </c>
      <c r="B107">
        <f ca="1">B102</f>
        <v>1.6671332870836508</v>
      </c>
      <c r="C107" t="s">
        <v>85</v>
      </c>
      <c r="D107" t="s">
        <v>302</v>
      </c>
      <c r="E107">
        <f ca="1" xml:space="preserve"> B102</f>
        <v>1.6671332870836508</v>
      </c>
      <c r="F107" t="s">
        <v>85</v>
      </c>
    </row>
    <row r="108" spans="1:10">
      <c r="A108" t="s">
        <v>618</v>
      </c>
      <c r="B108">
        <f>(B113-B74)/2/SIN(I96*PI()/180)</f>
        <v>1.1473713245669841</v>
      </c>
      <c r="C108" t="s">
        <v>85</v>
      </c>
    </row>
    <row r="109" spans="1:10">
      <c r="A109" t="s">
        <v>187</v>
      </c>
      <c r="B109" s="80">
        <f>B92+0.4+B65</f>
        <v>2.181495457622364</v>
      </c>
      <c r="C109" t="s">
        <v>85</v>
      </c>
      <c r="D109" s="143"/>
    </row>
    <row r="110" spans="1:10">
      <c r="A110" t="s">
        <v>664</v>
      </c>
      <c r="B110" s="80">
        <f>B109-I95/TAN(I96*PI()/180)</f>
        <v>1.0384902273462313</v>
      </c>
      <c r="C110" t="s">
        <v>85</v>
      </c>
      <c r="D110" s="143" t="s">
        <v>667</v>
      </c>
    </row>
    <row r="111" spans="1:10">
      <c r="B111" s="80"/>
      <c r="D111" s="143"/>
    </row>
    <row r="112" spans="1:10">
      <c r="A112" t="s">
        <v>643</v>
      </c>
      <c r="B112">
        <f ca="1">(B114+B139-B109+B110)/B113</f>
        <v>4.7734673415472813</v>
      </c>
      <c r="C112" t="s">
        <v>64</v>
      </c>
    </row>
    <row r="113" spans="1:10">
      <c r="A113" s="140" t="s">
        <v>86</v>
      </c>
      <c r="B113" s="141">
        <f>3.4</f>
        <v>3.4</v>
      </c>
      <c r="C113" s="140" t="s">
        <v>85</v>
      </c>
    </row>
    <row r="114" spans="1:10">
      <c r="A114" s="140" t="s">
        <v>232</v>
      </c>
      <c r="B114" s="141">
        <f ca="1">B90+B109+B103</f>
        <v>7.8528203565199064</v>
      </c>
      <c r="C114" s="140" t="s">
        <v>85</v>
      </c>
    </row>
    <row r="115" spans="1:10">
      <c r="A115" t="s">
        <v>256</v>
      </c>
      <c r="B115" s="80">
        <f ca="1">B114/B113</f>
        <v>2.3096530460352667</v>
      </c>
      <c r="C115" t="s">
        <v>64</v>
      </c>
    </row>
    <row r="116" spans="1:10">
      <c r="A116" s="142"/>
      <c r="B116" s="142"/>
      <c r="C116" s="142"/>
      <c r="D116" s="142"/>
    </row>
    <row r="117" spans="1:10">
      <c r="A117" s="78" t="s">
        <v>314</v>
      </c>
      <c r="I117" s="80">
        <f>(B138-B113)/2</f>
        <v>0</v>
      </c>
      <c r="J117" t="s">
        <v>85</v>
      </c>
    </row>
    <row r="118" spans="1:10">
      <c r="A118" t="s">
        <v>183</v>
      </c>
      <c r="B118" s="80">
        <f ca="1">'Moteur Etage 1'!B26</f>
        <v>56.173053719402901</v>
      </c>
      <c r="C118" t="s">
        <v>274</v>
      </c>
      <c r="D118" s="143"/>
      <c r="I118">
        <f ca="1">ATAN(I117/(B103+B136))/PI()*180</f>
        <v>0</v>
      </c>
      <c r="J118" t="s">
        <v>98</v>
      </c>
    </row>
    <row r="119" spans="1:10">
      <c r="A119" t="s">
        <v>278</v>
      </c>
      <c r="B119">
        <f>B138/2</f>
        <v>1.7</v>
      </c>
      <c r="C119" t="s">
        <v>85</v>
      </c>
      <c r="I119">
        <f ca="1">B113+TAN(I118*PI()/180)*(B94+B92)*2</f>
        <v>3.4</v>
      </c>
      <c r="J119" t="s">
        <v>85</v>
      </c>
    </row>
    <row r="120" spans="1:10">
      <c r="A120" t="s">
        <v>279</v>
      </c>
      <c r="B120">
        <f ca="1">B121/(PI()*B119^2)</f>
        <v>4.9291384583513649</v>
      </c>
      <c r="C120" t="s">
        <v>85</v>
      </c>
      <c r="I120">
        <f ca="1">B103/COS(I118*PI()/180)</f>
        <v>1.3029465045324724</v>
      </c>
      <c r="J120" t="s">
        <v>85</v>
      </c>
    </row>
    <row r="121" spans="1:10">
      <c r="A121" t="s">
        <v>280</v>
      </c>
      <c r="B121">
        <f ca="1">B118+B127-2*B123</f>
        <v>44.7526475392295</v>
      </c>
      <c r="C121" t="s">
        <v>274</v>
      </c>
      <c r="I121">
        <f ca="1">B136/COS(I118*PI()/180)</f>
        <v>2.7486287447060147</v>
      </c>
      <c r="J121" t="s">
        <v>85</v>
      </c>
    </row>
    <row r="122" spans="1:10">
      <c r="A122" t="s">
        <v>282</v>
      </c>
      <c r="B122" s="80">
        <f>B119/SQRT(3)</f>
        <v>0.98149545762236379</v>
      </c>
      <c r="C122" t="s">
        <v>85</v>
      </c>
      <c r="D122" t="s">
        <v>588</v>
      </c>
      <c r="E122" t="s">
        <v>565</v>
      </c>
      <c r="F122">
        <f ca="1">B120+B122*2</f>
        <v>6.8921293735960925</v>
      </c>
      <c r="G122" t="s">
        <v>85</v>
      </c>
    </row>
    <row r="123" spans="1:10">
      <c r="A123" t="s">
        <v>283</v>
      </c>
      <c r="B123">
        <f xml:space="preserve"> 4/3/2*PI()*B119^2*B122</f>
        <v>5.9407975176551409</v>
      </c>
      <c r="C123" t="s">
        <v>274</v>
      </c>
    </row>
    <row r="124" spans="1:10">
      <c r="A124" t="s">
        <v>591</v>
      </c>
      <c r="B124" s="80">
        <f ca="1">'Moteur Etage 1'!B33*0.8</f>
        <v>2.1513260764462743</v>
      </c>
      <c r="C124" t="s">
        <v>85</v>
      </c>
    </row>
    <row r="125" spans="1:10">
      <c r="A125" t="s">
        <v>184</v>
      </c>
      <c r="B125">
        <f>15</f>
        <v>15</v>
      </c>
      <c r="C125" t="s">
        <v>98</v>
      </c>
      <c r="D125" t="s">
        <v>185</v>
      </c>
    </row>
    <row r="126" spans="1:10">
      <c r="A126" t="s">
        <v>589</v>
      </c>
      <c r="B126">
        <f ca="1">0.2*'Moteur Etage 1'!B33*TAN('Moteur Etage 1'!B32)+'Moteur Etage 1'!B30/2</f>
        <v>0.50975915786289006</v>
      </c>
      <c r="C126" t="s">
        <v>85</v>
      </c>
    </row>
    <row r="127" spans="1:10">
      <c r="A127" t="s">
        <v>567</v>
      </c>
      <c r="B127">
        <f ca="1">0.2*'Moteur Etage 1'!B33/3*('Moteur Etage 1'!B28+PI()*Géométrie!B126^2+SQRT('Moteur Etage 1'!B28+PI()*Géométrie!B126^2))</f>
        <v>0.4611888551368809</v>
      </c>
      <c r="C127" t="s">
        <v>274</v>
      </c>
    </row>
    <row r="128" spans="1:10">
      <c r="A128" t="s">
        <v>592</v>
      </c>
      <c r="B128">
        <f ca="1">B120+2*B122</f>
        <v>6.8921293735960925</v>
      </c>
      <c r="C128" t="s">
        <v>85</v>
      </c>
    </row>
    <row r="130" spans="1:6">
      <c r="A130" s="104" t="s">
        <v>292</v>
      </c>
    </row>
    <row r="131" spans="1:6">
      <c r="A131" t="s">
        <v>110</v>
      </c>
      <c r="B131" s="80">
        <f ca="1">'Moteur Etage 1'!B31</f>
        <v>2.7083615584806227</v>
      </c>
      <c r="C131" t="s">
        <v>85</v>
      </c>
    </row>
    <row r="132" spans="1:6">
      <c r="A132" t="s">
        <v>186</v>
      </c>
      <c r="B132">
        <f ca="1">(B138-B131)/(2*TAN(B125*PI()/180))</f>
        <v>1.2906149021090358</v>
      </c>
      <c r="C132" t="s">
        <v>85</v>
      </c>
      <c r="D132" t="s">
        <v>185</v>
      </c>
    </row>
    <row r="133" spans="1:6">
      <c r="A133" t="s">
        <v>187</v>
      </c>
      <c r="B133" s="80">
        <f ca="1">B124-B132+B122</f>
        <v>1.8422066319596022</v>
      </c>
      <c r="C133" t="s">
        <v>85</v>
      </c>
      <c r="F133" s="80"/>
    </row>
    <row r="134" spans="1:6">
      <c r="F134" s="80"/>
    </row>
    <row r="135" spans="1:6">
      <c r="A135" s="104" t="s">
        <v>308</v>
      </c>
      <c r="F135" s="80"/>
    </row>
    <row r="136" spans="1:6">
      <c r="A136" t="s">
        <v>187</v>
      </c>
      <c r="B136" s="80">
        <f ca="1">0.1+B107+B122</f>
        <v>2.7486287447060147</v>
      </c>
      <c r="C136" t="s">
        <v>85</v>
      </c>
      <c r="D136" t="s">
        <v>574</v>
      </c>
    </row>
    <row r="137" spans="1:6">
      <c r="B137" s="80"/>
    </row>
    <row r="138" spans="1:6">
      <c r="A138" s="140" t="s">
        <v>86</v>
      </c>
      <c r="B138" s="141">
        <v>3.4</v>
      </c>
      <c r="C138" s="140" t="s">
        <v>85</v>
      </c>
    </row>
    <row r="139" spans="1:6">
      <c r="A139" s="140" t="s">
        <v>233</v>
      </c>
      <c r="B139" s="141">
        <f ca="1">B120+B133+B136</f>
        <v>9.519973835016982</v>
      </c>
      <c r="C139" s="140" t="s">
        <v>85</v>
      </c>
      <c r="D139" t="s">
        <v>590</v>
      </c>
    </row>
    <row r="140" spans="1:6">
      <c r="A140" t="s">
        <v>256</v>
      </c>
      <c r="B140" s="80">
        <f ca="1">B139/B138</f>
        <v>2.7999923044167594</v>
      </c>
      <c r="C140" t="s">
        <v>64</v>
      </c>
    </row>
    <row r="141" spans="1:6">
      <c r="A141" s="142"/>
      <c r="B141" s="142"/>
      <c r="C141" s="142"/>
      <c r="D141" s="142"/>
    </row>
    <row r="142" spans="1:6">
      <c r="A142" s="78" t="s">
        <v>175</v>
      </c>
      <c r="B142" s="108">
        <f ca="1">B139+B114+B2+B84+B16+B132</f>
        <v>41.09405067393395</v>
      </c>
      <c r="C142" s="78" t="s">
        <v>85</v>
      </c>
    </row>
    <row r="143" spans="1:6">
      <c r="A143" s="78" t="s">
        <v>298</v>
      </c>
      <c r="B143" s="78">
        <f ca="1">B142/B3</f>
        <v>9.9924743280082549</v>
      </c>
      <c r="C143" s="78" t="s">
        <v>64</v>
      </c>
      <c r="D143" t="s">
        <v>299</v>
      </c>
    </row>
  </sheetData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20" enableFormatConditionsCalculation="0"/>
  <dimension ref="A1:BI44"/>
  <sheetViews>
    <sheetView zoomScale="85" zoomScaleNormal="85" workbookViewId="0">
      <selection activeCell="D7" sqref="D7"/>
    </sheetView>
  </sheetViews>
  <sheetFormatPr baseColWidth="10" defaultRowHeight="12.75"/>
  <cols>
    <col min="1" max="1" width="24.625" bestFit="1" customWidth="1"/>
    <col min="2" max="2" width="14.375" bestFit="1" customWidth="1"/>
    <col min="3" max="3" width="6.75" hidden="1" customWidth="1"/>
    <col min="11" max="11" width="10.75" customWidth="1"/>
    <col min="16" max="16" width="0" hidden="1" customWidth="1"/>
    <col min="49" max="49" width="12.75" customWidth="1"/>
    <col min="50" max="50" width="11.875" customWidth="1"/>
  </cols>
  <sheetData>
    <row r="1" spans="1:61" ht="13.5" thickBot="1">
      <c r="A1" s="104" t="s">
        <v>247</v>
      </c>
      <c r="B1">
        <f>Géométrie!B6^2*PI()/4</f>
        <v>8.5012282604303202</v>
      </c>
      <c r="D1" t="s">
        <v>112</v>
      </c>
    </row>
    <row r="2" spans="1:61" ht="14.25">
      <c r="A2" s="104" t="s">
        <v>263</v>
      </c>
      <c r="B2">
        <f>Géométrie!B7</f>
        <v>4.0999999999999996</v>
      </c>
      <c r="D2" t="s">
        <v>85</v>
      </c>
      <c r="I2" t="s">
        <v>681</v>
      </c>
      <c r="J2" s="80">
        <f ca="1">Géométrie!B16+Géométrie!B84</f>
        <v>13.896950580288028</v>
      </c>
      <c r="K2" t="s">
        <v>85</v>
      </c>
      <c r="Z2" t="s">
        <v>650</v>
      </c>
      <c r="AH2" t="s">
        <v>649</v>
      </c>
      <c r="AI2" t="s">
        <v>662</v>
      </c>
      <c r="AL2" t="s">
        <v>682</v>
      </c>
      <c r="AM2" s="80">
        <f ca="1">Géométrie!B114-Géométrie!B109+Géométrie!B110+Géométrie!B139</f>
        <v>16.229788961260756</v>
      </c>
      <c r="AN2" t="s">
        <v>85</v>
      </c>
      <c r="BB2" s="201" t="s">
        <v>592</v>
      </c>
      <c r="BC2" s="202"/>
      <c r="BD2" s="202"/>
      <c r="BE2" s="203"/>
    </row>
    <row r="3" spans="1:61" ht="15" thickBot="1">
      <c r="A3" t="s">
        <v>260</v>
      </c>
      <c r="B3" t="s">
        <v>261</v>
      </c>
      <c r="BB3" s="204">
        <v>40</v>
      </c>
      <c r="BC3" s="205" t="s">
        <v>85</v>
      </c>
      <c r="BD3" s="206" t="s">
        <v>619</v>
      </c>
      <c r="BE3" s="207"/>
    </row>
    <row r="4" spans="1:61">
      <c r="A4" s="146" t="s">
        <v>257</v>
      </c>
      <c r="B4">
        <f>Géométrie!B8</f>
        <v>0.27493252591026274</v>
      </c>
      <c r="AY4" t="s">
        <v>678</v>
      </c>
    </row>
    <row r="5" spans="1:61">
      <c r="A5" s="132"/>
      <c r="B5" s="258" t="s">
        <v>680</v>
      </c>
      <c r="C5" s="256"/>
      <c r="D5" s="256"/>
      <c r="E5" s="256"/>
      <c r="F5" s="257"/>
      <c r="G5" s="221"/>
      <c r="H5" s="219" t="s">
        <v>679</v>
      </c>
      <c r="I5" s="219"/>
      <c r="J5" s="220"/>
      <c r="K5" s="253" t="s">
        <v>268</v>
      </c>
      <c r="L5" s="253"/>
      <c r="M5" s="253"/>
      <c r="N5" s="253"/>
      <c r="O5" s="252" t="s">
        <v>267</v>
      </c>
      <c r="P5" s="253"/>
      <c r="Q5" s="254"/>
      <c r="R5" s="254"/>
      <c r="S5" s="255"/>
      <c r="T5" s="164"/>
      <c r="U5" s="165" t="s">
        <v>621</v>
      </c>
      <c r="V5" s="164"/>
      <c r="W5" s="164"/>
      <c r="X5" s="258" t="s">
        <v>641</v>
      </c>
      <c r="Y5" s="256"/>
      <c r="Z5" s="256"/>
      <c r="AA5" s="257"/>
      <c r="AB5" s="256" t="s">
        <v>259</v>
      </c>
      <c r="AC5" s="256"/>
      <c r="AD5" s="256"/>
      <c r="AE5" s="256"/>
      <c r="AF5" s="258" t="s">
        <v>623</v>
      </c>
      <c r="AG5" s="256"/>
      <c r="AH5" s="256"/>
      <c r="AI5" s="257"/>
      <c r="AJ5" s="258" t="s">
        <v>180</v>
      </c>
      <c r="AK5" s="256"/>
      <c r="AL5" s="256"/>
      <c r="AM5" s="257"/>
      <c r="AN5" s="259" t="s">
        <v>622</v>
      </c>
      <c r="AO5" s="260"/>
      <c r="AP5" s="260"/>
      <c r="AQ5" s="261"/>
      <c r="AR5" s="256" t="s">
        <v>189</v>
      </c>
      <c r="AS5" s="256"/>
      <c r="AT5" s="256"/>
      <c r="AU5" s="257"/>
      <c r="AV5" s="197" t="s">
        <v>648</v>
      </c>
      <c r="AW5" s="214" t="s">
        <v>655</v>
      </c>
      <c r="AX5" s="134"/>
    </row>
    <row r="6" spans="1:61">
      <c r="A6" s="133" t="s">
        <v>213</v>
      </c>
      <c r="B6" s="192" t="s">
        <v>265</v>
      </c>
      <c r="C6" s="167" t="s">
        <v>252</v>
      </c>
      <c r="D6" s="185" t="s">
        <v>206</v>
      </c>
      <c r="E6" s="185" t="s">
        <v>242</v>
      </c>
      <c r="F6" s="198" t="s">
        <v>264</v>
      </c>
      <c r="G6" s="192" t="s">
        <v>265</v>
      </c>
      <c r="H6" s="185" t="s">
        <v>206</v>
      </c>
      <c r="I6" s="185" t="s">
        <v>242</v>
      </c>
      <c r="J6" s="198" t="s">
        <v>264</v>
      </c>
      <c r="K6" s="224" t="s">
        <v>265</v>
      </c>
      <c r="L6" s="224" t="s">
        <v>206</v>
      </c>
      <c r="M6" s="224" t="s">
        <v>242</v>
      </c>
      <c r="N6" s="224" t="s">
        <v>264</v>
      </c>
      <c r="O6" s="225" t="s">
        <v>265</v>
      </c>
      <c r="P6" s="226" t="s">
        <v>252</v>
      </c>
      <c r="Q6" s="226" t="s">
        <v>206</v>
      </c>
      <c r="R6" s="226" t="s">
        <v>242</v>
      </c>
      <c r="S6" s="227" t="s">
        <v>264</v>
      </c>
      <c r="T6" s="166" t="s">
        <v>265</v>
      </c>
      <c r="U6" s="167" t="s">
        <v>206</v>
      </c>
      <c r="V6" s="167" t="s">
        <v>242</v>
      </c>
      <c r="W6" s="168" t="s">
        <v>264</v>
      </c>
      <c r="X6" s="208" t="s">
        <v>265</v>
      </c>
      <c r="Y6" s="185" t="s">
        <v>206</v>
      </c>
      <c r="Z6" s="185" t="s">
        <v>242</v>
      </c>
      <c r="AA6" s="209" t="s">
        <v>264</v>
      </c>
      <c r="AB6" s="210" t="s">
        <v>265</v>
      </c>
      <c r="AC6" s="186" t="s">
        <v>206</v>
      </c>
      <c r="AD6" s="134" t="s">
        <v>242</v>
      </c>
      <c r="AE6" s="210" t="s">
        <v>264</v>
      </c>
      <c r="AF6" s="192" t="s">
        <v>477</v>
      </c>
      <c r="AG6" s="185" t="s">
        <v>206</v>
      </c>
      <c r="AH6" s="185" t="s">
        <v>242</v>
      </c>
      <c r="AI6" s="198" t="s">
        <v>478</v>
      </c>
      <c r="AJ6" s="186" t="s">
        <v>265</v>
      </c>
      <c r="AK6" s="186" t="s">
        <v>206</v>
      </c>
      <c r="AL6" s="186" t="s">
        <v>242</v>
      </c>
      <c r="AM6" s="186" t="s">
        <v>264</v>
      </c>
      <c r="AN6" s="238" t="s">
        <v>265</v>
      </c>
      <c r="AO6" s="239" t="s">
        <v>206</v>
      </c>
      <c r="AP6" s="239" t="s">
        <v>242</v>
      </c>
      <c r="AQ6" s="240" t="s">
        <v>264</v>
      </c>
      <c r="AR6" s="208" t="s">
        <v>265</v>
      </c>
      <c r="AS6" s="185" t="s">
        <v>206</v>
      </c>
      <c r="AT6" s="167" t="s">
        <v>242</v>
      </c>
      <c r="AU6" s="209" t="s">
        <v>264</v>
      </c>
      <c r="AV6" s="211" t="s">
        <v>206</v>
      </c>
      <c r="AW6" s="215" t="s">
        <v>206</v>
      </c>
      <c r="AX6" s="134"/>
      <c r="AY6" s="188" t="s">
        <v>620</v>
      </c>
      <c r="AZ6" s="186" t="s">
        <v>427</v>
      </c>
      <c r="BA6" s="188" t="s">
        <v>657</v>
      </c>
      <c r="BC6" s="188" t="s">
        <v>668</v>
      </c>
      <c r="BD6" s="223" t="s">
        <v>669</v>
      </c>
      <c r="BE6" s="188" t="s">
        <v>670</v>
      </c>
      <c r="BG6" s="188" t="s">
        <v>671</v>
      </c>
      <c r="BH6" s="223" t="s">
        <v>669</v>
      </c>
      <c r="BI6" s="188" t="s">
        <v>672</v>
      </c>
    </row>
    <row r="7" spans="1:61">
      <c r="A7" s="87">
        <v>0.5</v>
      </c>
      <c r="B7" s="41">
        <f>('Tableaux aéro'!U5)*PI()*Géométrie!$B$3^2/4/$B$1</f>
        <v>2.2232451022060324</v>
      </c>
      <c r="C7" s="41">
        <f>'Tableaux aéro'!M75*A7*Géométrie!$B$2</f>
        <v>79586663.233899191</v>
      </c>
      <c r="D7" s="41">
        <f>'Tableaux aéro'!J5*PI()*Géométrie!$B$3^2/4/$B$1</f>
        <v>0.10481672189859881</v>
      </c>
      <c r="E7" s="41">
        <f>Géométrie!$F$13-('Tableaux aéro'!AE5)*Géométrie!$B$3</f>
        <v>1.991211641164063</v>
      </c>
      <c r="F7" s="85">
        <f>B7*E7/$B$2</f>
        <v>1.0797442752862534</v>
      </c>
      <c r="G7" s="41" t="e">
        <f ca="1">([1]!InterpCn(Géométrie!$B$4,$A7,Géométrie!$B$18)-[1]!InterpCn(Géométrie!$B$4,$A7,0))*PI()*Géométrie!$B$3^2/4/$B$1</f>
        <v>#NAME?</v>
      </c>
      <c r="H7" s="241">
        <f ca="1">'Tableaux aéro'!P75</f>
        <v>1.3453858751135521E-2</v>
      </c>
      <c r="I7" s="41" t="e">
        <f ca="1">J7/G7*$B$2</f>
        <v>#NAME?</v>
      </c>
      <c r="J7" s="41" t="e">
        <f ca="1">([1]!InterpCm(Géométrie!$B$4,$A7,Géométrie!$B$18)-[1]!InterpCm(Géométrie!$B$4,$A7,0))*PI()*Géométrie!$B$3^2/4/$B$1*$J$2/$B$2+G7*(Géométrie!$F$13-Géométrie!$B$3/(2*TAN(Géométrie!$B$4*PI()/180)))*1/$B$2</f>
        <v>#NAME?</v>
      </c>
      <c r="K7" s="228">
        <f>'Tableaux aéro'!L5*PI()/180*PI()*Géométrie!$B$3^2/4/$B$1</f>
        <v>4.3223520382511912E-2</v>
      </c>
      <c r="L7" s="228">
        <f>'Tableaux aéro'!B5*PI()*Géométrie!$B$3^2/4/$B$1</f>
        <v>4.1873693749999996E-2</v>
      </c>
      <c r="M7" s="228">
        <f>'Tableaux aéro'!W5*Géométrie!$B$3</f>
        <v>4.0672462866021437</v>
      </c>
      <c r="N7" s="228">
        <f>K7*(M7-Géométrie!$F$12)/$B$2</f>
        <v>4.2878220187717968E-2</v>
      </c>
      <c r="O7" s="229">
        <f>[1]!InterpCn(10,$A7,Géométrie!$F$13/Géométrie!$B$3)*Géométrie!$B$3^2*PI()/4/$B$1</f>
        <v>6.0548727203647394E-2</v>
      </c>
      <c r="P7" s="228">
        <f>'Tableaux aéro'!M75*A7*Géométrie!$F$13</f>
        <v>40317038.097599998</v>
      </c>
      <c r="Q7" s="228">
        <f>0.445/POWER(LOG(P7),2.58)/POWER(1+0.15*A7^2,0.58)*Géométrie!$B$10/$B$1</f>
        <v>1.1586738920676867E-2</v>
      </c>
      <c r="R7" s="228"/>
      <c r="S7" s="228">
        <f>[1]!InterpCm(10,$A7,Géométrie!$F$13/Géométrie!$B$3)*Géométrie!$B$3^2*PI()/4/$B$1</f>
        <v>-8.9785999240121553E-2</v>
      </c>
      <c r="T7" s="189"/>
      <c r="U7" s="175"/>
      <c r="V7" s="175"/>
      <c r="W7" s="193"/>
      <c r="X7" s="175"/>
      <c r="Y7" s="41">
        <f>[2]!interpol(A7,'[3]CA basé sur Ariane 3'!$A$6:$A$23,'[3]CA basé sur Ariane 3'!$B$6:$B$23)*PI()*Géométrie!$B$3^2/4/$B$1</f>
        <v>1.1461073670299636E-2</v>
      </c>
      <c r="Z7" s="222">
        <f>0.6*Géométrie!$B$81+Géométrie!$B$16+Géométrie!$B$2</f>
        <v>10.332515798803174</v>
      </c>
      <c r="AA7" s="193"/>
      <c r="AB7" s="189"/>
      <c r="AC7" s="85">
        <f ca="1">'Tableaux aéro'!R75</f>
        <v>3.7152439824393972E-2</v>
      </c>
      <c r="AD7" s="216">
        <f>R7-M7</f>
        <v>-4.0672462866021437</v>
      </c>
      <c r="AE7" s="175"/>
      <c r="AF7" s="83">
        <f>[2]!interpol(A7,[4]jupA_data!$A$2:$A$10,[4]jupA_data!$B$2:$B$10)*PI()*(Géométrie!$B$113^2-Géométrie!$B$85^2)/$B$1*COS(Géométrie!$I$96*PI()/180)^2/100</f>
        <v>1.9847894160811598E-2</v>
      </c>
      <c r="AG7" s="85">
        <f>'Tableaux aéro'!N43</f>
        <v>5.8682535353317619E-3</v>
      </c>
      <c r="AH7" s="236">
        <f ca="1">0.4*(Géométrie!$B$109-Géométrie!$B$110)+Géométrie!$B$84+Géométrie!$B$16+Géométrie!$B$3</f>
        <v>18.466652672398482</v>
      </c>
      <c r="AI7" s="85">
        <f ca="1">AF7*(AH7)/$B$2</f>
        <v>8.9396138474691147E-2</v>
      </c>
      <c r="AJ7" s="83" t="e">
        <f ca="1">([1]!InterpCn(Géométrie!$I$96,$A7,Géométrie!$B$112)-[1]!InterpCn(Géométrie!$I$96,$A7,0))*PI()*Géométrie!$B$113^2/4</f>
        <v>#NAME?</v>
      </c>
      <c r="AK7" s="85">
        <f ca="1">'Tableaux aéro'!W75</f>
        <v>1.1543246333918625E-2</v>
      </c>
      <c r="AL7" s="85" t="e">
        <f ca="1">AM7/AJ7*$B$2</f>
        <v>#NAME?</v>
      </c>
      <c r="AM7" s="86" t="e">
        <f ca="1">(([1]!InterpCm(Géométrie!$I$96,$A7,Géométrie!$B$112)-[1]!InterpCm(Géométrie!$I$96,$A7,0))*PI()*Géométrie!$B$113^2/4/$B$1*$AM$2/$B$2)+AJ7*(-Géométrie!$B$113/2/TAN(Géométrie!$I$96*PI()/180)+Géométrie!$B$2+Géométrie!$B$16+Géométrie!$B$84+Géométrie!$B$109-Géométrie!$B$110)/$B$2</f>
        <v>#NAME?</v>
      </c>
      <c r="AN7" s="175"/>
      <c r="AO7" s="216">
        <f>[2]!interpol(A7,'[3]CA basé sur Ariane 3'!$A$6:$A$23,'[3]CA basé sur Ariane 3'!$B$6:$B$23)</f>
        <v>7.3350871489917683E-3</v>
      </c>
      <c r="AP7" s="216">
        <f ca="1">0.6*(Géométrie!$B$103+Géométrie!$B$136)+Géométrie!$B$16+Géométrie!$B$13+Géométrie!$B$2+Géométrie!$B$84-Géométrie!$B$103</f>
        <v>23.85864022529865</v>
      </c>
      <c r="AQ7" s="193"/>
      <c r="AR7" s="175"/>
      <c r="AS7" s="85">
        <f ca="1">'Tableaux aéro'!Y75</f>
        <v>1.7569044853678027E-2</v>
      </c>
      <c r="AT7" s="216">
        <f>R7-M7</f>
        <v>-4.0672462866021437</v>
      </c>
      <c r="AU7" s="193"/>
      <c r="AV7" s="212">
        <f ca="1">-'Tableaux aéro'!B113*('Tableaux aéro'!$E$112-'Tableaux aéro'!$E$113)/Aerodynamique!$B$1</f>
        <v>5.8546821470760756E-2</v>
      </c>
      <c r="AW7" s="212">
        <f ca="1">'Tableaux aéro'!S75</f>
        <v>0.10278499091823941</v>
      </c>
      <c r="AX7" s="75"/>
      <c r="AY7">
        <f ca="1">AS7+AK7+AG7+AC7+Y7+D7</f>
        <v>0.18841078011622084</v>
      </c>
      <c r="AZ7">
        <f ca="1">(AY7-AV7-'Tableaux aéro'!J5)/AW7</f>
        <v>0.61080179187150341</v>
      </c>
      <c r="BA7">
        <f ca="1">'Tableaux aéro'!J5+'Tableaux aéro'!T75*AZ7</f>
        <v>0.13017399593279755</v>
      </c>
      <c r="BC7" t="e">
        <f ca="1">AJ7+AF7+B7</f>
        <v>#NAME?</v>
      </c>
      <c r="BD7" t="e">
        <f ca="1">(BC7-'Tableaux aéro'!U5)/(([1]!InterpCn(Géométrie!$B$4,$A7,(Géométrie!$B$142-Géométrie!$B$132)/Géométrie!$B$3)-[1]!InterpCn(Géométrie!$B$4,$A7,0))*PI()*Géométrie!$B$3^2/4/$B$1)</f>
        <v>#NAME?</v>
      </c>
      <c r="BE7" t="e">
        <f ca="1">'Tableaux aéro'!U5+(([1]!InterpCn(Géométrie!$B$4,$A7,$BB$3/Géométrie!$B$3)-[1]!InterpCn(Géométrie!$B$4,$A7,0))*PI()*Géométrie!$B$3^2/4/$B$1)*BD7</f>
        <v>#NAME?</v>
      </c>
      <c r="BG7" t="e">
        <f ca="1">AM7+AI7+F7</f>
        <v>#NAME?</v>
      </c>
      <c r="BH7" t="e">
        <f ca="1">(BG7-'Tableaux aéro'!U5*'Tableaux aéro'!AE5/$B$2)/(([1]!InterpCm(Géométrie!$B$4,$A7,(Géométrie!$B$142-Géométrie!$B$132)/Géométrie!$B$3)-[1]!InterpCm(Géométrie!$B$4,$A7,0))*PI()*Géométrie!$B$3^2/4/$B$1)</f>
        <v>#NAME?</v>
      </c>
      <c r="BI7" t="e">
        <f ca="1">'Tableaux aéro'!U5*'Tableaux aéro'!AE5/$B$2+BH7*(([1]!InterpCm(Géométrie!$B$4,$A7,$BB$3/Géométrie!$B$3)-[1]!InterpCm(Géométrie!$B$4,$A7,0))*PI()*Géométrie!$B$3^2/4/$B$1)</f>
        <v>#NAME?</v>
      </c>
    </row>
    <row r="8" spans="1:61">
      <c r="A8" s="87">
        <v>0.6</v>
      </c>
      <c r="B8" s="41">
        <f>('Tableaux aéro'!U6)*PI()*Géométrie!$B$3^2/4/$B$1</f>
        <v>2.2814455838362555</v>
      </c>
      <c r="C8" s="41">
        <f>'Tableaux aéro'!M76*A8*Géométrie!$B$2</f>
        <v>91246500.575233907</v>
      </c>
      <c r="D8" s="41">
        <f>'Tableaux aéro'!J6*PI()*Géométrie!$B$3^2/4/$B$1</f>
        <v>0.12542736935962254</v>
      </c>
      <c r="E8" s="41">
        <f>Géométrie!$F$13-('Tableaux aéro'!AE6)*Géométrie!$B$3</f>
        <v>2.0188248089137173</v>
      </c>
      <c r="F8" s="41">
        <f t="shared" ref="F8:F39" si="0">B8*E8/$B$2</f>
        <v>1.123375352398847</v>
      </c>
      <c r="G8" s="41" t="e">
        <f ca="1">([1]!InterpCn(Géométrie!$B$4,$A8,Géométrie!$B$18)-[1]!InterpCn(Géométrie!$B$4,$A8,0))*PI()*Géométrie!$B$3^2/4/$B$1</f>
        <v>#NAME?</v>
      </c>
      <c r="H8" s="241">
        <f ca="1">'Tableaux aéro'!P76</f>
        <v>1.3096288046632881E-2</v>
      </c>
      <c r="I8" s="41" t="e">
        <f t="shared" ref="I8:I40" ca="1" si="1">J8/G8*$B$2</f>
        <v>#NAME?</v>
      </c>
      <c r="J8" s="41" t="e">
        <f ca="1">([1]!InterpCm(Géométrie!$B$4,$A8,Géométrie!$B$18)-[1]!InterpCm(Géométrie!$B$4,$A8,0))*PI()*Géométrie!$B$3^2/4/$B$1*$J$2/$B$2+G8*(Géométrie!$F$13-Géométrie!$B$3/(2*TAN(Géométrie!$B$4*PI()/180)))*1/$B$2</f>
        <v>#NAME?</v>
      </c>
      <c r="K8" s="230">
        <f>'Tableaux aéro'!L6*PI()/180*PI()*Géométrie!$B$3^2/4/$B$1</f>
        <v>4.4337119901291334E-2</v>
      </c>
      <c r="L8" s="230">
        <f>'Tableaux aéro'!B6*PI()*Géométrie!$B$3^2/4/$B$1</f>
        <v>5.2531328124999992E-2</v>
      </c>
      <c r="M8" s="230">
        <f>'Tableaux aéro'!W6*Géométrie!$B$3</f>
        <v>4.0302134396658387</v>
      </c>
      <c r="N8" s="230">
        <f>K8*(M8-Géométrie!$F$12)/$B$2</f>
        <v>4.3582452805429286E-2</v>
      </c>
      <c r="O8" s="231">
        <f>[1]!InterpCn(10,$A8,Géométrie!$F$13/Géométrie!$B$3)*Géométrie!$B$3^2*PI()/4/Aerodynamique!$B$1</f>
        <v>6.0548727203647394E-2</v>
      </c>
      <c r="P8" s="230">
        <f>'Tableaux aéro'!M76*A8*Géométrie!$F$13</f>
        <v>46223682.341760002</v>
      </c>
      <c r="Q8" s="230">
        <f>0.445/POWER(LOG(P8),2.58)/POWER(1+0.15*A8^2,0.58)*Géométrie!$B$10/$B$1</f>
        <v>1.125312572234218E-2</v>
      </c>
      <c r="R8" s="230"/>
      <c r="S8" s="230">
        <f>[1]!InterpCm(10,$A8,Géométrie!$F$13/Géométrie!$B$3)*Géométrie!$B$3^2*PI()/4/$B$1</f>
        <v>-8.9785999240121553E-2</v>
      </c>
      <c r="T8" s="190"/>
      <c r="U8" s="176"/>
      <c r="V8" s="176"/>
      <c r="W8" s="194"/>
      <c r="X8" s="176"/>
      <c r="Y8" s="41">
        <f>[2]!interpol(A8,'[3]CA basé sur Ariane 3'!$A$6:$A$23,'[3]CA basé sur Ariane 3'!$B$6:$B$23)*PI()*Géométrie!$B$3^2/4/$B$1</f>
        <v>1.5272699313793568E-2</v>
      </c>
      <c r="Z8" s="222">
        <f>0.6*Géométrie!$B$81+Géométrie!$B$16+Géométrie!$B$2</f>
        <v>10.332515798803174</v>
      </c>
      <c r="AA8" s="194"/>
      <c r="AB8" s="190"/>
      <c r="AC8" s="41">
        <f ca="1">'Tableaux aéro'!R76</f>
        <v>3.6165018718840945E-2</v>
      </c>
      <c r="AD8" s="217">
        <f t="shared" ref="AD8:AD40" si="2">R8-M8</f>
        <v>-4.0302134396658387</v>
      </c>
      <c r="AE8" s="176"/>
      <c r="AF8" s="87">
        <f>[2]!interpol(A8,[4]jupA_data!$A$2:$A$10,[4]jupA_data!$B$2:$B$10)*PI()*(Géométrie!$B$113^2-Géométrie!$B$85^2)/$B$1*COS(Géométrie!$I$96*PI()/180)^2/100</f>
        <v>1.9363799181279614E-2</v>
      </c>
      <c r="AG8" s="41">
        <f>'Tableaux aéro'!N44</f>
        <v>6.341939631034809E-3</v>
      </c>
      <c r="AH8" s="41">
        <f ca="1">0.4*(Géométrie!$B$109-Géométrie!$B$110)+Géométrie!$B$84+Géométrie!$B$16+Géométrie!$B$3</f>
        <v>18.466652672398482</v>
      </c>
      <c r="AI8" s="41">
        <f t="shared" ref="AI8:AI40" ca="1" si="3">AF8*(AH8)/$B$2</f>
        <v>8.7215744853357258E-2</v>
      </c>
      <c r="AJ8" s="87" t="e">
        <f ca="1">([1]!InterpCn(Géométrie!$I$96,$A8,Géométrie!$B$112)-[1]!InterpCn(Géométrie!$I$96,$A8,0))*PI()*Géométrie!$B$113^2/4</f>
        <v>#NAME?</v>
      </c>
      <c r="AK8" s="41">
        <f ca="1">'Tableaux aéro'!W76</f>
        <v>1.1236455040787319E-2</v>
      </c>
      <c r="AL8" s="41" t="e">
        <f t="shared" ref="AL8:AL40" ca="1" si="4">AM8/AJ8*$B$2</f>
        <v>#NAME?</v>
      </c>
      <c r="AM8" s="89" t="e">
        <f ca="1">(([1]!InterpCm(Géométrie!$I$96,$A8,Géométrie!$B$112)-[1]!InterpCm(Géométrie!$I$96,$A8,0))*PI()*Géométrie!$B$113^2/4/$B$1*$AM$2/$B$2)+AJ8*(-Géométrie!$B$113/2/TAN(Géométrie!$I$96*PI()/180)+Géométrie!$B$2+Géométrie!$B$16+Géométrie!$B$84+Géométrie!$B$109-Géométrie!$B$110)/$B$2</f>
        <v>#NAME?</v>
      </c>
      <c r="AN8" s="176"/>
      <c r="AO8" s="217">
        <f>[2]!interpol(A8,'[3]CA basé sur Ariane 3'!$A$6:$A$23,'[3]CA basé sur Ariane 3'!$B$6:$B$23)</f>
        <v>9.7745275608278857E-3</v>
      </c>
      <c r="AP8" s="217">
        <f ca="1">0.6*(Géométrie!$B$103+Géométrie!$B$136)+Géométrie!$B$16+Géométrie!$B$13+Géométrie!$B$2+Géométrie!$B$84-Géométrie!$B$103</f>
        <v>23.85864022529865</v>
      </c>
      <c r="AQ8" s="194"/>
      <c r="AR8" s="176"/>
      <c r="AS8" s="41">
        <f ca="1">'Tableaux aéro'!Y76</f>
        <v>1.7102102553927936E-2</v>
      </c>
      <c r="AT8" s="217">
        <f t="shared" ref="AT8:AT40" si="5">R8-M8</f>
        <v>-4.0302134396658387</v>
      </c>
      <c r="AU8" s="194"/>
      <c r="AV8" s="213">
        <f ca="1">-'Tableaux aéro'!B114*('Tableaux aéro'!$E$112-'Tableaux aéro'!$E$113)/Aerodynamique!$B$1</f>
        <v>6.1279006472729589E-2</v>
      </c>
      <c r="AW8" s="213">
        <f ca="1">'Tableaux aéro'!S76</f>
        <v>0.10005321691237434</v>
      </c>
      <c r="AX8" s="75"/>
      <c r="AY8">
        <f t="shared" ref="AY8:AY40" ca="1" si="6">AS8+AK8+AG8+AC8+Y8+D8</f>
        <v>0.21154558461800713</v>
      </c>
      <c r="AZ8">
        <f ca="1">(AY8-AV8-'Tableaux aéro'!J6)/AW8</f>
        <v>0.69955833420546965</v>
      </c>
      <c r="BA8">
        <f ca="1">'Tableaux aéro'!J6+'Tableaux aéro'!T76*AZ8</f>
        <v>0.15061223001916038</v>
      </c>
      <c r="BC8" t="e">
        <f t="shared" ref="BC8:BC40" ca="1" si="7">AJ8+AF8+B8</f>
        <v>#NAME?</v>
      </c>
      <c r="BD8" t="e">
        <f ca="1">(BC8-'Tableaux aéro'!U6)/(([1]!InterpCn(Géométrie!$B$4,$A8,(Géométrie!$B$142-Géométrie!$B$132)/Géométrie!$B$3)-[1]!InterpCn(Géométrie!$B$4,$A8,0))*PI()*Géométrie!$B$3^2/4/$B$1)</f>
        <v>#NAME?</v>
      </c>
      <c r="BE8" t="e">
        <f ca="1">'Tableaux aéro'!U6+(([1]!InterpCn(Géométrie!$B$4,$A8,$BB$3/Géométrie!$B$3)-[1]!InterpCn(Géométrie!$B$4,$A8,0))*PI()*Géométrie!$B$3^2/4/$B$1)*BD8</f>
        <v>#NAME?</v>
      </c>
      <c r="BG8" t="e">
        <f t="shared" ref="BG8:BG40" ca="1" si="8">AM8+AI8+F8</f>
        <v>#NAME?</v>
      </c>
      <c r="BH8" t="e">
        <f ca="1">(BG8-'Tableaux aéro'!U6*'Tableaux aéro'!AE6/$B$2)/(([1]!InterpCm(Géométrie!$B$4,$A8,(Géométrie!$B$142-Géométrie!$B$132)/Géométrie!$B$3)-[1]!InterpCm(Géométrie!$B$4,$A8,0))*PI()*Géométrie!$B$3^2/4/$B$1)</f>
        <v>#NAME?</v>
      </c>
      <c r="BI8" t="e">
        <f ca="1">'Tableaux aéro'!U6*'Tableaux aéro'!AE6/$B$2+BH8*(([1]!InterpCm(Géométrie!$B$4,$A8,$BB$3/Géométrie!$B$3)-[1]!InterpCm(Géométrie!$B$4,$A8,0))*PI()*Géométrie!$B$3^2/4/$B$1)</f>
        <v>#NAME?</v>
      </c>
    </row>
    <row r="9" spans="1:61">
      <c r="A9" s="87">
        <v>0.7</v>
      </c>
      <c r="B9" s="41">
        <f>('Tableaux aéro'!U7)*PI()*Géométrie!$B$3^2/4/$B$1</f>
        <v>2.3318314610477713</v>
      </c>
      <c r="C9" s="41">
        <f>'Tableaux aéro'!M77*A9*Géométrie!$B$2</f>
        <v>101487172.81475359</v>
      </c>
      <c r="D9" s="41">
        <f>'Tableaux aéro'!J7*PI()*Géométrie!$B$3^2/4/$B$1</f>
        <v>0.1554035031761451</v>
      </c>
      <c r="E9" s="41">
        <f>Géométrie!$F$13-('Tableaux aéro'!AE7)*Géométrie!$B$3</f>
        <v>2.0464920646020097</v>
      </c>
      <c r="F9" s="41">
        <f t="shared" si="0"/>
        <v>1.1639206295179449</v>
      </c>
      <c r="G9" s="41" t="e">
        <f ca="1">([1]!InterpCn(Géométrie!$B$4,$A9,Géométrie!$B$18)-[1]!InterpCn(Géométrie!$B$4,$A9,0))*PI()*Géométrie!$B$3^2/4/$B$1</f>
        <v>#NAME?</v>
      </c>
      <c r="H9" s="241">
        <f ca="1">'Tableaux aéro'!P77</f>
        <v>1.2780790501772251E-2</v>
      </c>
      <c r="I9" s="41" t="e">
        <f t="shared" ca="1" si="1"/>
        <v>#NAME?</v>
      </c>
      <c r="J9" s="41" t="e">
        <f ca="1">([1]!InterpCm(Géométrie!$B$4,$A9,Géométrie!$B$18)-[1]!InterpCm(Géométrie!$B$4,$A9,0))*PI()*Géométrie!$B$3^2/4/$B$1*$J$2/$B$2+G9*(Géométrie!$F$13-Géométrie!$B$3/(2*TAN(Géométrie!$B$4*PI()/180)))*1/$B$2</f>
        <v>#NAME?</v>
      </c>
      <c r="K9" s="230">
        <f>'Tableaux aéro'!L7*PI()/180*PI()*Géométrie!$B$3^2/4/$B$1</f>
        <v>4.5533668465353928E-2</v>
      </c>
      <c r="L9" s="230">
        <f>'Tableaux aéro'!B7*PI()*Géométrie!$B$3^2/4/$B$1</f>
        <v>7.9362128124999973E-2</v>
      </c>
      <c r="M9" s="230">
        <f>'Tableaux aéro'!W7*Géométrie!$B$3</f>
        <v>3.9846176747306279</v>
      </c>
      <c r="N9" s="230">
        <f>K9*(M9-Géométrie!$F$12)/$B$2</f>
        <v>4.4252258576188752E-2</v>
      </c>
      <c r="O9" s="231">
        <f>[1]!InterpCn(10,$A9,Géométrie!$F$13/Géométrie!$B$3)*Géométrie!$B$3^2*PI()/4/Aerodynamique!$B$1</f>
        <v>6.0548727203647394E-2</v>
      </c>
      <c r="P9" s="230">
        <f>'Tableaux aéro'!M77*A9*Géométrie!$F$13</f>
        <v>51411405.4608</v>
      </c>
      <c r="Q9" s="230">
        <f>0.445/POWER(LOG(P9),2.58)/POWER(1+0.15*A9^2,0.58)*Géométrie!$B$10/$B$1</f>
        <v>1.0962834282515804E-2</v>
      </c>
      <c r="R9" s="230"/>
      <c r="S9" s="230">
        <f>[1]!InterpCm(10,$A9,Géométrie!$F$13/Géométrie!$B$3)*Géométrie!$B$3^2*PI()/4/$B$1</f>
        <v>-8.9785999240121553E-2</v>
      </c>
      <c r="T9" s="190"/>
      <c r="U9" s="176"/>
      <c r="V9" s="176"/>
      <c r="W9" s="194"/>
      <c r="X9" s="176"/>
      <c r="Y9" s="41">
        <f>[2]!interpol(A9,'[3]CA basé sur Ariane 3'!$A$6:$A$23,'[3]CA basé sur Ariane 3'!$B$6:$B$23)*PI()*Géométrie!$B$3^2/4/$B$1</f>
        <v>1.9084324957287502E-2</v>
      </c>
      <c r="Z9" s="222">
        <f>0.6*Géométrie!$B$81+Géométrie!$B$16+Géométrie!$B$2</f>
        <v>10.332515798803174</v>
      </c>
      <c r="AA9" s="194"/>
      <c r="AB9" s="190"/>
      <c r="AC9" s="41">
        <f ca="1">'Tableaux aéro'!R77</f>
        <v>3.5293781420531328E-2</v>
      </c>
      <c r="AD9" s="217">
        <f t="shared" si="2"/>
        <v>-3.9846176747306279</v>
      </c>
      <c r="AE9" s="176"/>
      <c r="AF9" s="87">
        <f>[2]!interpol(A9,[4]jupA_data!$A$2:$A$10,[4]jupA_data!$B$2:$B$10)*PI()*(Géométrie!$B$113^2-Géométrie!$B$85^2)/$B$1*COS(Géométrie!$I$96*PI()/180)^2/100</f>
        <v>1.8879704201747623E-2</v>
      </c>
      <c r="AG9" s="41">
        <f>'Tableaux aéro'!N45</f>
        <v>6.9064137317743132E-3</v>
      </c>
      <c r="AH9" s="41">
        <f ca="1">0.4*(Géométrie!$B$109-Géométrie!$B$110)+Géométrie!$B$84+Géométrie!$B$16+Géométrie!$B$3</f>
        <v>18.466652672398482</v>
      </c>
      <c r="AI9" s="41">
        <f t="shared" ca="1" si="3"/>
        <v>8.5035351232023326E-2</v>
      </c>
      <c r="AJ9" s="87" t="e">
        <f ca="1">([1]!InterpCn(Géométrie!$I$96,$A9,Géométrie!$B$112)-[1]!InterpCn(Géométrie!$I$96,$A9,0))*PI()*Géométrie!$B$113^2/4</f>
        <v>#NAME?</v>
      </c>
      <c r="AK9" s="41">
        <f ca="1">'Tableaux aéro'!W77</f>
        <v>1.0965762004280941E-2</v>
      </c>
      <c r="AL9" s="41" t="e">
        <f t="shared" ca="1" si="4"/>
        <v>#NAME?</v>
      </c>
      <c r="AM9" s="89" t="e">
        <f ca="1">(([1]!InterpCm(Géométrie!$I$96,$A9,Géométrie!$B$112)-[1]!InterpCm(Géométrie!$I$96,$A9,0))*PI()*Géométrie!$B$113^2/4/$B$1*$AM$2/$B$2)+AJ9*(-Géométrie!$B$113/2/TAN(Géométrie!$I$96*PI()/180)+Géométrie!$B$2+Géométrie!$B$16+Géométrie!$B$84+Géométrie!$B$109-Géométrie!$B$110)/$B$2</f>
        <v>#NAME?</v>
      </c>
      <c r="AN9" s="176"/>
      <c r="AO9" s="217">
        <f>[2]!interpol(A9,'[3]CA basé sur Ariane 3'!$A$6:$A$23,'[3]CA basé sur Ariane 3'!$B$6:$B$23)</f>
        <v>1.2213967972664004E-2</v>
      </c>
      <c r="AP9" s="217">
        <f ca="1">0.6*(Géométrie!$B$103+Géométrie!$B$136)+Géométrie!$B$16+Géométrie!$B$13+Géométrie!$B$2+Géométrie!$B$84-Géométrie!$B$103</f>
        <v>23.85864022529865</v>
      </c>
      <c r="AQ9" s="194"/>
      <c r="AR9" s="176"/>
      <c r="AS9" s="41">
        <f ca="1">'Tableaux aéro'!Y77</f>
        <v>1.669010250104988E-2</v>
      </c>
      <c r="AT9" s="217">
        <f t="shared" si="5"/>
        <v>-3.9846176747306279</v>
      </c>
      <c r="AU9" s="194"/>
      <c r="AV9" s="213">
        <f ca="1">-'Tableaux aéro'!B115*('Tableaux aéro'!$E$112-'Tableaux aéro'!$E$113)/Aerodynamique!$B$1</f>
        <v>6.4011191474698428E-2</v>
      </c>
      <c r="AW9" s="213">
        <f ca="1">'Tableaux aéro'!S77</f>
        <v>9.7642874059585744E-2</v>
      </c>
      <c r="AX9" s="75"/>
      <c r="AY9">
        <f t="shared" ca="1" si="6"/>
        <v>0.24434388779106908</v>
      </c>
      <c r="AZ9">
        <f ca="1">(AY9-AV9-'Tableaux aéro'!J7)/AW9</f>
        <v>0.82826785940656389</v>
      </c>
      <c r="BA9">
        <f ca="1">'Tableaux aéro'!J7+'Tableaux aéro'!T77*AZ9</f>
        <v>0.18073208456959772</v>
      </c>
      <c r="BC9" t="e">
        <f t="shared" ca="1" si="7"/>
        <v>#NAME?</v>
      </c>
      <c r="BD9" t="e">
        <f ca="1">(BC9-'Tableaux aéro'!U7)/(([1]!InterpCn(Géométrie!$B$4,$A9,(Géométrie!$B$142-Géométrie!$B$132)/Géométrie!$B$3)-[1]!InterpCn(Géométrie!$B$4,$A9,0))*PI()*Géométrie!$B$3^2/4/$B$1)</f>
        <v>#NAME?</v>
      </c>
      <c r="BE9" t="e">
        <f ca="1">'Tableaux aéro'!U7+(([1]!InterpCn(Géométrie!$B$4,$A9,$BB$3/Géométrie!$B$3)-[1]!InterpCn(Géométrie!$B$4,$A9,0))*PI()*Géométrie!$B$3^2/4/$B$1)*BD9</f>
        <v>#NAME?</v>
      </c>
      <c r="BG9" t="e">
        <f t="shared" ca="1" si="8"/>
        <v>#NAME?</v>
      </c>
      <c r="BH9" t="e">
        <f ca="1">(BG9-'Tableaux aéro'!U7*'Tableaux aéro'!AE7/$B$2)/(([1]!InterpCm(Géométrie!$B$4,$A9,(Géométrie!$B$142-Géométrie!$B$132)/Géométrie!$B$3)-[1]!InterpCm(Géométrie!$B$4,$A9,0))*PI()*Géométrie!$B$3^2/4/$B$1)</f>
        <v>#NAME?</v>
      </c>
      <c r="BI9" t="e">
        <f ca="1">'Tableaux aéro'!U7*'Tableaux aéro'!AE7/$B$2+BH9*(([1]!InterpCm(Géométrie!$B$4,$A9,$BB$3/Géométrie!$B$3)-[1]!InterpCm(Géométrie!$B$4,$A9,0))*PI()*Géométrie!$B$3^2/4/$B$1)</f>
        <v>#NAME?</v>
      </c>
    </row>
    <row r="10" spans="1:61">
      <c r="A10" s="87">
        <v>0.8</v>
      </c>
      <c r="B10" s="41">
        <f>('Tableaux aéro'!U8)*PI()*Géométrie!$B$3^2/4/$B$1</f>
        <v>2.3796394101066527</v>
      </c>
      <c r="C10" s="41">
        <f>'Tableaux aéro'!M78*A10*Géométrie!$B$2</f>
        <v>106986357.02624384</v>
      </c>
      <c r="D10" s="41">
        <f>'Tableaux aéro'!J8*PI()*Géométrie!$B$3^2/4/$B$1</f>
        <v>0.19573179597541887</v>
      </c>
      <c r="E10" s="41">
        <f>Géométrie!$F$13-('Tableaux aéro'!AE8)*Géométrie!$B$3</f>
        <v>2.071785691840434</v>
      </c>
      <c r="F10" s="41">
        <f t="shared" si="0"/>
        <v>1.2024641174630668</v>
      </c>
      <c r="G10" s="41" t="e">
        <f ca="1">([1]!InterpCn(Géométrie!$B$4,$A10,Géométrie!$B$18)-[1]!InterpCn(Géométrie!$B$4,$A10,0))*PI()*Géométrie!$B$3^2/4/$B$1</f>
        <v>#NAME?</v>
      </c>
      <c r="H10" s="241">
        <f ca="1">'Tableaux aéro'!P78</f>
        <v>1.2542422467217649E-2</v>
      </c>
      <c r="I10" s="41" t="e">
        <f t="shared" ca="1" si="1"/>
        <v>#NAME?</v>
      </c>
      <c r="J10" s="41" t="e">
        <f ca="1">([1]!InterpCm(Géométrie!$B$4,$A10,Géométrie!$B$18)-[1]!InterpCm(Géométrie!$B$4,$A10,0))*PI()*Géométrie!$B$3^2/4/$B$1*$J$2/$B$2+G10*(Géométrie!$F$13-Géométrie!$B$3/(2*TAN(Géométrie!$B$4*PI()/180)))*1/$B$2</f>
        <v>#NAME?</v>
      </c>
      <c r="K10" s="230">
        <f>'Tableaux aéro'!L8*PI()/180*PI()*Géométrie!$B$3^2/4/$B$1</f>
        <v>4.7019898508666516E-2</v>
      </c>
      <c r="L10" s="230">
        <f>'Tableaux aéro'!B8*PI()*Géométrie!$B$3^2/4/$B$1</f>
        <v>0.11735167031249999</v>
      </c>
      <c r="M10" s="230">
        <f>'Tableaux aéro'!W8*Géométrie!$B$3</f>
        <v>3.8973543977954312</v>
      </c>
      <c r="N10" s="230">
        <f>K10*(M10-Géométrie!$F$12)/$B$2</f>
        <v>4.4695904447962516E-2</v>
      </c>
      <c r="O10" s="231">
        <f>[1]!InterpCn(10,$A10,Géométrie!$F$13/Géométrie!$B$3)*Géométrie!$B$3^2*PI()/4/Aerodynamique!$B$1</f>
        <v>6.0548727203647394E-2</v>
      </c>
      <c r="P10" s="230">
        <f>'Tableaux aéro'!M78*A10*Géométrie!$F$13</f>
        <v>54197184.011520006</v>
      </c>
      <c r="Q10" s="230">
        <f>0.445/POWER(LOG(P10),2.58)/POWER(1+0.15*A10^2,0.58)*Géométrie!$B$10/$B$1</f>
        <v>1.074911705690695E-2</v>
      </c>
      <c r="R10" s="230"/>
      <c r="S10" s="230">
        <f>[1]!InterpCm(10,$A10,Géométrie!$F$13/Géométrie!$B$3)*Géométrie!$B$3^2*PI()/4/$B$1</f>
        <v>-8.9785999240121553E-2</v>
      </c>
      <c r="T10" s="190"/>
      <c r="U10" s="176"/>
      <c r="V10" s="176"/>
      <c r="W10" s="194"/>
      <c r="X10" s="176"/>
      <c r="Y10" s="41">
        <f>[2]!interpol(A10,'[3]CA basé sur Ariane 3'!$A$6:$A$23,'[3]CA basé sur Ariane 3'!$B$6:$B$23)*PI()*Géométrie!$B$3^2/4/$B$1</f>
        <v>2.3398928005283724E-2</v>
      </c>
      <c r="Z10" s="222">
        <f>0.6*Géométrie!$B$81+Géométrie!$B$16+Géométrie!$B$2</f>
        <v>10.332515798803174</v>
      </c>
      <c r="AA10" s="194"/>
      <c r="AB10" s="190"/>
      <c r="AC10" s="41">
        <f ca="1">'Tableaux aéro'!R78</f>
        <v>3.4635535022701301E-2</v>
      </c>
      <c r="AD10" s="217">
        <f t="shared" si="2"/>
        <v>-3.8973543977954312</v>
      </c>
      <c r="AE10" s="176"/>
      <c r="AF10" s="87">
        <f>[2]!interpol(A10,[4]jupA_data!$A$2:$A$10,[4]jupA_data!$B$2:$B$10)*PI()*(Géométrie!$B$113^2-Géométrie!$B$85^2)/$B$1*COS(Géométrie!$I$96*PI()/180)^2/100</f>
        <v>1.912175169151362E-2</v>
      </c>
      <c r="AG10" s="41">
        <f>'Tableaux aéro'!N46</f>
        <v>7.9849524758004321E-3</v>
      </c>
      <c r="AH10" s="41">
        <f ca="1">0.4*(Géométrie!$B$109-Géométrie!$B$110)+Géométrie!$B$84+Géométrie!$B$16+Géométrie!$B$3</f>
        <v>18.466652672398482</v>
      </c>
      <c r="AI10" s="41">
        <f t="shared" ca="1" si="3"/>
        <v>8.6125548042690306E-2</v>
      </c>
      <c r="AJ10" s="87" t="e">
        <f ca="1">([1]!InterpCn(Géométrie!$I$96,$A10,Géométrie!$B$112)-[1]!InterpCn(Géométrie!$I$96,$A10,0))*PI()*Géométrie!$B$113^2/4</f>
        <v>#NAME?</v>
      </c>
      <c r="AK10" s="41">
        <f ca="1">'Tableaux aéro'!W78</f>
        <v>1.0761245144702379E-2</v>
      </c>
      <c r="AL10" s="41" t="e">
        <f t="shared" ca="1" si="4"/>
        <v>#NAME?</v>
      </c>
      <c r="AM10" s="89" t="e">
        <f ca="1">(([1]!InterpCm(Géométrie!$I$96,$A10,Géométrie!$B$112)-[1]!InterpCm(Géométrie!$I$96,$A10,0))*PI()*Géométrie!$B$113^2/4/$B$1*$AM$2/$B$2)+AJ10*(-Géométrie!$B$113/2/TAN(Géométrie!$I$96*PI()/180)+Géométrie!$B$2+Géométrie!$B$16+Géométrie!$B$84+Géométrie!$B$109-Géométrie!$B$110)/$B$2</f>
        <v>#NAME?</v>
      </c>
      <c r="AN10" s="176"/>
      <c r="AO10" s="217">
        <f>[2]!interpol(A10,'[3]CA basé sur Ariane 3'!$A$6:$A$23,'[3]CA basé sur Ariane 3'!$B$6:$B$23)</f>
        <v>1.4975313923381587E-2</v>
      </c>
      <c r="AP10" s="217">
        <f ca="1">0.6*(Géométrie!$B$103+Géométrie!$B$136)+Géométrie!$B$16+Géométrie!$B$13+Géométrie!$B$2+Géométrie!$B$84-Géométrie!$B$103</f>
        <v>23.85864022529865</v>
      </c>
      <c r="AQ10" s="194"/>
      <c r="AR10" s="176"/>
      <c r="AS10" s="41">
        <f ca="1">'Tableaux aéro'!Y78</f>
        <v>1.6378823873242122E-2</v>
      </c>
      <c r="AT10" s="217">
        <f t="shared" si="5"/>
        <v>-3.8973543977954312</v>
      </c>
      <c r="AU10" s="194"/>
      <c r="AV10" s="213">
        <f ca="1">-'Tableaux aéro'!B116*('Tableaux aéro'!$E$112-'Tableaux aéro'!$E$113)/Aerodynamique!$B$1</f>
        <v>6.7524000762944056E-2</v>
      </c>
      <c r="AW10" s="213">
        <f ca="1">'Tableaux aéro'!S78</f>
        <v>9.582178639097727E-2</v>
      </c>
      <c r="AX10" s="75"/>
      <c r="AY10">
        <f t="shared" ca="1" si="6"/>
        <v>0.28889128049714885</v>
      </c>
      <c r="AZ10">
        <f ca="1">(AY10-AV10-'Tableaux aéro'!J8)/AW10</f>
        <v>1.0028922850366053</v>
      </c>
      <c r="BA10">
        <f ca="1">'Tableaux aéro'!J8+'Tableaux aéro'!T78*AZ10</f>
        <v>0.22184185213476612</v>
      </c>
      <c r="BC10" t="e">
        <f t="shared" ca="1" si="7"/>
        <v>#NAME?</v>
      </c>
      <c r="BD10" t="e">
        <f ca="1">(BC10-'Tableaux aéro'!U8)/(([1]!InterpCn(Géométrie!$B$4,$A10,(Géométrie!$B$142-Géométrie!$B$132)/Géométrie!$B$3)-[1]!InterpCn(Géométrie!$B$4,$A10,0))*PI()*Géométrie!$B$3^2/4/$B$1)</f>
        <v>#NAME?</v>
      </c>
      <c r="BE10" t="e">
        <f ca="1">'Tableaux aéro'!U8+(([1]!InterpCn(Géométrie!$B$4,$A10,$BB$3/Géométrie!$B$3)-[1]!InterpCn(Géométrie!$B$4,$A10,0))*PI()*Géométrie!$B$3^2/4/$B$1)*BD10</f>
        <v>#NAME?</v>
      </c>
      <c r="BG10" t="e">
        <f t="shared" ca="1" si="8"/>
        <v>#NAME?</v>
      </c>
      <c r="BH10" t="e">
        <f ca="1">(BG10-'Tableaux aéro'!U8*'Tableaux aéro'!AE8/$B$2)/(([1]!InterpCm(Géométrie!$B$4,$A10,(Géométrie!$B$142-Géométrie!$B$132)/Géométrie!$B$3)-[1]!InterpCm(Géométrie!$B$4,$A10,0))*PI()*Géométrie!$B$3^2/4/$B$1)</f>
        <v>#NAME?</v>
      </c>
      <c r="BI10" t="e">
        <f ca="1">'Tableaux aéro'!U8*'Tableaux aéro'!AE8/$B$2+BH10*(([1]!InterpCm(Géométrie!$B$4,$A10,$BB$3/Géométrie!$B$3)-[1]!InterpCm(Géométrie!$B$4,$A10,0))*PI()*Géométrie!$B$3^2/4/$B$1)</f>
        <v>#NAME?</v>
      </c>
    </row>
    <row r="11" spans="1:61">
      <c r="A11" s="87">
        <v>0.9</v>
      </c>
      <c r="B11" s="41">
        <f>('Tableaux aéro'!U9)*PI()*Géométrie!$B$3^2/4/$B$1</f>
        <v>2.3999314345432765</v>
      </c>
      <c r="C11" s="41">
        <f>'Tableaux aéro'!M79*A11*Géométrie!$B$2</f>
        <v>110235795.40436544</v>
      </c>
      <c r="D11" s="41">
        <f>'Tableaux aéro'!J9*PI()*Géométrie!$B$3^2/4/$B$1</f>
        <v>0.246126519779852</v>
      </c>
      <c r="E11" s="41">
        <f>Géométrie!$F$13-('Tableaux aéro'!AE9)*Géométrie!$B$3</f>
        <v>2.0946554354072764</v>
      </c>
      <c r="F11" s="41">
        <f t="shared" si="0"/>
        <v>1.2261047375538676</v>
      </c>
      <c r="G11" s="41" t="e">
        <f ca="1">([1]!InterpCn(Géométrie!$B$4,$A11,Géométrie!$B$18)-[1]!InterpCn(Géométrie!$B$4,$A11,0))*PI()*Géométrie!$B$3^2/4/$B$1</f>
        <v>#NAME?</v>
      </c>
      <c r="H11" s="241">
        <f ca="1">'Tableaux aéro'!P79</f>
        <v>1.2328719494624673E-2</v>
      </c>
      <c r="I11" s="41" t="e">
        <f t="shared" ca="1" si="1"/>
        <v>#NAME?</v>
      </c>
      <c r="J11" s="41" t="e">
        <f ca="1">([1]!InterpCm(Géométrie!$B$4,$A11,Géométrie!$B$18)-[1]!InterpCm(Géométrie!$B$4,$A11,0))*PI()*Géométrie!$B$3^2/4/$B$1*$J$2/$B$2+G11*(Géométrie!$F$13-Géométrie!$B$3/(2*TAN(Géométrie!$B$4*PI()/180)))*1/$B$2</f>
        <v>#NAME?</v>
      </c>
      <c r="K11" s="230">
        <f>'Tableaux aéro'!L9*PI()/180*PI()*Géométrie!$B$3^2/4/$B$1</f>
        <v>4.889252691972782E-2</v>
      </c>
      <c r="L11" s="230">
        <f>'Tableaux aéro'!B9*PI()*Géométrie!$B$3^2/4/$B$1</f>
        <v>0.15221161093749999</v>
      </c>
      <c r="M11" s="230">
        <f>'Tableaux aéro'!W9*Géométrie!$B$3</f>
        <v>3.7934792470205454</v>
      </c>
      <c r="N11" s="230">
        <f>K11*(M11-Géométrie!$F$12)/$B$2</f>
        <v>4.5237264927897772E-2</v>
      </c>
      <c r="O11" s="231">
        <f>[1]!InterpCn(10,$A11,Géométrie!$F$13/Géométrie!$B$3)*Géométrie!$B$3^2*PI()/4/Aerodynamique!$B$1</f>
        <v>5.9923727203647408E-2</v>
      </c>
      <c r="P11" s="230">
        <f>'Tableaux aéro'!M79*A11*Géométrie!$F$13</f>
        <v>55843285.576320007</v>
      </c>
      <c r="Q11" s="230">
        <f>0.445/POWER(LOG(P11),2.58)/POWER(1+0.15*A11^2,0.58)*Géométrie!$B$10/$B$1</f>
        <v>1.0560836968139774E-2</v>
      </c>
      <c r="R11" s="230"/>
      <c r="S11" s="230">
        <f>[1]!InterpCm(10,$A11,Géométrie!$F$13/Géométrie!$B$3)*Géométrie!$B$3^2*PI()/4/$B$1</f>
        <v>-8.3928476443768996E-2</v>
      </c>
      <c r="T11" s="190"/>
      <c r="U11" s="176"/>
      <c r="V11" s="176"/>
      <c r="W11" s="194"/>
      <c r="X11" s="176"/>
      <c r="Y11" s="41">
        <f>[2]!interpol(A11,'[3]CA basé sur Ariane 3'!$A$6:$A$23,'[3]CA basé sur Ariane 3'!$B$6:$B$23)*PI()*Géométrie!$B$3^2/4/$B$1</f>
        <v>4.5506356737548555E-2</v>
      </c>
      <c r="Z11" s="222">
        <f>0.6*Géométrie!$B$81+Géométrie!$B$16+Géométrie!$B$2</f>
        <v>10.332515798803174</v>
      </c>
      <c r="AA11" s="194"/>
      <c r="AB11" s="190"/>
      <c r="AC11" s="41">
        <f ca="1">'Tableaux aéro'!R79</f>
        <v>3.4045400476440772E-2</v>
      </c>
      <c r="AD11" s="217">
        <f t="shared" si="2"/>
        <v>-3.7934792470205454</v>
      </c>
      <c r="AE11" s="176"/>
      <c r="AF11" s="87">
        <f>[2]!interpol(A11,[4]jupA_data!$A$2:$A$10,[4]jupA_data!$B$2:$B$10)*PI()*(Géométrie!$B$113^2-Géométrie!$B$85^2)/$B$1*COS(Géométrie!$I$96*PI()/180)^2/100</f>
        <v>1.9968917905694602E-2</v>
      </c>
      <c r="AG11" s="41">
        <f>'Tableaux aéro'!N47</f>
        <v>1.0154785604188839E-2</v>
      </c>
      <c r="AH11" s="41">
        <f ca="1">0.4*(Géométrie!$B$109-Géométrie!$B$110)+Géométrie!$B$84+Géométrie!$B$16+Géométrie!$B$3</f>
        <v>18.466652672398482</v>
      </c>
      <c r="AI11" s="41">
        <f t="shared" ca="1" si="3"/>
        <v>8.9941236880024658E-2</v>
      </c>
      <c r="AJ11" s="87" t="e">
        <f ca="1">([1]!InterpCn(Géométrie!$I$96,$A11,Géométrie!$B$112)-[1]!InterpCn(Géométrie!$I$96,$A11,0))*PI()*Géométrie!$B$113^2/4</f>
        <v>#NAME?</v>
      </c>
      <c r="AK11" s="41">
        <f ca="1">'Tableaux aéro'!W79</f>
        <v>1.0577890606754433E-2</v>
      </c>
      <c r="AL11" s="41" t="e">
        <f t="shared" ca="1" si="4"/>
        <v>#NAME?</v>
      </c>
      <c r="AM11" s="89" t="e">
        <f ca="1">(([1]!InterpCm(Géométrie!$I$96,$A11,Géométrie!$B$112)-[1]!InterpCm(Géométrie!$I$96,$A11,0))*PI()*Géométrie!$B$113^2/4/$B$1*$AM$2/$B$2)+AJ11*(-Géométrie!$B$113/2/TAN(Géométrie!$I$96*PI()/180)+Géométrie!$B$2+Géométrie!$B$16+Géométrie!$B$84+Géométrie!$B$109-Géométrie!$B$110)/$B$2</f>
        <v>#NAME?</v>
      </c>
      <c r="AN11" s="176"/>
      <c r="AO11" s="217">
        <f>[2]!interpol(A11,'[3]CA basé sur Ariane 3'!$A$6:$A$23,'[3]CA basé sur Ariane 3'!$B$6:$B$23)</f>
        <v>2.9124068312031081E-2</v>
      </c>
      <c r="AP11" s="217">
        <f ca="1">0.6*(Géométrie!$B$103+Géométrie!$B$136)+Géométrie!$B$16+Géométrie!$B$13+Géométrie!$B$2+Géométrie!$B$84-Géométrie!$B$103</f>
        <v>23.85864022529865</v>
      </c>
      <c r="AQ11" s="194"/>
      <c r="AR11" s="176"/>
      <c r="AS11" s="41">
        <f ca="1">'Tableaux aéro'!Y79</f>
        <v>1.6099754709495071E-2</v>
      </c>
      <c r="AT11" s="217">
        <f t="shared" si="5"/>
        <v>-3.7934792470205454</v>
      </c>
      <c r="AU11" s="194"/>
      <c r="AV11" s="213">
        <f ca="1">-'Tableaux aéro'!B117*('Tableaux aéro'!$E$112-'Tableaux aéro'!$E$113)/Aerodynamique!$B$1</f>
        <v>7.2207746480604934E-2</v>
      </c>
      <c r="AW11" s="213">
        <f ca="1">'Tableaux aéro'!S79</f>
        <v>9.4189135230928769E-2</v>
      </c>
      <c r="AX11" s="75"/>
      <c r="AY11">
        <f t="shared" ca="1" si="6"/>
        <v>0.36251070791427964</v>
      </c>
      <c r="AZ11">
        <f ca="1">(AY11-AV11-'Tableaux aéro'!J9)/AW11</f>
        <v>1.4097378476723499</v>
      </c>
      <c r="BA11">
        <f ca="1">'Tableaux aéro'!J9+'Tableaux aéro'!T79*AZ11</f>
        <v>0.29095868847414047</v>
      </c>
      <c r="BC11" t="e">
        <f t="shared" ca="1" si="7"/>
        <v>#NAME?</v>
      </c>
      <c r="BD11" t="e">
        <f ca="1">(BC11-'Tableaux aéro'!U9)/(([1]!InterpCn(Géométrie!$B$4,$A11,(Géométrie!$B$142-Géométrie!$B$132)/Géométrie!$B$3)-[1]!InterpCn(Géométrie!$B$4,$A11,0))*PI()*Géométrie!$B$3^2/4/$B$1)</f>
        <v>#NAME?</v>
      </c>
      <c r="BE11" t="e">
        <f ca="1">'Tableaux aéro'!U9+(([1]!InterpCn(Géométrie!$B$4,$A11,$BB$3/Géométrie!$B$3)-[1]!InterpCn(Géométrie!$B$4,$A11,0))*PI()*Géométrie!$B$3^2/4/$B$1)*BD11</f>
        <v>#NAME?</v>
      </c>
      <c r="BG11" t="e">
        <f t="shared" ca="1" si="8"/>
        <v>#NAME?</v>
      </c>
      <c r="BH11" t="e">
        <f ca="1">(BG11-'Tableaux aéro'!U9*'Tableaux aéro'!AE9/$B$2)/(([1]!InterpCm(Géométrie!$B$4,$A11,(Géométrie!$B$142-Géométrie!$B$132)/Géométrie!$B$3)-[1]!InterpCm(Géométrie!$B$4,$A11,0))*PI()*Géométrie!$B$3^2/4/$B$1)</f>
        <v>#NAME?</v>
      </c>
      <c r="BI11" t="e">
        <f ca="1">'Tableaux aéro'!U9*'Tableaux aéro'!AE9/$B$2+BH11*(([1]!InterpCm(Géométrie!$B$4,$A11,$BB$3/Géométrie!$B$3)-[1]!InterpCm(Géométrie!$B$4,$A11,0))*PI()*Géométrie!$B$3^2/4/$B$1)</f>
        <v>#NAME?</v>
      </c>
    </row>
    <row r="12" spans="1:61">
      <c r="A12" s="87">
        <v>0.92</v>
      </c>
      <c r="B12" s="41">
        <f>('Tableaux aéro'!U10)*PI()*Géométrie!$B$3^2/4/$B$1</f>
        <v>2.3999884391509569</v>
      </c>
      <c r="C12" s="41">
        <f>'Tableaux aéro'!M80*A12*Géométrie!$B$2</f>
        <v>110425151.69955105</v>
      </c>
      <c r="D12" s="41">
        <f>'Tableaux aéro'!J10*PI()*Géométrie!$B$3^2/4/$B$1</f>
        <v>0.26030917775535645</v>
      </c>
      <c r="E12" s="41">
        <f>Géométrie!$F$13-('Tableaux aéro'!AE10)*Géométrie!$B$3</f>
        <v>2.0992305845808832</v>
      </c>
      <c r="F12" s="41">
        <f t="shared" si="0"/>
        <v>1.2288119839283476</v>
      </c>
      <c r="G12" s="41" t="e">
        <f ca="1">([1]!InterpCn(Géométrie!$B$4,$A12,Géométrie!$B$18)-[1]!InterpCn(Géométrie!$B$4,$A12,0))*PI()*Géométrie!$B$3^2/4/$B$1</f>
        <v>#NAME?</v>
      </c>
      <c r="H12" s="241">
        <f ca="1">'Tableaux aéro'!P80</f>
        <v>1.229133072602295E-2</v>
      </c>
      <c r="I12" s="41" t="e">
        <f t="shared" ca="1" si="1"/>
        <v>#NAME?</v>
      </c>
      <c r="J12" s="41" t="e">
        <f ca="1">([1]!InterpCm(Géométrie!$B$4,$A12,Géométrie!$B$18)-[1]!InterpCm(Géométrie!$B$4,$A12,0))*PI()*Géométrie!$B$3^2/4/$B$1*$J$2/$B$2+G12*(Géométrie!$F$13-Géométrie!$B$3/(2*TAN(Géométrie!$B$4*PI()/180)))*1/$B$2</f>
        <v>#NAME?</v>
      </c>
      <c r="K12" s="230">
        <f>'Tableaux aéro'!L10*PI()/180*PI()*Géométrie!$B$3^2/4/$B$1</f>
        <v>4.9272587388346042E-2</v>
      </c>
      <c r="L12" s="230">
        <f>'Tableaux aéro'!B10*PI()*Géométrie!$B$3^2/4/$B$1</f>
        <v>0.16100292499999996</v>
      </c>
      <c r="M12" s="230">
        <f>'Tableaux aéro'!W10*Géométrie!$B$3</f>
        <v>3.7755196695901474</v>
      </c>
      <c r="N12" s="230">
        <f>K12*(M12-Géométrie!$F$12)/$B$2</f>
        <v>4.5373078745439013E-2</v>
      </c>
      <c r="O12" s="231">
        <f>[1]!InterpCn(10,$A12,Géométrie!$F$13/Géométrie!$B$3)*Géométrie!$B$3^2*PI()/4/Aerodynamique!$B$1</f>
        <v>6.0298727203647408E-2</v>
      </c>
      <c r="P12" s="230">
        <f>'Tableaux aéro'!M80*A12*Géométrie!$F$13</f>
        <v>55939209.750758402</v>
      </c>
      <c r="Q12" s="230">
        <f>0.445/POWER(LOG(P12),2.58)/POWER(1+0.15*A12^2,0.58)*Géométrie!$B$10/$B$1</f>
        <v>1.0528516650403923E-2</v>
      </c>
      <c r="R12" s="230"/>
      <c r="S12" s="230">
        <f>[1]!InterpCm(10,$A12,Géométrie!$F$13/Géométrie!$B$3)*Géométrie!$B$3^2*PI()/4/$B$1</f>
        <v>-8.2115976443768987E-2</v>
      </c>
      <c r="T12" s="190"/>
      <c r="U12" s="176"/>
      <c r="V12" s="176"/>
      <c r="W12" s="194"/>
      <c r="X12" s="176"/>
      <c r="Y12" s="41">
        <f>[2]!interpol(A12,'[3]CA basé sur Ariane 3'!$A$6:$A$23,'[3]CA basé sur Ariane 3'!$B$6:$B$23)*PI()*Géométrie!$B$3^2/4/$B$1</f>
        <v>7.5176653271521218E-2</v>
      </c>
      <c r="Z12" s="222">
        <f>0.6*Géométrie!$B$81+Géométrie!$B$16+Géométrie!$B$2</f>
        <v>10.332515798803174</v>
      </c>
      <c r="AA12" s="194"/>
      <c r="AB12" s="190"/>
      <c r="AC12" s="41">
        <f ca="1">'Tableaux aéro'!R80</f>
        <v>3.3942152478875276E-2</v>
      </c>
      <c r="AD12" s="217">
        <f t="shared" si="2"/>
        <v>-3.7755196695901474</v>
      </c>
      <c r="AE12" s="176"/>
      <c r="AF12" s="87">
        <f>[2]!interpol(A12,[4]jupA_data!$A$2:$A$10,[4]jupA_data!$B$2:$B$10)*PI()*(Géométrie!$B$113^2-Géométrie!$B$85^2)/$B$1*COS(Géométrie!$I$96*PI()/180)^2/100</f>
        <v>2.0138351148530794E-2</v>
      </c>
      <c r="AG12" s="41">
        <f>'Tableaux aéro'!N48</f>
        <v>1.0790978748880683E-2</v>
      </c>
      <c r="AH12" s="41">
        <f ca="1">0.4*(Géométrie!$B$109-Géométrie!$B$110)+Géométrie!$B$84+Géométrie!$B$16+Géométrie!$B$3</f>
        <v>18.466652672398482</v>
      </c>
      <c r="AI12" s="41">
        <f t="shared" ca="1" si="3"/>
        <v>9.0704374647491523E-2</v>
      </c>
      <c r="AJ12" s="87" t="e">
        <f ca="1">([1]!InterpCn(Géométrie!$I$96,$A12,Géométrie!$B$112)-[1]!InterpCn(Géométrie!$I$96,$A12,0))*PI()*Géométrie!$B$113^2/4</f>
        <v>#NAME?</v>
      </c>
      <c r="AK12" s="41">
        <f ca="1">'Tableaux aéro'!W80</f>
        <v>1.0545811500374997E-2</v>
      </c>
      <c r="AL12" s="41" t="e">
        <f t="shared" ca="1" si="4"/>
        <v>#NAME?</v>
      </c>
      <c r="AM12" s="89" t="e">
        <f ca="1">(([1]!InterpCm(Géométrie!$I$96,$A12,Géométrie!$B$112)-[1]!InterpCm(Géométrie!$I$96,$A12,0))*PI()*Géométrie!$B$113^2/4/$B$1*$AM$2/$B$2)+AJ12*(-Géométrie!$B$113/2/TAN(Géométrie!$I$96*PI()/180)+Géométrie!$B$2+Géométrie!$B$16+Géométrie!$B$84+Géométrie!$B$109-Géométrie!$B$110)/$B$2</f>
        <v>#NAME?</v>
      </c>
      <c r="AN12" s="176"/>
      <c r="AO12" s="217">
        <f>[2]!interpol(A12,'[3]CA basé sur Ariane 3'!$A$6:$A$23,'[3]CA basé sur Ariane 3'!$B$6:$B$23)</f>
        <v>4.8113058093773579E-2</v>
      </c>
      <c r="AP12" s="217">
        <f ca="1">0.6*(Géométrie!$B$103+Géométrie!$B$136)+Géométrie!$B$16+Géométrie!$B$13+Géométrie!$B$2+Géométrie!$B$84-Géométrie!$B$103</f>
        <v>23.85864022529865</v>
      </c>
      <c r="AQ12" s="194"/>
      <c r="AR12" s="176"/>
      <c r="AS12" s="41">
        <f ca="1">'Tableaux aéro'!Y80</f>
        <v>1.605092968726626E-2</v>
      </c>
      <c r="AT12" s="217">
        <f t="shared" si="5"/>
        <v>-3.7755196695901474</v>
      </c>
      <c r="AU12" s="194"/>
      <c r="AV12" s="213">
        <f ca="1">-'Tableaux aéro'!B118*('Tableaux aéro'!$E$112-'Tableaux aéro'!$E$113)/Aerodynamique!$B$1</f>
        <v>7.2988370766881736E-2</v>
      </c>
      <c r="AW12" s="213">
        <f ca="1">'Tableaux aéro'!S80</f>
        <v>9.3903491958447716E-2</v>
      </c>
      <c r="AX12" s="75"/>
      <c r="AY12">
        <f t="shared" ca="1" si="6"/>
        <v>0.40681570344227491</v>
      </c>
      <c r="AZ12">
        <f ca="1">(AY12-AV12-'Tableaux aéro'!J10)/AW12</f>
        <v>1.7808651778994971</v>
      </c>
      <c r="BA12">
        <f ca="1">'Tableaux aéro'!J10+'Tableaux aéro'!T80*AZ12</f>
        <v>0.33465317418584983</v>
      </c>
      <c r="BC12" t="e">
        <f t="shared" ca="1" si="7"/>
        <v>#NAME?</v>
      </c>
      <c r="BD12" t="e">
        <f ca="1">(BC12-'Tableaux aéro'!U10)/(([1]!InterpCn(Géométrie!$B$4,$A12,(Géométrie!$B$142-Géométrie!$B$132)/Géométrie!$B$3)-[1]!InterpCn(Géométrie!$B$4,$A12,0))*PI()*Géométrie!$B$3^2/4/$B$1)</f>
        <v>#NAME?</v>
      </c>
      <c r="BE12" t="e">
        <f ca="1">'Tableaux aéro'!U10+(([1]!InterpCn(Géométrie!$B$4,$A12,$BB$3/Géométrie!$B$3)-[1]!InterpCn(Géométrie!$B$4,$A12,0))*PI()*Géométrie!$B$3^2/4/$B$1)*BD12</f>
        <v>#NAME?</v>
      </c>
      <c r="BG12" t="e">
        <f t="shared" ca="1" si="8"/>
        <v>#NAME?</v>
      </c>
      <c r="BH12" t="e">
        <f ca="1">(BG12-'Tableaux aéro'!U10*'Tableaux aéro'!AE10/$B$2)/(([1]!InterpCm(Géométrie!$B$4,$A12,(Géométrie!$B$142-Géométrie!$B$132)/Géométrie!$B$3)-[1]!InterpCm(Géométrie!$B$4,$A12,0))*PI()*Géométrie!$B$3^2/4/$B$1)</f>
        <v>#NAME?</v>
      </c>
      <c r="BI12" t="e">
        <f ca="1">'Tableaux aéro'!U10*'Tableaux aéro'!AE10/$B$2+BH12*(([1]!InterpCm(Géométrie!$B$4,$A12,$BB$3/Géométrie!$B$3)-[1]!InterpCm(Géométrie!$B$4,$A12,0))*PI()*Géométrie!$B$3^2/4/$B$1)</f>
        <v>#NAME?</v>
      </c>
    </row>
    <row r="13" spans="1:61">
      <c r="A13" s="87">
        <v>0.94</v>
      </c>
      <c r="B13" s="41">
        <f>('Tableaux aéro'!U11)*PI()*Géométrie!$B$3^2/4/$B$1</f>
        <v>2.3961643926932092</v>
      </c>
      <c r="C13" s="41">
        <f>'Tableaux aéro'!M81*A13*Géométrie!$B$2</f>
        <v>110516232.86225258</v>
      </c>
      <c r="D13" s="41">
        <f>'Tableaux aéro'!J11*PI()*Géométrie!$B$3^2/4/$B$1</f>
        <v>0.27451395981527504</v>
      </c>
      <c r="E13" s="41">
        <f>Géométrie!$F$13-('Tableaux aéro'!AE11)*Géométrie!$B$3</f>
        <v>2.100746718434614</v>
      </c>
      <c r="F13" s="41">
        <f t="shared" si="0"/>
        <v>1.2277401182390559</v>
      </c>
      <c r="G13" s="41" t="e">
        <f ca="1">([1]!InterpCn(Géométrie!$B$4,$A13,Géométrie!$B$18)-[1]!InterpCn(Géométrie!$B$4,$A13,0))*PI()*Géométrie!$B$3^2/4/$B$1</f>
        <v>#NAME?</v>
      </c>
      <c r="H13" s="241">
        <f ca="1">'Tableaux aéro'!P81</f>
        <v>1.2254872508896635E-2</v>
      </c>
      <c r="I13" s="41" t="e">
        <f t="shared" ca="1" si="1"/>
        <v>#NAME?</v>
      </c>
      <c r="J13" s="41" t="e">
        <f ca="1">([1]!InterpCm(Géométrie!$B$4,$A13,Géométrie!$B$18)-[1]!InterpCm(Géométrie!$B$4,$A13,0))*PI()*Géométrie!$B$3^2/4/$B$1*$J$2/$B$2+G13*(Géométrie!$F$13-Géométrie!$B$3/(2*TAN(Géométrie!$B$4*PI()/180)))*1/$B$2</f>
        <v>#NAME?</v>
      </c>
      <c r="K13" s="230">
        <f>'Tableaux aéro'!L11*PI()/180*PI()*Géométrie!$B$3^2/4/$B$1</f>
        <v>4.9274691545928367E-2</v>
      </c>
      <c r="L13" s="230">
        <f>'Tableaux aéro'!B11*PI()*Géométrie!$B$3^2/4/$B$1</f>
        <v>0.17333218281249996</v>
      </c>
      <c r="M13" s="230">
        <f>'Tableaux aéro'!W11*Géométrie!$B$3</f>
        <v>3.7568849503950799</v>
      </c>
      <c r="N13" s="230">
        <f>K13*(M13-Géométrie!$F$12)/$B$2</f>
        <v>4.515106026933121E-2</v>
      </c>
      <c r="O13" s="231">
        <f>[1]!InterpCn(10,$A13,Géométrie!$F$13/Géométrie!$B$3)*Géométrie!$B$3^2*PI()/4/Aerodynamique!$B$1</f>
        <v>6.0673727203647394E-2</v>
      </c>
      <c r="P13" s="230">
        <f>'Tableaux aéro'!M81*A13*Géométrie!$F$13</f>
        <v>55985349.6761856</v>
      </c>
      <c r="Q13" s="230">
        <f>0.445/POWER(LOG(P13),2.58)/POWER(1+0.15*A13^2,0.58)*Géométrie!$B$10/$B$1</f>
        <v>1.0497146963209816E-2</v>
      </c>
      <c r="R13" s="230"/>
      <c r="S13" s="230">
        <f>[1]!InterpCm(10,$A13,Géométrie!$F$13/Géométrie!$B$3)*Géométrie!$B$3^2*PI()/4/$B$1</f>
        <v>-8.0303476443768992E-2</v>
      </c>
      <c r="T13" s="190"/>
      <c r="U13" s="176"/>
      <c r="V13" s="176"/>
      <c r="W13" s="194"/>
      <c r="X13" s="176"/>
      <c r="Y13" s="41">
        <f>[2]!interpol(A13,'[3]CA basé sur Ariane 3'!$A$6:$A$23,'[3]CA basé sur Ariane 3'!$B$6:$B$23)*PI()*Géométrie!$B$3^2/4/$B$1</f>
        <v>0.10484694980549368</v>
      </c>
      <c r="Z13" s="222">
        <f>0.6*Géométrie!$B$81+Géométrie!$B$16+Géométrie!$B$2</f>
        <v>10.332515798803174</v>
      </c>
      <c r="AA13" s="194"/>
      <c r="AB13" s="190"/>
      <c r="AC13" s="41">
        <f ca="1">'Tableaux aéro'!R81</f>
        <v>3.3841474172157077E-2</v>
      </c>
      <c r="AD13" s="217">
        <f t="shared" si="2"/>
        <v>-3.7568849503950799</v>
      </c>
      <c r="AE13" s="176"/>
      <c r="AF13" s="87">
        <f>[2]!interpol(A13,[4]jupA_data!$A$2:$A$10,[4]jupA_data!$B$2:$B$10)*PI()*(Géométrie!$B$113^2-Géométrie!$B$85^2)/$B$1*COS(Géométrie!$I$96*PI()/180)^2/100</f>
        <v>2.0307784391366986E-2</v>
      </c>
      <c r="AG13" s="41">
        <f>'Tableaux aéro'!N49</f>
        <v>1.1465456230146425E-2</v>
      </c>
      <c r="AH13" s="41">
        <f ca="1">0.4*(Géométrie!$B$109-Géométrie!$B$110)+Géométrie!$B$84+Géométrie!$B$16+Géométrie!$B$3</f>
        <v>18.466652672398482</v>
      </c>
      <c r="AI13" s="41">
        <f t="shared" ca="1" si="3"/>
        <v>9.1467512414958374E-2</v>
      </c>
      <c r="AJ13" s="87" t="e">
        <f ca="1">([1]!InterpCn(Géométrie!$I$96,$A13,Géométrie!$B$112)-[1]!InterpCn(Géométrie!$I$96,$A13,0))*PI()*Géométrie!$B$113^2/4</f>
        <v>#NAME?</v>
      </c>
      <c r="AK13" s="41">
        <f ca="1">'Tableaux aéro'!W81</f>
        <v>1.0514530795785392E-2</v>
      </c>
      <c r="AL13" s="41" t="e">
        <f t="shared" ca="1" si="4"/>
        <v>#NAME?</v>
      </c>
      <c r="AM13" s="89" t="e">
        <f ca="1">(([1]!InterpCm(Géométrie!$I$96,$A13,Géométrie!$B$112)-[1]!InterpCm(Géométrie!$I$96,$A13,0))*PI()*Géométrie!$B$113^2/4/$B$1*$AM$2/$B$2)+AJ13*(-Géométrie!$B$113/2/TAN(Géométrie!$I$96*PI()/180)+Géométrie!$B$2+Géométrie!$B$16+Géométrie!$B$84+Géométrie!$B$109-Géométrie!$B$110)/$B$2</f>
        <v>#NAME?</v>
      </c>
      <c r="AN13" s="176"/>
      <c r="AO13" s="217">
        <f>[2]!interpol(A13,'[3]CA basé sur Ariane 3'!$A$6:$A$23,'[3]CA basé sur Ariane 3'!$B$6:$B$23)</f>
        <v>6.7102047875515963E-2</v>
      </c>
      <c r="AP13" s="217">
        <f ca="1">0.6*(Géométrie!$B$103+Géométrie!$B$136)+Géométrie!$B$16+Géométrie!$B$13+Géométrie!$B$2+Géométrie!$B$84-Géométrie!$B$103</f>
        <v>23.85864022529865</v>
      </c>
      <c r="AQ13" s="194"/>
      <c r="AR13" s="176"/>
      <c r="AS13" s="41">
        <f ca="1">'Tableaux aéro'!Y81</f>
        <v>1.6003319848050184E-2</v>
      </c>
      <c r="AT13" s="217">
        <f t="shared" si="5"/>
        <v>-3.7568849503950799</v>
      </c>
      <c r="AU13" s="194"/>
      <c r="AV13" s="213">
        <f ca="1">-'Tableaux aéro'!B119*('Tableaux aéro'!$E$112-'Tableaux aéro'!$E$113)/Aerodynamique!$B$1</f>
        <v>7.3768995053158551E-2</v>
      </c>
      <c r="AW13" s="213">
        <f ca="1">'Tableaux aéro'!S81</f>
        <v>9.3624957927019206E-2</v>
      </c>
      <c r="AX13" s="75"/>
      <c r="AY13">
        <f t="shared" ca="1" si="6"/>
        <v>0.45118569066690783</v>
      </c>
      <c r="AZ13">
        <f ca="1">(AY13-AV13-'Tableaux aéro'!J11)/AW13</f>
        <v>2.1546366032999482</v>
      </c>
      <c r="BA13">
        <f ca="1">'Tableaux aéro'!J11+'Tableaux aéro'!T81*AZ13</f>
        <v>0.37841290262298877</v>
      </c>
      <c r="BC13" t="e">
        <f t="shared" ca="1" si="7"/>
        <v>#NAME?</v>
      </c>
      <c r="BD13" t="e">
        <f ca="1">(BC13-'Tableaux aéro'!U11)/(([1]!InterpCn(Géométrie!$B$4,$A13,(Géométrie!$B$142-Géométrie!$B$132)/Géométrie!$B$3)-[1]!InterpCn(Géométrie!$B$4,$A13,0))*PI()*Géométrie!$B$3^2/4/$B$1)</f>
        <v>#NAME?</v>
      </c>
      <c r="BE13" t="e">
        <f ca="1">'Tableaux aéro'!U11+(([1]!InterpCn(Géométrie!$B$4,$A13,$BB$3/Géométrie!$B$3)-[1]!InterpCn(Géométrie!$B$4,$A13,0))*PI()*Géométrie!$B$3^2/4/$B$1)*BD13</f>
        <v>#NAME?</v>
      </c>
      <c r="BG13" t="e">
        <f t="shared" ca="1" si="8"/>
        <v>#NAME?</v>
      </c>
      <c r="BH13" t="e">
        <f ca="1">(BG13-'Tableaux aéro'!U11*'Tableaux aéro'!AE11/$B$2)/(([1]!InterpCm(Géométrie!$B$4,$A13,(Géométrie!$B$142-Géométrie!$B$132)/Géométrie!$B$3)-[1]!InterpCm(Géométrie!$B$4,$A13,0))*PI()*Géométrie!$B$3^2/4/$B$1)</f>
        <v>#NAME?</v>
      </c>
      <c r="BI13" t="e">
        <f ca="1">'Tableaux aéro'!U11*'Tableaux aéro'!AE11/$B$2+BH13*(([1]!InterpCm(Géométrie!$B$4,$A13,$BB$3/Géométrie!$B$3)-[1]!InterpCm(Géométrie!$B$4,$A13,0))*PI()*Géométrie!$B$3^2/4/$B$1)</f>
        <v>#NAME?</v>
      </c>
    </row>
    <row r="14" spans="1:61">
      <c r="A14" s="87">
        <v>0.96</v>
      </c>
      <c r="B14" s="41">
        <f>('Tableaux aéro'!U12)*PI()*Géométrie!$B$3^2/4/$B$1</f>
        <v>2.3900877445849558</v>
      </c>
      <c r="C14" s="41">
        <f>'Tableaux aéro'!M82*A14*Géométrie!$B$2</f>
        <v>110516914.02829516</v>
      </c>
      <c r="D14" s="41">
        <f>'Tableaux aéro'!J12*PI()*Géométrie!$B$3^2/4/$B$1</f>
        <v>0.28874294241503951</v>
      </c>
      <c r="E14" s="41">
        <f>Géométrie!$F$13-('Tableaux aéro'!AE12)*Géométrie!$B$3</f>
        <v>2.1021159229155542</v>
      </c>
      <c r="F14" s="41">
        <f t="shared" si="0"/>
        <v>1.2254247573310635</v>
      </c>
      <c r="G14" s="41" t="e">
        <f ca="1">([1]!InterpCn(Géométrie!$B$4,$A14,Géométrie!$B$18)-[1]!InterpCn(Géométrie!$B$4,$A14,0))*PI()*Géométrie!$B$3^2/4/$B$1</f>
        <v>#NAME?</v>
      </c>
      <c r="H14" s="241">
        <f ca="1">'Tableaux aéro'!P82</f>
        <v>1.2219231235147659E-2</v>
      </c>
      <c r="I14" s="41" t="e">
        <f t="shared" ca="1" si="1"/>
        <v>#NAME?</v>
      </c>
      <c r="J14" s="41" t="e">
        <f ca="1">([1]!InterpCm(Géométrie!$B$4,$A14,Géométrie!$B$18)-[1]!InterpCm(Géométrie!$B$4,$A14,0))*PI()*Géométrie!$B$3^2/4/$B$1*$J$2/$B$2+G14*(Géométrie!$F$13-Géométrie!$B$3/(2*TAN(Géométrie!$B$4*PI()/180)))*1/$B$2</f>
        <v>#NAME?</v>
      </c>
      <c r="K14" s="230">
        <f>'Tableaux aéro'!L12*PI()/180*PI()*Géométrie!$B$3^2/4/$B$1</f>
        <v>4.9276795703510706E-2</v>
      </c>
      <c r="L14" s="230">
        <f>'Tableaux aéro'!B12*PI()*Géométrie!$B$3^2/4/$B$1</f>
        <v>0.1856614421875</v>
      </c>
      <c r="M14" s="230">
        <f>'Tableaux aéro'!W12*Géométrie!$B$3</f>
        <v>3.7486953660432061</v>
      </c>
      <c r="N14" s="230">
        <f>K14*(M14-Géométrie!$F$12)/$B$2</f>
        <v>4.5054559928587402E-2</v>
      </c>
      <c r="O14" s="231">
        <f>[1]!InterpCn(10,$A14,Géométrie!$F$13/Géométrie!$B$3)*Géométrie!$B$3^2*PI()/4/Aerodynamique!$B$1</f>
        <v>6.1079977203647398E-2</v>
      </c>
      <c r="P14" s="230">
        <f>'Tableaux aéro'!M82*A14*Géométrie!$F$13</f>
        <v>55985694.741504006</v>
      </c>
      <c r="Q14" s="230">
        <f>0.445/POWER(LOG(P14),2.58)/POWER(1+0.15*A14^2,0.58)*Géométrie!$B$10/$B$1</f>
        <v>1.0466616698472894E-2</v>
      </c>
      <c r="R14" s="230"/>
      <c r="S14" s="230">
        <f>[1]!InterpCm(10,$A14,Géométrie!$F$13/Géométrie!$B$3)*Géométrie!$B$3^2*PI()/4/$B$1</f>
        <v>-7.805718085106382E-2</v>
      </c>
      <c r="T14" s="190"/>
      <c r="U14" s="176"/>
      <c r="V14" s="176"/>
      <c r="W14" s="194"/>
      <c r="X14" s="176"/>
      <c r="Y14" s="41">
        <f>[2]!interpol(A14,'[3]CA basé sur Ariane 3'!$A$6:$A$23,'[3]CA basé sur Ariane 3'!$B$6:$B$23)*PI()*Géométrie!$B$3^2/4/$B$1</f>
        <v>0.13069212937496621</v>
      </c>
      <c r="Z14" s="222">
        <f>0.6*Géométrie!$B$81+Géométrie!$B$16+Géométrie!$B$2</f>
        <v>10.332515798803174</v>
      </c>
      <c r="AA14" s="194"/>
      <c r="AB14" s="190"/>
      <c r="AC14" s="41">
        <f ca="1">'Tableaux aéro'!R82</f>
        <v>3.3743051830826057E-2</v>
      </c>
      <c r="AD14" s="217">
        <f t="shared" si="2"/>
        <v>-3.7486953660432061</v>
      </c>
      <c r="AE14" s="176"/>
      <c r="AF14" s="87">
        <f>[2]!interpol(A14,[4]jupA_data!$A$2:$A$10,[4]jupA_data!$B$2:$B$10)*PI()*(Géométrie!$B$113^2-Géométrie!$B$85^2)/$B$1*COS(Géométrie!$I$96*PI()/180)^2/100</f>
        <v>2.0477217634203192E-2</v>
      </c>
      <c r="AG14" s="41">
        <f>'Tableaux aéro'!N50</f>
        <v>1.2108746609416838E-2</v>
      </c>
      <c r="AH14" s="41">
        <f ca="1">0.4*(Géométrie!$B$109-Géométrie!$B$110)+Géométrie!$B$84+Géométrie!$B$16+Géométrie!$B$3</f>
        <v>18.466652672398482</v>
      </c>
      <c r="AI14" s="41">
        <f t="shared" ca="1" si="3"/>
        <v>9.2230650182425294E-2</v>
      </c>
      <c r="AJ14" s="87" t="e">
        <f ca="1">([1]!InterpCn(Géométrie!$I$96,$A14,Géométrie!$B$112)-[1]!InterpCn(Géométrie!$I$96,$A14,0))*PI()*Géométrie!$B$113^2/4</f>
        <v>#NAME?</v>
      </c>
      <c r="AK14" s="41">
        <f ca="1">'Tableaux aéro'!W82</f>
        <v>1.0483951018626342E-2</v>
      </c>
      <c r="AL14" s="41" t="e">
        <f t="shared" ca="1" si="4"/>
        <v>#NAME?</v>
      </c>
      <c r="AM14" s="89" t="e">
        <f ca="1">(([1]!InterpCm(Géométrie!$I$96,$A14,Géométrie!$B$112)-[1]!InterpCm(Géométrie!$I$96,$A14,0))*PI()*Géométrie!$B$113^2/4/$B$1*$AM$2/$B$2)+AJ14*(-Géométrie!$B$113/2/TAN(Géométrie!$I$96*PI()/180)+Géométrie!$B$2+Géométrie!$B$16+Géométrie!$B$84+Géométrie!$B$109-Géométrie!$B$110)/$B$2</f>
        <v>#NAME?</v>
      </c>
      <c r="AN14" s="176"/>
      <c r="AO14" s="217">
        <f>[2]!interpol(A14,'[3]CA basé sur Ariane 3'!$A$6:$A$23,'[3]CA basé sur Ariane 3'!$B$6:$B$23)</f>
        <v>8.364296279997839E-2</v>
      </c>
      <c r="AP14" s="217">
        <f ca="1">0.6*(Géométrie!$B$103+Géométrie!$B$136)+Géométrie!$B$16+Géométrie!$B$13+Géométrie!$B$2+Géométrie!$B$84-Géométrie!$B$103</f>
        <v>23.85864022529865</v>
      </c>
      <c r="AQ14" s="194"/>
      <c r="AR14" s="176"/>
      <c r="AS14" s="41">
        <f ca="1">'Tableaux aéro'!Y82</f>
        <v>1.5956776833981067E-2</v>
      </c>
      <c r="AT14" s="217">
        <f t="shared" si="5"/>
        <v>-3.7486953660432061</v>
      </c>
      <c r="AU14" s="194"/>
      <c r="AV14" s="213">
        <f ca="1">-'Tableaux aéro'!B120*('Tableaux aéro'!$E$112-'Tableaux aéro'!$E$113)/Aerodynamique!$B$1</f>
        <v>7.4939931482573774E-2</v>
      </c>
      <c r="AW14" s="213">
        <f ca="1">'Tableaux aéro'!S82</f>
        <v>9.335266519179973E-2</v>
      </c>
      <c r="AX14" s="75"/>
      <c r="AY14">
        <f t="shared" ca="1" si="6"/>
        <v>0.49172759808285604</v>
      </c>
      <c r="AZ14">
        <f ca="1">(AY14-AV14-'Tableaux aéro'!J12)/AW14</f>
        <v>2.485115802296725</v>
      </c>
      <c r="BA14">
        <f ca="1">'Tableaux aéro'!J12+'Tableaux aéro'!T82*AZ14</f>
        <v>0.41793333062649424</v>
      </c>
      <c r="BC14" t="e">
        <f t="shared" ca="1" si="7"/>
        <v>#NAME?</v>
      </c>
      <c r="BD14" t="e">
        <f ca="1">(BC14-'Tableaux aéro'!U12)/(([1]!InterpCn(Géométrie!$B$4,$A14,(Géométrie!$B$142-Géométrie!$B$132)/Géométrie!$B$3)-[1]!InterpCn(Géométrie!$B$4,$A14,0))*PI()*Géométrie!$B$3^2/4/$B$1)</f>
        <v>#NAME?</v>
      </c>
      <c r="BE14" t="e">
        <f ca="1">'Tableaux aéro'!U12+(([1]!InterpCn(Géométrie!$B$4,$A14,$BB$3/Géométrie!$B$3)-[1]!InterpCn(Géométrie!$B$4,$A14,0))*PI()*Géométrie!$B$3^2/4/$B$1)*BD14</f>
        <v>#NAME?</v>
      </c>
      <c r="BG14" t="e">
        <f t="shared" ca="1" si="8"/>
        <v>#NAME?</v>
      </c>
      <c r="BH14" t="e">
        <f ca="1">(BG14-'Tableaux aéro'!U12*'Tableaux aéro'!AE12/$B$2)/(([1]!InterpCm(Géométrie!$B$4,$A14,(Géométrie!$B$142-Géométrie!$B$132)/Géométrie!$B$3)-[1]!InterpCm(Géométrie!$B$4,$A14,0))*PI()*Géométrie!$B$3^2/4/$B$1)</f>
        <v>#NAME?</v>
      </c>
      <c r="BI14" t="e">
        <f ca="1">'Tableaux aéro'!U12*'Tableaux aéro'!AE12/$B$2+BH14*(([1]!InterpCm(Géométrie!$B$4,$A14,$BB$3/Géométrie!$B$3)-[1]!InterpCm(Géométrie!$B$4,$A14,0))*PI()*Géométrie!$B$3^2/4/$B$1)</f>
        <v>#NAME?</v>
      </c>
    </row>
    <row r="15" spans="1:61">
      <c r="A15" s="87">
        <v>0.98</v>
      </c>
      <c r="B15" s="41">
        <f>('Tableaux aéro'!U13)*PI()*Géométrie!$B$3^2/4/$B$1</f>
        <v>2.381193645931301</v>
      </c>
      <c r="C15" s="41">
        <f>'Tableaux aéro'!M83*A15*Géométrie!$B$2</f>
        <v>110427687.39366783</v>
      </c>
      <c r="D15" s="41">
        <f>'Tableaux aéro'!J13*PI()*Géométrie!$B$3^2/4/$B$1</f>
        <v>0.30297430614985787</v>
      </c>
      <c r="E15" s="41">
        <f>Géométrie!$F$13-('Tableaux aéro'!AE13)*Géométrie!$B$3</f>
        <v>2.1032065800262614</v>
      </c>
      <c r="F15" s="41">
        <f t="shared" si="0"/>
        <v>1.2214980840096186</v>
      </c>
      <c r="G15" s="41" t="e">
        <f ca="1">([1]!InterpCn(Géométrie!$B$4,$A15,Géométrie!$B$18)-[1]!InterpCn(Géométrie!$B$4,$A15,0))*PI()*Géométrie!$B$3^2/4/$B$1</f>
        <v>#NAME?</v>
      </c>
      <c r="H15" s="241">
        <f ca="1">'Tableaux aéro'!P83</f>
        <v>1.2184402861250507E-2</v>
      </c>
      <c r="I15" s="41" t="e">
        <f t="shared" ca="1" si="1"/>
        <v>#NAME?</v>
      </c>
      <c r="J15" s="41" t="e">
        <f ca="1">([1]!InterpCm(Géométrie!$B$4,$A15,Géométrie!$B$18)-[1]!InterpCm(Géométrie!$B$4,$A15,0))*PI()*Géométrie!$B$3^2/4/$B$1*$J$2/$B$2+G15*(Géométrie!$F$13-Géométrie!$B$3/(2*TAN(Géométrie!$B$4*PI()/180)))*1/$B$2</f>
        <v>#NAME?</v>
      </c>
      <c r="K15" s="230">
        <f>'Tableaux aéro'!L13*PI()/180*PI()*Géométrie!$B$3^2/4/$B$1</f>
        <v>4.9505554446357486E-2</v>
      </c>
      <c r="L15" s="230">
        <f>'Tableaux aéro'!B13*PI()*Géométrie!$B$3^2/4/$B$1</f>
        <v>0.19832784062499997</v>
      </c>
      <c r="M15" s="230">
        <f>'Tableaux aéro'!W13*Géométrie!$B$3</f>
        <v>3.74934401703156</v>
      </c>
      <c r="N15" s="230">
        <f>K15*(M15-Géométrie!$F$12)/$B$2</f>
        <v>4.5271549847141608E-2</v>
      </c>
      <c r="O15" s="231">
        <f>[1]!InterpCn(10,$A15,Géométrie!$F$13/Géométrie!$B$3)*Géométrie!$B$3^2*PI()/4/Aerodynamique!$B$1</f>
        <v>6.1517477203647405E-2</v>
      </c>
      <c r="P15" s="230">
        <f>'Tableaux aéro'!M83*A15*Géométrie!$F$13</f>
        <v>55940494.283520006</v>
      </c>
      <c r="Q15" s="230">
        <f>0.445/POWER(LOG(P15),2.58)/POWER(1+0.15*A15^2,0.58)*Géométrie!$B$10/$B$1</f>
        <v>1.043692042064605E-2</v>
      </c>
      <c r="R15" s="230"/>
      <c r="S15" s="230">
        <f>[1]!InterpCm(10,$A15,Géométrie!$F$13/Géométrie!$B$3)*Géométrie!$B$3^2*PI()/4/$B$1</f>
        <v>-7.5057180851063818E-2</v>
      </c>
      <c r="T15" s="190"/>
      <c r="U15" s="176"/>
      <c r="V15" s="176"/>
      <c r="W15" s="194"/>
      <c r="X15" s="176"/>
      <c r="Y15" s="41">
        <f>[2]!interpol(A15,'[3]CA basé sur Ariane 3'!$A$6:$A$23,'[3]CA basé sur Ariane 3'!$B$6:$B$23)*PI()*Géométrie!$B$3^2/4/$B$1</f>
        <v>0.15271219197993857</v>
      </c>
      <c r="Z15" s="222">
        <f>0.6*Géométrie!$B$81+Géométrie!$B$16+Géométrie!$B$2</f>
        <v>10.332515798803174</v>
      </c>
      <c r="AA15" s="194"/>
      <c r="AB15" s="190"/>
      <c r="AC15" s="41">
        <f ca="1">'Tableaux aéro'!R83</f>
        <v>3.3646874288804057E-2</v>
      </c>
      <c r="AD15" s="217">
        <f t="shared" si="2"/>
        <v>-3.74934401703156</v>
      </c>
      <c r="AE15" s="176"/>
      <c r="AF15" s="87">
        <f>[2]!interpol(A15,[4]jupA_data!$A$2:$A$10,[4]jupA_data!$B$2:$B$10)*PI()*(Géométrie!$B$113^2-Géométrie!$B$85^2)/$B$1*COS(Géométrie!$I$96*PI()/180)^2/100</f>
        <v>2.0646650877039385E-2</v>
      </c>
      <c r="AG15" s="41">
        <f>'Tableaux aéro'!N51</f>
        <v>1.2721174815701326E-2</v>
      </c>
      <c r="AH15" s="41">
        <f ca="1">0.4*(Géométrie!$B$109-Géométrie!$B$110)+Géométrie!$B$84+Géométrie!$B$16+Géométrie!$B$3</f>
        <v>18.466652672398482</v>
      </c>
      <c r="AI15" s="41">
        <f t="shared" ca="1" si="3"/>
        <v>9.2993787949892159E-2</v>
      </c>
      <c r="AJ15" s="87" t="e">
        <f ca="1">([1]!InterpCn(Géométrie!$I$96,$A15,Géométrie!$B$112)-[1]!InterpCn(Géométrie!$I$96,$A15,0))*PI()*Géométrie!$B$113^2/4</f>
        <v>#NAME?</v>
      </c>
      <c r="AK15" s="41">
        <f ca="1">'Tableaux aéro'!W83</f>
        <v>1.0454068699602387E-2</v>
      </c>
      <c r="AL15" s="41" t="e">
        <f t="shared" ca="1" si="4"/>
        <v>#NAME?</v>
      </c>
      <c r="AM15" s="89" t="e">
        <f ca="1">(([1]!InterpCm(Géométrie!$I$96,$A15,Géométrie!$B$112)-[1]!InterpCm(Géométrie!$I$96,$A15,0))*PI()*Géométrie!$B$113^2/4/$B$1*$AM$2/$B$2)+AJ15*(-Géométrie!$B$113/2/TAN(Géométrie!$I$96*PI()/180)+Géométrie!$B$2+Géométrie!$B$16+Géométrie!$B$84+Géométrie!$B$109-Géométrie!$B$110)/$B$2</f>
        <v>#NAME?</v>
      </c>
      <c r="AN15" s="176"/>
      <c r="AO15" s="217">
        <f>[2]!interpol(A15,'[3]CA basé sur Ariane 3'!$A$6:$A$23,'[3]CA basé sur Ariane 3'!$B$6:$B$23)</f>
        <v>9.7735802867160715E-2</v>
      </c>
      <c r="AP15" s="217">
        <f ca="1">0.6*(Géométrie!$B$103+Géométrie!$B$136)+Géométrie!$B$16+Géométrie!$B$13+Géométrie!$B$2+Géométrie!$B$84-Géométrie!$B$103</f>
        <v>23.85864022529865</v>
      </c>
      <c r="AQ15" s="194"/>
      <c r="AR15" s="176"/>
      <c r="AS15" s="41">
        <f ca="1">'Tableaux aéro'!Y83</f>
        <v>1.5911295364723924E-2</v>
      </c>
      <c r="AT15" s="217">
        <f t="shared" si="5"/>
        <v>-3.74934401703156</v>
      </c>
      <c r="AU15" s="194"/>
      <c r="AV15" s="213">
        <f ca="1">-'Tableaux aéro'!B121*('Tableaux aéro'!$E$112-'Tableaux aéro'!$E$113)/Aerodynamique!$B$1</f>
        <v>7.6501180055127391E-2</v>
      </c>
      <c r="AW15" s="213">
        <f ca="1">'Tableaux aéro'!S83</f>
        <v>9.3086582861002742E-2</v>
      </c>
      <c r="AX15" s="75"/>
      <c r="AY15">
        <f t="shared" ca="1" si="6"/>
        <v>0.52841991129862809</v>
      </c>
      <c r="AZ15">
        <f ca="1">(AY15-AV15-'Tableaux aéro'!J13)/AW15</f>
        <v>2.7717762042340826</v>
      </c>
      <c r="BA15">
        <f ca="1">'Tableaux aéro'!J13+'Tableaux aéro'!T83*AZ15</f>
        <v>0.45319290652029165</v>
      </c>
      <c r="BC15" t="e">
        <f t="shared" ca="1" si="7"/>
        <v>#NAME?</v>
      </c>
      <c r="BD15" t="e">
        <f ca="1">(BC15-'Tableaux aéro'!U13)/(([1]!InterpCn(Géométrie!$B$4,$A15,(Géométrie!$B$142-Géométrie!$B$132)/Géométrie!$B$3)-[1]!InterpCn(Géométrie!$B$4,$A15,0))*PI()*Géométrie!$B$3^2/4/$B$1)</f>
        <v>#NAME?</v>
      </c>
      <c r="BE15" t="e">
        <f ca="1">'Tableaux aéro'!U13+(([1]!InterpCn(Géométrie!$B$4,$A15,$BB$3/Géométrie!$B$3)-[1]!InterpCn(Géométrie!$B$4,$A15,0))*PI()*Géométrie!$B$3^2/4/$B$1)*BD15</f>
        <v>#NAME?</v>
      </c>
      <c r="BG15" t="e">
        <f t="shared" ca="1" si="8"/>
        <v>#NAME?</v>
      </c>
      <c r="BH15" t="e">
        <f ca="1">(BG15-'Tableaux aéro'!U13*'Tableaux aéro'!AE13/$B$2)/(([1]!InterpCm(Géométrie!$B$4,$A15,(Géométrie!$B$142-Géométrie!$B$132)/Géométrie!$B$3)-[1]!InterpCm(Géométrie!$B$4,$A15,0))*PI()*Géométrie!$B$3^2/4/$B$1)</f>
        <v>#NAME?</v>
      </c>
      <c r="BI15" t="e">
        <f ca="1">'Tableaux aéro'!U13*'Tableaux aéro'!AE13/$B$2+BH15*(([1]!InterpCm(Géométrie!$B$4,$A15,$BB$3/Géométrie!$B$3)-[1]!InterpCm(Géométrie!$B$4,$A15,0))*PI()*Géométrie!$B$3^2/4/$B$1)</f>
        <v>#NAME?</v>
      </c>
    </row>
    <row r="16" spans="1:61">
      <c r="A16" s="87">
        <v>1</v>
      </c>
      <c r="B16" s="41">
        <f>('Tableaux aéro'!U14)*PI()*Géométrie!$B$3^2/4/$B$1</f>
        <v>2.3725571759776014</v>
      </c>
      <c r="C16" s="41">
        <f>'Tableaux aéro'!M84*A16*Géométrie!$B$2</f>
        <v>110240841.88787518</v>
      </c>
      <c r="D16" s="41">
        <f>'Tableaux aéro'!J14*PI()*Géométrie!$B$3^2/4/$B$1</f>
        <v>0.31851643122694717</v>
      </c>
      <c r="E16" s="41">
        <f>Géométrie!$F$13-('Tableaux aéro'!AE14)*Géométrie!$B$3</f>
        <v>2.1007143757785647</v>
      </c>
      <c r="F16" s="41">
        <f t="shared" si="0"/>
        <v>1.2156256016909126</v>
      </c>
      <c r="G16" s="41" t="e">
        <f ca="1">([1]!InterpCn(Géométrie!$B$4,$A16,Géométrie!$B$18)-[1]!InterpCn(Géométrie!$B$4,$A16,0))*PI()*Géométrie!$B$3^2/4/$B$1</f>
        <v>#NAME?</v>
      </c>
      <c r="H16" s="241">
        <f ca="1">'Tableaux aéro'!P84</f>
        <v>1.2150502864608613E-2</v>
      </c>
      <c r="I16" s="41" t="e">
        <f t="shared" ca="1" si="1"/>
        <v>#NAME?</v>
      </c>
      <c r="J16" s="41" t="e">
        <f ca="1">([1]!InterpCm(Géométrie!$B$4,$A16,Géométrie!$B$18)-[1]!InterpCm(Géométrie!$B$4,$A16,0))*PI()*Géométrie!$B$3^2/4/$B$1*$J$2/$B$2+G16*(Géométrie!$F$13-Géométrie!$B$3/(2*TAN(Géométrie!$B$4*PI()/180)))*1/$B$2</f>
        <v>#NAME?</v>
      </c>
      <c r="K16" s="230">
        <f>'Tableaux aéro'!L14*PI()/180*PI()*Géométrie!$B$3^2/4/$B$1</f>
        <v>4.9748185582704503E-2</v>
      </c>
      <c r="L16" s="230">
        <f>'Tableaux aéro'!B14*PI()*Géométrie!$B$3^2/4/$B$1</f>
        <v>0.21111040468749998</v>
      </c>
      <c r="M16" s="230">
        <f>'Tableaux aéro'!W14*Géométrie!$B$3</f>
        <v>3.7539521134475167</v>
      </c>
      <c r="N16" s="230">
        <f>K16*(M16-Géométrie!$F$12)/$B$2</f>
        <v>4.5549343026432404E-2</v>
      </c>
      <c r="O16" s="231">
        <f>[1]!InterpCn(10,$A16,Géométrie!$F$13/Géométrie!$B$3)*Géométrie!$B$3^2*PI()/4/Aerodynamique!$B$1</f>
        <v>6.1994965805471113E-2</v>
      </c>
      <c r="P16" s="230">
        <f>'Tableaux aéro'!M84*A16*Géométrie!$F$13</f>
        <v>55845842.025600001</v>
      </c>
      <c r="Q16" s="230">
        <f>0.445/POWER(LOG(P16),2.58)/POWER(1+0.15*A16^2,0.58)*Géométrie!$B$10/$B$1</f>
        <v>1.0408168070980215E-2</v>
      </c>
      <c r="R16" s="230"/>
      <c r="S16" s="230">
        <f>[1]!InterpCm(10,$A16,Géométrie!$F$13/Géométrie!$B$3)*Géométrie!$B$3^2*PI()/4/$B$1</f>
        <v>-7.2177146656534949E-2</v>
      </c>
      <c r="T16" s="190"/>
      <c r="U16" s="176"/>
      <c r="V16" s="176"/>
      <c r="W16" s="194"/>
      <c r="X16" s="176"/>
      <c r="Y16" s="41">
        <f>[2]!interpol(A16,'[3]CA basé sur Ariane 3'!$A$6:$A$23,'[3]CA basé sur Ariane 3'!$B$6:$B$23)*PI()*Géométrie!$B$3^2/4/$B$1</f>
        <v>0.17473225458491101</v>
      </c>
      <c r="Z16" s="222">
        <f>0.6*Géométrie!$B$81+Géométrie!$B$16+Géométrie!$B$2</f>
        <v>10.332515798803174</v>
      </c>
      <c r="AA16" s="194"/>
      <c r="AB16" s="190"/>
      <c r="AC16" s="41">
        <f ca="1">'Tableaux aéro'!R84</f>
        <v>3.3553260433583615E-2</v>
      </c>
      <c r="AD16" s="217">
        <f t="shared" si="2"/>
        <v>-3.7539521134475167</v>
      </c>
      <c r="AE16" s="176"/>
      <c r="AF16" s="87">
        <f>[2]!interpol(A16,[4]jupA_data!$A$2:$A$10,[4]jupA_data!$B$2:$B$10)*PI()*(Géométrie!$B$113^2-Géométrie!$B$85^2)/$B$1*COS(Géométrie!$I$96*PI()/180)^2/100</f>
        <v>2.0816084119875584E-2</v>
      </c>
      <c r="AG16" s="41">
        <f>'Tableaux aéro'!N52</f>
        <v>1.3396591741728648E-2</v>
      </c>
      <c r="AH16" s="41">
        <f ca="1">0.4*(Géométrie!$B$109-Géométrie!$B$110)+Géométrie!$B$84+Géométrie!$B$16+Géométrie!$B$3</f>
        <v>18.466652672398482</v>
      </c>
      <c r="AI16" s="41">
        <f t="shared" ca="1" si="3"/>
        <v>9.3756925717359038E-2</v>
      </c>
      <c r="AJ16" s="87" t="e">
        <f ca="1">([1]!InterpCn(Géométrie!$I$96,$A16,Géométrie!$B$112)-[1]!InterpCn(Géométrie!$I$96,$A16,0))*PI()*Géométrie!$B$113^2/4</f>
        <v>#NAME?</v>
      </c>
      <c r="AK16" s="41">
        <f ca="1">'Tableaux aéro'!W84</f>
        <v>1.0424982916913956E-2</v>
      </c>
      <c r="AL16" s="41" t="e">
        <f t="shared" ca="1" si="4"/>
        <v>#NAME?</v>
      </c>
      <c r="AM16" s="89" t="e">
        <f ca="1">(([1]!InterpCm(Géométrie!$I$96,$A16,Géométrie!$B$112)-[1]!InterpCm(Géométrie!$I$96,$A16,0))*PI()*Géométrie!$B$113^2/4/$B$1*$AM$2/$B$2)+AJ16*(-Géométrie!$B$113/2/TAN(Géométrie!$I$96*PI()/180)+Géométrie!$B$2+Géométrie!$B$16+Géométrie!$B$84+Géométrie!$B$109-Géométrie!$B$110)/$B$2</f>
        <v>#NAME?</v>
      </c>
      <c r="AN16" s="176"/>
      <c r="AO16" s="217">
        <f>[2]!interpol(A16,'[3]CA basé sur Ariane 3'!$A$6:$A$23,'[3]CA basé sur Ariane 3'!$B$6:$B$23)</f>
        <v>0.11182864293434305</v>
      </c>
      <c r="AP16" s="217">
        <f ca="1">0.6*(Géométrie!$B$103+Géométrie!$B$136)+Géométrie!$B$16+Géométrie!$B$13+Géométrie!$B$2+Géométrie!$B$84-Géométrie!$B$103</f>
        <v>23.85864022529865</v>
      </c>
      <c r="AQ16" s="194"/>
      <c r="AR16" s="176"/>
      <c r="AS16" s="41">
        <f ca="1">'Tableaux aéro'!Y84</f>
        <v>1.5867026239221871E-2</v>
      </c>
      <c r="AT16" s="217">
        <f t="shared" si="5"/>
        <v>-3.7539521134475167</v>
      </c>
      <c r="AU16" s="194"/>
      <c r="AV16" s="213">
        <f ca="1">-'Tableaux aéro'!B122*('Tableaux aéro'!$E$112-'Tableaux aéro'!$E$113)/Aerodynamique!$B$1</f>
        <v>7.8062428627681008E-2</v>
      </c>
      <c r="AW16" s="213">
        <f ca="1">'Tableaux aéro'!S84</f>
        <v>9.2827593160618727E-2</v>
      </c>
      <c r="AX16" s="75"/>
      <c r="AY16">
        <f t="shared" ca="1" si="6"/>
        <v>0.56649054714330627</v>
      </c>
      <c r="AZ16">
        <f ca="1">(AY16-AV16-'Tableaux aéro'!J14)/AW16</f>
        <v>3.0656574499133793</v>
      </c>
      <c r="BA16">
        <f ca="1">'Tableaux aéro'!J14+'Tableaux aéro'!T84*AZ16</f>
        <v>0.48983346897627311</v>
      </c>
      <c r="BC16" t="e">
        <f t="shared" ca="1" si="7"/>
        <v>#NAME?</v>
      </c>
      <c r="BD16" t="e">
        <f ca="1">(BC16-'Tableaux aéro'!U14)/(([1]!InterpCn(Géométrie!$B$4,$A16,(Géométrie!$B$142-Géométrie!$B$132)/Géométrie!$B$3)-[1]!InterpCn(Géométrie!$B$4,$A16,0))*PI()*Géométrie!$B$3^2/4/$B$1)</f>
        <v>#NAME?</v>
      </c>
      <c r="BE16" t="e">
        <f ca="1">'Tableaux aéro'!U14+(([1]!InterpCn(Géométrie!$B$4,$A16,$BB$3/Géométrie!$B$3)-[1]!InterpCn(Géométrie!$B$4,$A16,0))*PI()*Géométrie!$B$3^2/4/$B$1)*BD16</f>
        <v>#NAME?</v>
      </c>
      <c r="BG16" t="e">
        <f t="shared" ca="1" si="8"/>
        <v>#NAME?</v>
      </c>
      <c r="BH16" t="e">
        <f ca="1">(BG16-'Tableaux aéro'!U14*'Tableaux aéro'!AE14/$B$2)/(([1]!InterpCm(Géométrie!$B$4,$A16,(Géométrie!$B$142-Géométrie!$B$132)/Géométrie!$B$3)-[1]!InterpCm(Géométrie!$B$4,$A16,0))*PI()*Géométrie!$B$3^2/4/$B$1)</f>
        <v>#NAME?</v>
      </c>
      <c r="BI16" t="e">
        <f ca="1">'Tableaux aéro'!U14*'Tableaux aéro'!AE14/$B$2+BH16*(([1]!InterpCm(Géométrie!$B$4,$A16,$BB$3/Géométrie!$B$3)-[1]!InterpCm(Géométrie!$B$4,$A16,0))*PI()*Géométrie!$B$3^2/4/$B$1)</f>
        <v>#NAME?</v>
      </c>
    </row>
    <row r="17" spans="1:61">
      <c r="A17" s="87">
        <v>1.02</v>
      </c>
      <c r="B17" s="41">
        <f>('Tableaux aéro'!U15)*PI()*Géométrie!$B$3^2/4/$B$1</f>
        <v>2.3646466015963297</v>
      </c>
      <c r="C17" s="41">
        <f>'Tableaux aéro'!M85*A17*Géométrie!$B$2</f>
        <v>109584031.24518669</v>
      </c>
      <c r="D17" s="41">
        <f>'Tableaux aéro'!J15*PI()*Géométrie!$B$3^2/4/$B$1</f>
        <v>0.33763066955378307</v>
      </c>
      <c r="E17" s="41">
        <f>Géométrie!$F$13-('Tableaux aéro'!AE15)*Géométrie!$B$3</f>
        <v>2.095472449992982</v>
      </c>
      <c r="F17" s="41">
        <f t="shared" si="0"/>
        <v>1.2085492213694244</v>
      </c>
      <c r="G17" s="41" t="e">
        <f ca="1">([1]!InterpCn(Géométrie!$B$4,$A17,Géométrie!$B$18)-[1]!InterpCn(Géométrie!$B$4,$A17,0))*PI()*Géométrie!$B$3^2/4/$B$1</f>
        <v>#NAME?</v>
      </c>
      <c r="H17" s="241">
        <f ca="1">'Tableaux aéro'!P85</f>
        <v>1.2122821729085414E-2</v>
      </c>
      <c r="I17" s="41" t="e">
        <f t="shared" ca="1" si="1"/>
        <v>#NAME?</v>
      </c>
      <c r="J17" s="41" t="e">
        <f ca="1">([1]!InterpCm(Géométrie!$B$4,$A17,Géométrie!$B$18)-[1]!InterpCm(Géométrie!$B$4,$A17,0))*PI()*Géométrie!$B$3^2/4/$B$1*$J$2/$B$2+G17*(Géométrie!$F$13-Géométrie!$B$3/(2*TAN(Géométrie!$B$4*PI()/180)))*1/$B$2</f>
        <v>#NAME?</v>
      </c>
      <c r="K17" s="230">
        <f>'Tableaux aéro'!L15*PI()/180*PI()*Géométrie!$B$3^2/4/$B$1</f>
        <v>4.9990816719051527E-2</v>
      </c>
      <c r="L17" s="230">
        <f>'Tableaux aéro'!B15*PI()*Géométrie!$B$3^2/4/$B$1</f>
        <v>0.22389296874999992</v>
      </c>
      <c r="M17" s="230">
        <f>'Tableaux aéro'!W15*Géométrie!$B$3</f>
        <v>3.7585602098634734</v>
      </c>
      <c r="N17" s="230">
        <f>K17*(M17-Géométrie!$F$12)/$B$2</f>
        <v>4.5827681604586529E-2</v>
      </c>
      <c r="O17" s="231">
        <f>[1]!InterpCn(10,$A17,Géométrie!$F$13/Géométrie!$B$3)*Géométrie!$B$3^2*PI()/4/Aerodynamique!$B$1</f>
        <v>6.1682465805471112E-2</v>
      </c>
      <c r="P17" s="230">
        <f>'Tableaux aéro'!M85*A17*Géométrie!$F$13</f>
        <v>55513114.673702404</v>
      </c>
      <c r="Q17" s="230">
        <f>0.445/POWER(LOG(P17),2.58)/POWER(1+0.15*A17^2,0.58)*Géométrie!$B$10/$B$1</f>
        <v>1.0385462722298242E-2</v>
      </c>
      <c r="R17" s="230"/>
      <c r="S17" s="230">
        <f>[1]!InterpCm(10,$A17,Géométrie!$F$13/Géométrie!$B$3)*Géométrie!$B$3^2*PI()/4/$B$1</f>
        <v>-6.5114646656534936E-2</v>
      </c>
      <c r="T17" s="190"/>
      <c r="U17" s="176"/>
      <c r="V17" s="176"/>
      <c r="W17" s="194"/>
      <c r="X17" s="176"/>
      <c r="Y17" s="41">
        <f>[2]!interpol(A17,'[3]CA basé sur Ariane 3'!$A$6:$A$23,'[3]CA basé sur Ariane 3'!$B$6:$B$23)*PI()*Géométrie!$B$3^2/4/$B$1</f>
        <v>0.17378038833870674</v>
      </c>
      <c r="Z17" s="222">
        <f>0.6*Géométrie!$B$81+Géométrie!$B$16+Géométrie!$B$2</f>
        <v>10.332515798803174</v>
      </c>
      <c r="AA17" s="194"/>
      <c r="AB17" s="190"/>
      <c r="AC17" s="41">
        <f ca="1">'Tableaux aéro'!R85</f>
        <v>3.3476819782554047E-2</v>
      </c>
      <c r="AD17" s="217">
        <f t="shared" si="2"/>
        <v>-3.7585602098634734</v>
      </c>
      <c r="AE17" s="176"/>
      <c r="AF17" s="87">
        <f>[2]!interpol(A17,[4]jupA_data!$A$2:$A$10,[4]jupA_data!$B$2:$B$10)*PI()*(Géométrie!$B$113^2-Géométrie!$B$85^2)/$B$1*COS(Géométrie!$I$96*PI()/180)^2/100</f>
        <v>2.0557900130791854E-2</v>
      </c>
      <c r="AG17" s="41">
        <f>'Tableaux aéro'!N53</f>
        <v>1.4231265850173289E-2</v>
      </c>
      <c r="AH17" s="41">
        <f ca="1">0.4*(Géométrie!$B$109-Géométrie!$B$110)+Géométrie!$B$84+Géométrie!$B$16+Géométrie!$B$3</f>
        <v>18.466652672398482</v>
      </c>
      <c r="AI17" s="41">
        <f t="shared" ca="1" si="3"/>
        <v>9.2594049119314278E-2</v>
      </c>
      <c r="AJ17" s="87" t="e">
        <f ca="1">([1]!InterpCn(Géométrie!$I$96,$A17,Géométrie!$B$112)-[1]!InterpCn(Géométrie!$I$96,$A17,0))*PI()*Géométrie!$B$113^2/4</f>
        <v>#NAME?</v>
      </c>
      <c r="AK17" s="41">
        <f ca="1">'Tableaux aéro'!W85</f>
        <v>1.0401232841039261E-2</v>
      </c>
      <c r="AL17" s="41" t="e">
        <f t="shared" ca="1" si="4"/>
        <v>#NAME?</v>
      </c>
      <c r="AM17" s="89" t="e">
        <f ca="1">(([1]!InterpCm(Géométrie!$I$96,$A17,Géométrie!$B$112)-[1]!InterpCm(Géométrie!$I$96,$A17,0))*PI()*Géométrie!$B$113^2/4/$B$1*$AM$2/$B$2)+AJ17*(-Géométrie!$B$113/2/TAN(Géométrie!$I$96*PI()/180)+Géométrie!$B$2+Géométrie!$B$16+Géométrie!$B$84+Géométrie!$B$109-Géométrie!$B$110)/$B$2</f>
        <v>#NAME?</v>
      </c>
      <c r="AN17" s="176"/>
      <c r="AO17" s="217">
        <f>[2]!interpol(A17,'[3]CA basé sur Ariane 3'!$A$6:$A$23,'[3]CA basé sur Ariane 3'!$B$6:$B$23)</f>
        <v>0.11121944853677233</v>
      </c>
      <c r="AP17" s="217">
        <f ca="1">0.6*(Géométrie!$B$103+Géométrie!$B$136)+Géométrie!$B$16+Géométrie!$B$13+Géométrie!$B$2+Géométrie!$B$84-Géométrie!$B$103</f>
        <v>23.85864022529865</v>
      </c>
      <c r="AQ17" s="194"/>
      <c r="AR17" s="176"/>
      <c r="AS17" s="41">
        <f ca="1">'Tableaux aéro'!Y85</f>
        <v>1.5830878163000481E-2</v>
      </c>
      <c r="AT17" s="217">
        <f t="shared" si="5"/>
        <v>-3.7585602098634734</v>
      </c>
      <c r="AU17" s="194"/>
      <c r="AV17" s="213">
        <f ca="1">-'Tableaux aéro'!B123*('Tableaux aéro'!$E$112-'Tableaux aéro'!$E$113)/Aerodynamique!$B$1</f>
        <v>8.040430148651144E-2</v>
      </c>
      <c r="AW17" s="213">
        <f ca="1">'Tableaux aéro'!S85</f>
        <v>9.2616114408240829E-2</v>
      </c>
      <c r="AX17" s="75"/>
      <c r="AY17">
        <f t="shared" ca="1" si="6"/>
        <v>0.58535125452925685</v>
      </c>
      <c r="AZ17">
        <f ca="1">(AY17-AV17-'Tableaux aéro'!J15)/AW17</f>
        <v>3.1189315852212172</v>
      </c>
      <c r="BA17">
        <f ca="1">'Tableaux aéro'!J15+'Tableaux aéro'!T85*AZ17</f>
        <v>0.50637346799887872</v>
      </c>
      <c r="BC17" t="e">
        <f t="shared" ca="1" si="7"/>
        <v>#NAME?</v>
      </c>
      <c r="BD17" t="e">
        <f ca="1">(BC17-'Tableaux aéro'!U15)/(([1]!InterpCn(Géométrie!$B$4,$A17,(Géométrie!$B$142-Géométrie!$B$132)/Géométrie!$B$3)-[1]!InterpCn(Géométrie!$B$4,$A17,0))*PI()*Géométrie!$B$3^2/4/$B$1)</f>
        <v>#NAME?</v>
      </c>
      <c r="BE17" t="e">
        <f ca="1">'Tableaux aéro'!U15+(([1]!InterpCn(Géométrie!$B$4,$A17,$BB$3/Géométrie!$B$3)-[1]!InterpCn(Géométrie!$B$4,$A17,0))*PI()*Géométrie!$B$3^2/4/$B$1)*BD17</f>
        <v>#NAME?</v>
      </c>
      <c r="BG17" t="e">
        <f t="shared" ca="1" si="8"/>
        <v>#NAME?</v>
      </c>
      <c r="BH17" t="e">
        <f ca="1">(BG17-'Tableaux aéro'!U15*'Tableaux aéro'!AE15/$B$2)/(([1]!InterpCm(Géométrie!$B$4,$A17,(Géométrie!$B$142-Géométrie!$B$132)/Géométrie!$B$3)-[1]!InterpCm(Géométrie!$B$4,$A17,0))*PI()*Géométrie!$B$3^2/4/$B$1)</f>
        <v>#NAME?</v>
      </c>
      <c r="BI17" t="e">
        <f ca="1">'Tableaux aéro'!U15*'Tableaux aéro'!AE15/$B$2+BH17*(([1]!InterpCm(Géométrie!$B$4,$A17,$BB$3/Géométrie!$B$3)-[1]!InterpCm(Géométrie!$B$4,$A17,0))*PI()*Géométrie!$B$3^2/4/$B$1)</f>
        <v>#NAME?</v>
      </c>
    </row>
    <row r="18" spans="1:61">
      <c r="A18" s="87">
        <v>1.04</v>
      </c>
      <c r="B18" s="41">
        <f>('Tableaux aéro'!U16)*PI()*Géométrie!$B$3^2/4/$B$1</f>
        <v>2.3610603891405129</v>
      </c>
      <c r="C18" s="41">
        <f>'Tableaux aéro'!M86*A18*Géométrie!$B$2</f>
        <v>108814999.91699052</v>
      </c>
      <c r="D18" s="41">
        <f>'Tableaux aéro'!J16*PI()*Géométrie!$B$3^2/4/$B$1</f>
        <v>0.35701114523505934</v>
      </c>
      <c r="E18" s="41">
        <f>Géométrie!$F$13-('Tableaux aéro'!AE16)*Géométrie!$B$3</f>
        <v>2.0900023472064442</v>
      </c>
      <c r="F18" s="41">
        <f t="shared" si="0"/>
        <v>1.2035662817560568</v>
      </c>
      <c r="G18" s="41" t="e">
        <f ca="1">([1]!InterpCn(Géométrie!$B$4,$A18,Géométrie!$B$18)-[1]!InterpCn(Géométrie!$B$4,$A18,0))*PI()*Géométrie!$B$3^2/4/$B$1</f>
        <v>#NAME?</v>
      </c>
      <c r="H18" s="241">
        <f ca="1">'Tableaux aéro'!P86</f>
        <v>1.2096332798446874E-2</v>
      </c>
      <c r="I18" s="41" t="e">
        <f t="shared" ca="1" si="1"/>
        <v>#NAME?</v>
      </c>
      <c r="J18" s="41" t="e">
        <f ca="1">([1]!InterpCm(Géométrie!$B$4,$A18,Géométrie!$B$18)-[1]!InterpCm(Géométrie!$B$4,$A18,0))*PI()*Géométrie!$B$3^2/4/$B$1*$J$2/$B$2+G18*(Géométrie!$F$13-Géométrie!$B$3/(2*TAN(Géométrie!$B$4*PI()/180)))*1/$B$2</f>
        <v>#NAME?</v>
      </c>
      <c r="K18" s="230">
        <f>'Tableaux aéro'!L16*PI()/180*PI()*Géométrie!$B$3^2/4/$B$1</f>
        <v>5.0233447855398544E-2</v>
      </c>
      <c r="L18" s="230">
        <f>'Tableaux aéro'!B16*PI()*Géométrie!$B$3^2/4/$B$1</f>
        <v>0.23667553124999999</v>
      </c>
      <c r="M18" s="230">
        <f>'Tableaux aéro'!W16*Géométrie!$B$3</f>
        <v>3.7629014658704656</v>
      </c>
      <c r="N18" s="230">
        <f>K18*(M18-Géométrie!$F$12)/$B$2</f>
        <v>4.6103296236782144E-2</v>
      </c>
      <c r="O18" s="231">
        <f>[1]!InterpCn(10,$A18,Géométrie!$F$13/Géométrie!$B$3)*Géométrie!$B$3^2*PI()/4/Aerodynamique!$B$1</f>
        <v>6.1369965805471112E-2</v>
      </c>
      <c r="P18" s="230">
        <f>'Tableaux aéro'!M86*A18*Géométrie!$F$13</f>
        <v>55123538.529945605</v>
      </c>
      <c r="Q18" s="230">
        <f>0.445/POWER(LOG(P18),2.58)/POWER(1+0.15*A18^2,0.58)*Géométrie!$B$10/$B$1</f>
        <v>1.0363954419567088E-2</v>
      </c>
      <c r="R18" s="230"/>
      <c r="S18" s="230">
        <f>[1]!InterpCm(10,$A18,Géométrie!$F$13/Géométrie!$B$3)*Géométrie!$B$3^2*PI()/4/$B$1</f>
        <v>-5.8052146656534943E-2</v>
      </c>
      <c r="T18" s="190"/>
      <c r="U18" s="176"/>
      <c r="V18" s="176"/>
      <c r="W18" s="194"/>
      <c r="X18" s="176"/>
      <c r="Y18" s="41">
        <f>[2]!interpol(A18,'[3]CA basé sur Ariane 3'!$A$6:$A$23,'[3]CA basé sur Ariane 3'!$B$6:$B$23)*PI()*Géométrie!$B$3^2/4/$B$1</f>
        <v>0.17282852209250249</v>
      </c>
      <c r="Z18" s="222">
        <f>0.6*Géométrie!$B$81+Géométrie!$B$16+Géométrie!$B$2</f>
        <v>10.332515798803174</v>
      </c>
      <c r="AA18" s="194"/>
      <c r="AB18" s="190"/>
      <c r="AC18" s="41">
        <f ca="1">'Tableaux aéro'!R86</f>
        <v>3.3403671370654912E-2</v>
      </c>
      <c r="AD18" s="217">
        <f>R18-M18</f>
        <v>-3.7629014658704656</v>
      </c>
      <c r="AE18" s="176"/>
      <c r="AF18" s="87">
        <f>[2]!interpol(A18,[4]jupA_data!$A$2:$A$10,[4]jupA_data!$B$2:$B$10)*PI()*(Géométrie!$B$113^2-Géométrie!$B$85^2)/$B$1*COS(Géométrie!$I$96*PI()/180)^2/100</f>
        <v>2.0299716141708123E-2</v>
      </c>
      <c r="AG18" s="41">
        <f>'Tableaux aéro'!N54</f>
        <v>1.5227915461758211E-2</v>
      </c>
      <c r="AH18" s="41">
        <f ca="1">0.4*(Géométrie!$B$109-Géométrie!$B$110)+Géométrie!$B$84+Géométrie!$B$16+Géométrie!$B$3</f>
        <v>18.466652672398482</v>
      </c>
      <c r="AI18" s="41">
        <f t="shared" ca="1" si="3"/>
        <v>9.1431172521269505E-2</v>
      </c>
      <c r="AJ18" s="87" t="e">
        <f ca="1">([1]!InterpCn(Géométrie!$I$96,$A18,Géométrie!$B$112)-[1]!InterpCn(Géométrie!$I$96,$A18,0))*PI()*Géométrie!$B$113^2/4</f>
        <v>#NAME?</v>
      </c>
      <c r="AK18" s="41">
        <f ca="1">'Tableaux aéro'!W86</f>
        <v>1.0378505662380801E-2</v>
      </c>
      <c r="AL18" s="41" t="e">
        <f t="shared" ca="1" si="4"/>
        <v>#NAME?</v>
      </c>
      <c r="AM18" s="89" t="e">
        <f ca="1">(([1]!InterpCm(Géométrie!$I$96,$A18,Géométrie!$B$112)-[1]!InterpCm(Géométrie!$I$96,$A18,0))*PI()*Géométrie!$B$113^2/4/$B$1*$AM$2/$B$2)+AJ18*(-Géométrie!$B$113/2/TAN(Géométrie!$I$96*PI()/180)+Géométrie!$B$2+Géométrie!$B$16+Géométrie!$B$84+Géométrie!$B$109-Géométrie!$B$110)/$B$2</f>
        <v>#NAME?</v>
      </c>
      <c r="AN18" s="176"/>
      <c r="AO18" s="217">
        <f>[2]!interpol(A18,'[3]CA basé sur Ariane 3'!$A$6:$A$23,'[3]CA basé sur Ariane 3'!$B$6:$B$23)</f>
        <v>0.11061025413920161</v>
      </c>
      <c r="AP18" s="217">
        <f ca="1">0.6*(Géométrie!$B$103+Géométrie!$B$136)+Géométrie!$B$16+Géométrie!$B$13+Géométrie!$B$2+Géométrie!$B$84-Géométrie!$B$103</f>
        <v>23.85864022529865</v>
      </c>
      <c r="AQ18" s="194"/>
      <c r="AR18" s="176"/>
      <c r="AS18" s="41">
        <f ca="1">'Tableaux aéro'!Y86</f>
        <v>1.5796286956185915E-2</v>
      </c>
      <c r="AT18" s="217">
        <f t="shared" si="5"/>
        <v>-3.7629014658704656</v>
      </c>
      <c r="AU18" s="194"/>
      <c r="AV18" s="213">
        <f ca="1">-'Tableaux aéro'!B124*('Tableaux aéro'!$E$112-'Tableaux aéro'!$E$113)/Aerodynamique!$B$1</f>
        <v>8.2746174345341872E-2</v>
      </c>
      <c r="AW18" s="213">
        <f ca="1">'Tableaux aéro'!S86</f>
        <v>9.2413743880537288E-2</v>
      </c>
      <c r="AX18" s="75"/>
      <c r="AY18">
        <f t="shared" ca="1" si="6"/>
        <v>0.60464604677854172</v>
      </c>
      <c r="AZ18">
        <f ca="1">(AY18-AV18-'Tableaux aéro'!J16)/AW18</f>
        <v>3.1749902899946871</v>
      </c>
      <c r="BA18">
        <f ca="1">'Tableaux aéro'!J16+'Tableaux aéro'!T86*AZ18</f>
        <v>0.52334885409909893</v>
      </c>
      <c r="BC18" t="e">
        <f t="shared" ca="1" si="7"/>
        <v>#NAME?</v>
      </c>
      <c r="BD18" t="e">
        <f ca="1">(BC18-'Tableaux aéro'!U16)/(([1]!InterpCn(Géométrie!$B$4,$A18,(Géométrie!$B$142-Géométrie!$B$132)/Géométrie!$B$3)-[1]!InterpCn(Géométrie!$B$4,$A18,0))*PI()*Géométrie!$B$3^2/4/$B$1)</f>
        <v>#NAME?</v>
      </c>
      <c r="BE18" t="e">
        <f ca="1">'Tableaux aéro'!U16+(([1]!InterpCn(Géométrie!$B$4,$A18,$BB$3/Géométrie!$B$3)-[1]!InterpCn(Géométrie!$B$4,$A18,0))*PI()*Géométrie!$B$3^2/4/$B$1)*BD18</f>
        <v>#NAME?</v>
      </c>
      <c r="BG18" t="e">
        <f t="shared" ca="1" si="8"/>
        <v>#NAME?</v>
      </c>
      <c r="BH18" t="e">
        <f ca="1">(BG18-'Tableaux aéro'!U16*'Tableaux aéro'!AE16/$B$2)/(([1]!InterpCm(Géométrie!$B$4,$A18,(Géométrie!$B$142-Géométrie!$B$132)/Géométrie!$B$3)-[1]!InterpCm(Géométrie!$B$4,$A18,0))*PI()*Géométrie!$B$3^2/4/$B$1)</f>
        <v>#NAME?</v>
      </c>
      <c r="BI18" t="e">
        <f ca="1">'Tableaux aéro'!U16*'Tableaux aéro'!AE16/$B$2+BH18*(([1]!InterpCm(Géométrie!$B$4,$A18,$BB$3/Géométrie!$B$3)-[1]!InterpCm(Géométrie!$B$4,$A18,0))*PI()*Géométrie!$B$3^2/4/$B$1)</f>
        <v>#NAME?</v>
      </c>
    </row>
    <row r="19" spans="1:61">
      <c r="A19" s="87">
        <v>1.06</v>
      </c>
      <c r="B19" s="41">
        <f>('Tableaux aéro'!U17)*PI()*Géométrie!$B$3^2/4/$B$1</f>
        <v>2.3662350183044989</v>
      </c>
      <c r="C19" s="41">
        <f>'Tableaux aéro'!M87*A19*Géométrie!$B$2</f>
        <v>108405476.74247666</v>
      </c>
      <c r="D19" s="41">
        <f>'Tableaux aéro'!J17*PI()*Géométrie!$B$3^2/4/$B$1</f>
        <v>0.37667131953161176</v>
      </c>
      <c r="E19" s="41">
        <f>Géométrie!$F$13-('Tableaux aéro'!AE17)*Géométrie!$B$3</f>
        <v>2.0863139728341507</v>
      </c>
      <c r="F19" s="41">
        <f t="shared" si="0"/>
        <v>1.2040754101702802</v>
      </c>
      <c r="G19" s="41" t="e">
        <f ca="1">([1]!InterpCn(Géométrie!$B$4,$A19,Géométrie!$B$18)-[1]!InterpCn(Géométrie!$B$4,$A19,0))*PI()*Géométrie!$B$3^2/4/$B$1</f>
        <v>#NAME?</v>
      </c>
      <c r="H19" s="241">
        <f ca="1">'Tableaux aéro'!P87</f>
        <v>1.2064309651870034E-2</v>
      </c>
      <c r="I19" s="41" t="e">
        <f t="shared" ca="1" si="1"/>
        <v>#NAME?</v>
      </c>
      <c r="J19" s="41" t="e">
        <f ca="1">([1]!InterpCm(Géométrie!$B$4,$A19,Géométrie!$B$18)-[1]!InterpCm(Géométrie!$B$4,$A19,0))*PI()*Géométrie!$B$3^2/4/$B$1*$J$2/$B$2+G19*(Géométrie!$F$13-Géométrie!$B$3/(2*TAN(Géométrie!$B$4*PI()/180)))*1/$B$2</f>
        <v>#NAME?</v>
      </c>
      <c r="K19" s="230">
        <f>'Tableaux aéro'!L17*PI()/180*PI()*Géométrie!$B$3^2/4/$B$1</f>
        <v>5.0476078991745568E-2</v>
      </c>
      <c r="L19" s="230">
        <f>'Tableaux aéro'!B17*PI()*Géométrie!$B$3^2/4/$B$1</f>
        <v>0.24945809531249999</v>
      </c>
      <c r="M19" s="230">
        <f>'Tableaux aéro'!W17*Géométrie!$B$3</f>
        <v>3.7652082219762515</v>
      </c>
      <c r="N19" s="230">
        <f>K19*(M19-Géométrie!$F$12)/$B$2</f>
        <v>4.6354377471425158E-2</v>
      </c>
      <c r="O19" s="231">
        <f>[1]!InterpCn(10,$A19,Géométrie!$F$13/Géométrie!$B$3)*Géométrie!$B$3^2*PI()/4/Aerodynamique!$B$1</f>
        <v>6.1057465805471112E-2</v>
      </c>
      <c r="P19" s="230">
        <f>'Tableaux aéro'!M87*A19*Géométrie!$F$13</f>
        <v>54916082.14519681</v>
      </c>
      <c r="Q19" s="230">
        <f>0.445/POWER(LOG(P19),2.58)/POWER(1+0.15*A19^2,0.58)*Géométrie!$B$10/$B$1</f>
        <v>1.0337150356442436E-2</v>
      </c>
      <c r="R19" s="230"/>
      <c r="S19" s="230">
        <f>[1]!InterpCm(10,$A19,Géométrie!$F$13/Géométrie!$B$3)*Géométrie!$B$3^2*PI()/4/$B$1</f>
        <v>-5.0989646656534951E-2</v>
      </c>
      <c r="T19" s="190"/>
      <c r="U19" s="176"/>
      <c r="V19" s="176"/>
      <c r="W19" s="194"/>
      <c r="X19" s="176"/>
      <c r="Y19" s="41">
        <f>[2]!interpol(A19,'[3]CA basé sur Ariane 3'!$A$6:$A$23,'[3]CA basé sur Ariane 3'!$B$6:$B$23)*PI()*Géométrie!$B$3^2/4/$B$1</f>
        <v>0.17040193349302404</v>
      </c>
      <c r="Z19" s="222">
        <f>0.6*Géométrie!$B$81+Géométrie!$B$16+Géométrie!$B$2</f>
        <v>10.332515798803174</v>
      </c>
      <c r="AA19" s="194"/>
      <c r="AB19" s="190"/>
      <c r="AC19" s="41">
        <f ca="1">'Tableaux aéro'!R87</f>
        <v>3.3315240382327235E-2</v>
      </c>
      <c r="AD19" s="217">
        <f t="shared" si="2"/>
        <v>-3.7652082219762515</v>
      </c>
      <c r="AE19" s="176"/>
      <c r="AF19" s="87">
        <f>[2]!interpol(A19,[4]jupA_data!$A$2:$A$10,[4]jupA_data!$B$2:$B$10)*PI()*(Géométrie!$B$113^2-Géométrie!$B$85^2)/$B$1*COS(Géométrie!$I$96*PI()/180)^2/100</f>
        <v>2.0041532152624397E-2</v>
      </c>
      <c r="AG19" s="41">
        <f>'Tableaux aéro'!N55</f>
        <v>1.6255388584212906E-2</v>
      </c>
      <c r="AH19" s="41">
        <f ca="1">0.4*(Géométrie!$B$109-Géométrie!$B$110)+Géométrie!$B$84+Géométrie!$B$16+Géométrie!$B$3</f>
        <v>18.466652672398482</v>
      </c>
      <c r="AI19" s="41">
        <f t="shared" ca="1" si="3"/>
        <v>9.0268295923224745E-2</v>
      </c>
      <c r="AJ19" s="87" t="e">
        <f ca="1">([1]!InterpCn(Géométrie!$I$96,$A19,Géométrie!$B$112)-[1]!InterpCn(Géométrie!$I$96,$A19,0))*PI()*Géométrie!$B$113^2/4</f>
        <v>#NAME?</v>
      </c>
      <c r="AK19" s="41">
        <f ca="1">'Tableaux aéro'!W87</f>
        <v>1.0351030194103534E-2</v>
      </c>
      <c r="AL19" s="41" t="e">
        <f t="shared" ca="1" si="4"/>
        <v>#NAME?</v>
      </c>
      <c r="AM19" s="89" t="e">
        <f ca="1">(([1]!InterpCm(Géométrie!$I$96,$A19,Géométrie!$B$112)-[1]!InterpCm(Géométrie!$I$96,$A19,0))*PI()*Géométrie!$B$113^2/4/$B$1*$AM$2/$B$2)+AJ19*(-Géométrie!$B$113/2/TAN(Géométrie!$I$96*PI()/180)+Géométrie!$B$2+Géométrie!$B$16+Géométrie!$B$84+Géométrie!$B$109-Géométrie!$B$110)/$B$2</f>
        <v>#NAME?</v>
      </c>
      <c r="AN19" s="176"/>
      <c r="AO19" s="217">
        <f>[2]!interpol(A19,'[3]CA basé sur Ariane 3'!$A$6:$A$23,'[3]CA basé sur Ariane 3'!$B$6:$B$23)</f>
        <v>0.10905723743553541</v>
      </c>
      <c r="AP19" s="217">
        <f ca="1">0.6*(Géométrie!$B$103+Géométrie!$B$136)+Géométrie!$B$16+Géométrie!$B$13+Géométrie!$B$2+Géométrie!$B$84-Géométrie!$B$103</f>
        <v>23.85864022529865</v>
      </c>
      <c r="AQ19" s="194"/>
      <c r="AR19" s="176"/>
      <c r="AS19" s="41">
        <f ca="1">'Tableaux aéro'!Y87</f>
        <v>1.5754468760456983E-2</v>
      </c>
      <c r="AT19" s="217">
        <f t="shared" si="5"/>
        <v>-3.7652082219762515</v>
      </c>
      <c r="AU19" s="194"/>
      <c r="AV19" s="213">
        <f ca="1">-'Tableaux aéro'!B125*('Tableaux aéro'!$E$112-'Tableaux aéro'!$E$113)/Aerodynamique!$B$1</f>
        <v>8.508804720417229E-2</v>
      </c>
      <c r="AW19" s="213">
        <f ca="1">'Tableaux aéro'!S87</f>
        <v>9.2169092967296792E-2</v>
      </c>
      <c r="AX19" s="75"/>
      <c r="AY19">
        <f t="shared" ca="1" si="6"/>
        <v>0.62274938094573651</v>
      </c>
      <c r="AZ19">
        <f ca="1">(AY19-AV19-'Tableaux aéro'!J17)/AW19</f>
        <v>3.2179082997656114</v>
      </c>
      <c r="BA19">
        <f ca="1">'Tableaux aéro'!J17+'Tableaux aéro'!T87*AZ19</f>
        <v>0.53912601424836948</v>
      </c>
      <c r="BC19" t="e">
        <f t="shared" ca="1" si="7"/>
        <v>#NAME?</v>
      </c>
      <c r="BD19" t="e">
        <f ca="1">(BC19-'Tableaux aéro'!U17)/(([1]!InterpCn(Géométrie!$B$4,$A19,(Géométrie!$B$142-Géométrie!$B$132)/Géométrie!$B$3)-[1]!InterpCn(Géométrie!$B$4,$A19,0))*PI()*Géométrie!$B$3^2/4/$B$1)</f>
        <v>#NAME?</v>
      </c>
      <c r="BE19" t="e">
        <f ca="1">'Tableaux aéro'!U17+(([1]!InterpCn(Géométrie!$B$4,$A19,$BB$3/Géométrie!$B$3)-[1]!InterpCn(Géométrie!$B$4,$A19,0))*PI()*Géométrie!$B$3^2/4/$B$1)*BD19</f>
        <v>#NAME?</v>
      </c>
      <c r="BG19" t="e">
        <f t="shared" ca="1" si="8"/>
        <v>#NAME?</v>
      </c>
      <c r="BH19" t="e">
        <f ca="1">(BG19-'Tableaux aéro'!U17*'Tableaux aéro'!AE17/$B$2)/(([1]!InterpCm(Géométrie!$B$4,$A19,(Géométrie!$B$142-Géométrie!$B$132)/Géométrie!$B$3)-[1]!InterpCm(Géométrie!$B$4,$A19,0))*PI()*Géométrie!$B$3^2/4/$B$1)</f>
        <v>#NAME?</v>
      </c>
      <c r="BI19" t="e">
        <f ca="1">'Tableaux aéro'!U17*'Tableaux aéro'!AE17/$B$2+BH19*(([1]!InterpCm(Géométrie!$B$4,$A19,$BB$3/Géométrie!$B$3)-[1]!InterpCm(Géométrie!$B$4,$A19,0))*PI()*Géométrie!$B$3^2/4/$B$1)</f>
        <v>#NAME?</v>
      </c>
    </row>
    <row r="20" spans="1:61">
      <c r="A20" s="87">
        <v>1.08</v>
      </c>
      <c r="B20" s="41">
        <f>('Tableaux aéro'!U18)*PI()*Géométrie!$B$3^2/4/$B$1</f>
        <v>2.3760188963017002</v>
      </c>
      <c r="C20" s="41">
        <f>'Tableaux aéro'!M88*A20*Géométrie!$B$2</f>
        <v>108382163.35405214</v>
      </c>
      <c r="D20" s="41">
        <f>'Tableaux aéro'!J18*PI()*Géométrie!$B$3^2/4/$B$1</f>
        <v>0.3981744620198206</v>
      </c>
      <c r="E20" s="41">
        <f>Géométrie!$F$13-('Tableaux aéro'!AE18)*Géométrie!$B$3</f>
        <v>2.0960253442445294</v>
      </c>
      <c r="F20" s="41">
        <f t="shared" si="0"/>
        <v>1.2146819085493363</v>
      </c>
      <c r="G20" s="41" t="e">
        <f ca="1">([1]!InterpCn(Géométrie!$B$4,$A20,Géométrie!$B$18)-[1]!InterpCn(Géométrie!$B$4,$A20,0))*PI()*Géométrie!$B$3^2/4/$B$1</f>
        <v>#NAME?</v>
      </c>
      <c r="H20" s="241">
        <f ca="1">'Tableaux aéro'!P88</f>
        <v>1.2026364767759581E-2</v>
      </c>
      <c r="I20" s="41" t="e">
        <f t="shared" ca="1" si="1"/>
        <v>#NAME?</v>
      </c>
      <c r="J20" s="41" t="e">
        <f ca="1">([1]!InterpCm(Géométrie!$B$4,$A20,Géométrie!$B$18)-[1]!InterpCm(Géométrie!$B$4,$A20,0))*PI()*Géométrie!$B$3^2/4/$B$1*$J$2/$B$2+G20*(Géométrie!$F$13-Géométrie!$B$3/(2*TAN(Géométrie!$B$4*PI()/180)))*1/$B$2</f>
        <v>#NAME?</v>
      </c>
      <c r="K20" s="230">
        <f>'Tableaux aéro'!L18*PI()/180*PI()*Géométrie!$B$3^2/4/$B$1</f>
        <v>5.0718710128092592E-2</v>
      </c>
      <c r="L20" s="230">
        <f>'Tableaux aéro'!B18*PI()*Géométrie!$B$3^2/4/$B$1</f>
        <v>0.26018543437499997</v>
      </c>
      <c r="M20" s="230">
        <f>'Tableaux aéro'!W18*Géométrie!$B$3</f>
        <v>3.7675149780820365</v>
      </c>
      <c r="N20" s="230">
        <f>K20*(M20-Géométrie!$F$12)/$B$2</f>
        <v>4.6605731725997544E-2</v>
      </c>
      <c r="O20" s="231">
        <f>[1]!InterpCn(10,$A20,Géométrie!$F$13/Géométrie!$B$3)*Géométrie!$B$3^2*PI()/4/Aerodynamique!$B$1</f>
        <v>6.0744965805471111E-2</v>
      </c>
      <c r="P20" s="230">
        <f>'Tableaux aéro'!M88*A20*Géométrie!$F$13</f>
        <v>54904272.041203216</v>
      </c>
      <c r="Q20" s="230">
        <f>0.445/POWER(LOG(P20),2.58)/POWER(1+0.15*A20^2,0.58)*Géométrie!$B$10/$B$1</f>
        <v>1.0304673760826472E-2</v>
      </c>
      <c r="R20" s="230"/>
      <c r="S20" s="230">
        <f>[1]!InterpCm(10,$A20,Géométrie!$F$13/Géométrie!$B$3)*Géométrie!$B$3^2*PI()/4/$B$1</f>
        <v>-4.3927146656534952E-2</v>
      </c>
      <c r="T20" s="190"/>
      <c r="U20" s="176"/>
      <c r="V20" s="176"/>
      <c r="W20" s="194"/>
      <c r="X20" s="176"/>
      <c r="Y20" s="41">
        <f>[2]!interpol(A20,'[3]CA basé sur Ariane 3'!$A$6:$A$23,'[3]CA basé sur Ariane 3'!$B$6:$B$23)*PI()*Géométrie!$B$3^2/4/$B$1</f>
        <v>0.16650062254027143</v>
      </c>
      <c r="Z20" s="222">
        <f>0.6*Géométrie!$B$81+Géométrie!$B$16+Géométrie!$B$2</f>
        <v>10.332515798803174</v>
      </c>
      <c r="AA20" s="194"/>
      <c r="AB20" s="190"/>
      <c r="AC20" s="41">
        <f ca="1">'Tableaux aéro'!R88</f>
        <v>3.3210456687951216E-2</v>
      </c>
      <c r="AD20" s="217">
        <f t="shared" si="2"/>
        <v>-3.7675149780820365</v>
      </c>
      <c r="AE20" s="176"/>
      <c r="AF20" s="87">
        <f>[2]!interpol(A20,[4]jupA_data!$A$2:$A$10,[4]jupA_data!$B$2:$B$10)*PI()*(Géométrie!$B$113^2-Géométrie!$B$85^2)/$B$1*COS(Géométrie!$I$96*PI()/180)^2/100</f>
        <v>1.9783348163540666E-2</v>
      </c>
      <c r="AG20" s="41">
        <f>'Tableaux aéro'!N56</f>
        <v>1.7267285074138147E-2</v>
      </c>
      <c r="AH20" s="41">
        <f ca="1">0.4*(Géométrie!$B$109-Géométrie!$B$110)+Géométrie!$B$84+Géométrie!$B$16+Géométrie!$B$3</f>
        <v>18.466652672398482</v>
      </c>
      <c r="AI20" s="41">
        <f t="shared" ca="1" si="3"/>
        <v>8.9105419325179971E-2</v>
      </c>
      <c r="AJ20" s="87" t="e">
        <f ca="1">([1]!InterpCn(Géométrie!$I$96,$A20,Géométrie!$B$112)-[1]!InterpCn(Géométrie!$I$96,$A20,0))*PI()*Géométrie!$B$113^2/4</f>
        <v>#NAME?</v>
      </c>
      <c r="AK20" s="41">
        <f ca="1">'Tableaux aéro'!W88</f>
        <v>1.031847394741617E-2</v>
      </c>
      <c r="AL20" s="41" t="e">
        <f t="shared" ca="1" si="4"/>
        <v>#NAME?</v>
      </c>
      <c r="AM20" s="89" t="e">
        <f ca="1">(([1]!InterpCm(Géométrie!$I$96,$A20,Géométrie!$B$112)-[1]!InterpCm(Géométrie!$I$96,$A20,0))*PI()*Géométrie!$B$113^2/4/$B$1*$AM$2/$B$2)+AJ20*(-Géométrie!$B$113/2/TAN(Géométrie!$I$96*PI()/180)+Géométrie!$B$2+Géométrie!$B$16+Géométrie!$B$84+Géométrie!$B$109-Géométrie!$B$110)/$B$2</f>
        <v>#NAME?</v>
      </c>
      <c r="AN20" s="176"/>
      <c r="AO20" s="217">
        <f>[2]!interpol(A20,'[3]CA basé sur Ariane 3'!$A$6:$A$23,'[3]CA basé sur Ariane 3'!$B$6:$B$23)</f>
        <v>0.10656039842577374</v>
      </c>
      <c r="AP20" s="217">
        <f ca="1">0.6*(Géométrie!$B$103+Géométrie!$B$136)+Géométrie!$B$16+Géométrie!$B$13+Géométrie!$B$2+Géométrie!$B$84-Géométrie!$B$103</f>
        <v>23.85864022529865</v>
      </c>
      <c r="AQ20" s="194"/>
      <c r="AR20" s="176"/>
      <c r="AS20" s="41">
        <f ca="1">'Tableaux aéro'!Y88</f>
        <v>1.5704917521423209E-2</v>
      </c>
      <c r="AT20" s="217">
        <f t="shared" si="5"/>
        <v>-3.7675149780820365</v>
      </c>
      <c r="AU20" s="194"/>
      <c r="AV20" s="213">
        <f ca="1">-'Tableaux aéro'!B126*('Tableaux aéro'!$E$112-'Tableaux aéro'!$E$113)/Aerodynamique!$B$1</f>
        <v>8.7429920063002736E-2</v>
      </c>
      <c r="AW20" s="213">
        <f ca="1">'Tableaux aéro'!S88</f>
        <v>9.1879201075250785E-2</v>
      </c>
      <c r="AX20" s="75"/>
      <c r="AY20">
        <f t="shared" ca="1" si="6"/>
        <v>0.64117621779102074</v>
      </c>
      <c r="AZ20">
        <f ca="1">(AY20-AV20-'Tableaux aéro'!J18)/AW20</f>
        <v>3.2533439400557702</v>
      </c>
      <c r="BA20">
        <f ca="1">'Tableaux aéro'!J18+'Tableaux aéro'!T88*AZ20</f>
        <v>0.55522244984309488</v>
      </c>
      <c r="BC20" t="e">
        <f t="shared" ca="1" si="7"/>
        <v>#NAME?</v>
      </c>
      <c r="BD20" t="e">
        <f ca="1">(BC20-'Tableaux aéro'!U18)/(([1]!InterpCn(Géométrie!$B$4,$A20,(Géométrie!$B$142-Géométrie!$B$132)/Géométrie!$B$3)-[1]!InterpCn(Géométrie!$B$4,$A20,0))*PI()*Géométrie!$B$3^2/4/$B$1)</f>
        <v>#NAME?</v>
      </c>
      <c r="BE20" t="e">
        <f ca="1">'Tableaux aéro'!U18+(([1]!InterpCn(Géométrie!$B$4,$A20,$BB$3/Géométrie!$B$3)-[1]!InterpCn(Géométrie!$B$4,$A20,0))*PI()*Géométrie!$B$3^2/4/$B$1)*BD20</f>
        <v>#NAME?</v>
      </c>
      <c r="BG20" t="e">
        <f t="shared" ca="1" si="8"/>
        <v>#NAME?</v>
      </c>
      <c r="BH20" t="e">
        <f ca="1">(BG20-'Tableaux aéro'!U18*'Tableaux aéro'!AE18/$B$2)/(([1]!InterpCm(Géométrie!$B$4,$A20,(Géométrie!$B$142-Géométrie!$B$132)/Géométrie!$B$3)-[1]!InterpCm(Géométrie!$B$4,$A20,0))*PI()*Géométrie!$B$3^2/4/$B$1)</f>
        <v>#NAME?</v>
      </c>
      <c r="BI20" t="e">
        <f ca="1">'Tableaux aéro'!U18*'Tableaux aéro'!AE18/$B$2+BH20*(([1]!InterpCm(Géométrie!$B$4,$A20,$BB$3/Géométrie!$B$3)-[1]!InterpCm(Géométrie!$B$4,$A20,0))*PI()*Géométrie!$B$3^2/4/$B$1)</f>
        <v>#NAME?</v>
      </c>
    </row>
    <row r="21" spans="1:61">
      <c r="A21" s="87">
        <v>1.1000000000000001</v>
      </c>
      <c r="B21" s="41">
        <f>('Tableaux aéro'!U19)*PI()*Géométrie!$B$3^2/4/$B$1</f>
        <v>2.3893623621763944</v>
      </c>
      <c r="C21" s="41">
        <f>'Tableaux aéro'!M89*A21*Géométrie!$B$2</f>
        <v>108282231.45666257</v>
      </c>
      <c r="D21" s="41">
        <f>'Tableaux aéro'!J19*PI()*Géométrie!$B$3^2/4/$B$1</f>
        <v>0.41946045700083057</v>
      </c>
      <c r="E21" s="41">
        <f>Géométrie!$F$13-('Tableaux aéro'!AE19)*Géométrie!$B$3</f>
        <v>2.1136597011050315</v>
      </c>
      <c r="F21" s="41">
        <f t="shared" si="0"/>
        <v>1.2317802283583832</v>
      </c>
      <c r="G21" s="41" t="e">
        <f ca="1">([1]!InterpCn(Géométrie!$B$4,$A21,Géométrie!$B$18)-[1]!InterpCn(Géométrie!$B$4,$A21,0))*PI()*Géométrie!$B$3^2/4/$B$1</f>
        <v>#NAME?</v>
      </c>
      <c r="H21" s="241">
        <f ca="1">'Tableaux aéro'!P89</f>
        <v>1.1989130612947967E-2</v>
      </c>
      <c r="I21" s="41" t="e">
        <f t="shared" ca="1" si="1"/>
        <v>#NAME?</v>
      </c>
      <c r="J21" s="41" t="e">
        <f ca="1">([1]!InterpCm(Géométrie!$B$4,$A21,Géométrie!$B$18)-[1]!InterpCm(Géométrie!$B$4,$A21,0))*PI()*Géométrie!$B$3^2/4/$B$1*$J$2/$B$2+G21*(Géométrie!$F$13-Géométrie!$B$3/(2*TAN(Géométrie!$B$4*PI()/180)))*1/$B$2</f>
        <v>#NAME?</v>
      </c>
      <c r="K21" s="230">
        <f>'Tableaux aéro'!L19*PI()/180*PI()*Géométrie!$B$3^2/4/$B$1</f>
        <v>5.1002654739969316E-2</v>
      </c>
      <c r="L21" s="230">
        <f>'Tableaux aéro'!B19*PI()*Géométrie!$B$3^2/4/$B$1</f>
        <v>0.26608136406249994</v>
      </c>
      <c r="M21" s="230">
        <f>'Tableaux aéro'!W19*Géométrie!$B$3</f>
        <v>3.7697673982332955</v>
      </c>
      <c r="N21" s="230">
        <f>K21*(M21-Géométrie!$F$12)/$B$2</f>
        <v>4.6894669527337861E-2</v>
      </c>
      <c r="O21" s="231">
        <f>[1]!InterpCn(10,$A21,Géométrie!$F$13/Géométrie!$B$3)*Géométrie!$B$3^2*PI()/4/Aerodynamique!$B$1</f>
        <v>6.0472454407294825E-2</v>
      </c>
      <c r="P21" s="230">
        <f>'Tableaux aéro'!M89*A21*Géométrie!$F$13</f>
        <v>54853648.507680014</v>
      </c>
      <c r="Q21" s="230">
        <f>0.445/POWER(LOG(P21),2.58)/POWER(1+0.15*A21^2,0.58)*Géométrie!$B$10/$B$1</f>
        <v>1.0272923952881142E-2</v>
      </c>
      <c r="R21" s="230"/>
      <c r="S21" s="230">
        <f>[1]!InterpCm(10,$A21,Géométrie!$F$13/Géométrie!$B$3)*Géométrie!$B$3^2*PI()/4/$B$1</f>
        <v>-3.7144566869300913E-2</v>
      </c>
      <c r="T21" s="190"/>
      <c r="U21" s="176"/>
      <c r="V21" s="176"/>
      <c r="W21" s="194"/>
      <c r="X21" s="176"/>
      <c r="Y21" s="41">
        <f>[2]!interpol(A21,'[3]CA basé sur Ariane 3'!$A$6:$A$23,'[3]CA basé sur Ariane 3'!$B$6:$B$23)*PI()*Géométrie!$B$3^2/4/$B$1</f>
        <v>0.16259931158751881</v>
      </c>
      <c r="Z21" s="222">
        <f>0.6*Géométrie!$B$81+Géométrie!$B$16+Géométrie!$B$2</f>
        <v>10.332515798803174</v>
      </c>
      <c r="AA21" s="194"/>
      <c r="AB21" s="190"/>
      <c r="AC21" s="41">
        <f ca="1">'Tableaux aéro'!R89</f>
        <v>3.3107635651872337E-2</v>
      </c>
      <c r="AD21" s="217">
        <f t="shared" si="2"/>
        <v>-3.7697673982332955</v>
      </c>
      <c r="AE21" s="176"/>
      <c r="AF21" s="87">
        <f>[2]!interpol(A21,[4]jupA_data!$A$2:$A$10,[4]jupA_data!$B$2:$B$10)*PI()*(Géométrie!$B$113^2-Géométrie!$B$85^2)/$B$1*COS(Géométrie!$I$96*PI()/180)^2/100</f>
        <v>1.9525164174456943E-2</v>
      </c>
      <c r="AG21" s="41">
        <f>'Tableaux aéro'!N57</f>
        <v>1.8386111324333095E-2</v>
      </c>
      <c r="AH21" s="41">
        <f ca="1">0.4*(Géométrie!$B$109-Géométrie!$B$110)+Géométrie!$B$84+Géométrie!$B$16+Géométrie!$B$3</f>
        <v>18.466652672398482</v>
      </c>
      <c r="AI21" s="41">
        <f t="shared" ca="1" si="3"/>
        <v>8.7942542727135239E-2</v>
      </c>
      <c r="AJ21" s="87" t="e">
        <f ca="1">([1]!InterpCn(Géométrie!$I$96,$A21,Géométrie!$B$112)-[1]!InterpCn(Géométrie!$I$96,$A21,0))*PI()*Géométrie!$B$113^2/4</f>
        <v>#NAME?</v>
      </c>
      <c r="AK21" s="41">
        <f ca="1">'Tableaux aéro'!W89</f>
        <v>1.028652749777848E-2</v>
      </c>
      <c r="AL21" s="41" t="e">
        <f t="shared" ca="1" si="4"/>
        <v>#NAME?</v>
      </c>
      <c r="AM21" s="89" t="e">
        <f ca="1">(([1]!InterpCm(Géométrie!$I$96,$A21,Géométrie!$B$112)-[1]!InterpCm(Géométrie!$I$96,$A21,0))*PI()*Géométrie!$B$113^2/4/$B$1*$AM$2/$B$2)+AJ21*(-Géométrie!$B$113/2/TAN(Géométrie!$I$96*PI()/180)+Géométrie!$B$2+Géométrie!$B$16+Géométrie!$B$84+Géométrie!$B$109-Géométrie!$B$110)/$B$2</f>
        <v>#NAME?</v>
      </c>
      <c r="AN21" s="176"/>
      <c r="AO21" s="217">
        <f>[2]!interpol(A21,'[3]CA basé sur Ariane 3'!$A$6:$A$23,'[3]CA basé sur Ariane 3'!$B$6:$B$23)</f>
        <v>0.10406355941601206</v>
      </c>
      <c r="AP21" s="217">
        <f ca="1">0.6*(Géométrie!$B$103+Géométrie!$B$136)+Géométrie!$B$16+Géométrie!$B$13+Géométrie!$B$2+Géométrie!$B$84-Géométrie!$B$103</f>
        <v>23.85864022529865</v>
      </c>
      <c r="AQ21" s="194"/>
      <c r="AR21" s="176"/>
      <c r="AS21" s="41">
        <f ca="1">'Tableaux aéro'!Y89</f>
        <v>1.5656294405328817E-2</v>
      </c>
      <c r="AT21" s="217">
        <f t="shared" si="5"/>
        <v>-3.7697673982332955</v>
      </c>
      <c r="AU21" s="194"/>
      <c r="AV21" s="213">
        <f ca="1">-'Tableaux aéro'!B127*('Tableaux aéro'!$E$112-'Tableaux aéro'!$E$113)/Aerodynamique!$B$1</f>
        <v>8.9771792921833155E-2</v>
      </c>
      <c r="AW21" s="213">
        <f ca="1">'Tableaux aéro'!S89</f>
        <v>9.1594739023511382E-2</v>
      </c>
      <c r="AX21" s="75"/>
      <c r="AY21">
        <f t="shared" ca="1" si="6"/>
        <v>0.65949633746766212</v>
      </c>
      <c r="AZ21">
        <f ca="1">(AY21-AV21-'Tableaux aéro'!J19)/AW21</f>
        <v>3.2891610945904293</v>
      </c>
      <c r="BA21">
        <f ca="1">'Tableaux aéro'!J19+'Tableaux aéro'!T89*AZ21</f>
        <v>0.57121232756745344</v>
      </c>
      <c r="BC21" t="e">
        <f t="shared" ca="1" si="7"/>
        <v>#NAME?</v>
      </c>
      <c r="BD21" t="e">
        <f ca="1">(BC21-'Tableaux aéro'!U19)/(([1]!InterpCn(Géométrie!$B$4,$A21,(Géométrie!$B$142-Géométrie!$B$132)/Géométrie!$B$3)-[1]!InterpCn(Géométrie!$B$4,$A21,0))*PI()*Géométrie!$B$3^2/4/$B$1)</f>
        <v>#NAME?</v>
      </c>
      <c r="BE21" t="e">
        <f ca="1">'Tableaux aéro'!U19+(([1]!InterpCn(Géométrie!$B$4,$A21,$BB$3/Géométrie!$B$3)-[1]!InterpCn(Géométrie!$B$4,$A21,0))*PI()*Géométrie!$B$3^2/4/$B$1)*BD21</f>
        <v>#NAME?</v>
      </c>
      <c r="BG21" t="e">
        <f t="shared" ca="1" si="8"/>
        <v>#NAME?</v>
      </c>
      <c r="BH21" t="e">
        <f ca="1">(BG21-'Tableaux aéro'!U19*'Tableaux aéro'!AE19/$B$2)/(([1]!InterpCm(Géométrie!$B$4,$A21,(Géométrie!$B$142-Géométrie!$B$132)/Géométrie!$B$3)-[1]!InterpCm(Géométrie!$B$4,$A21,0))*PI()*Géométrie!$B$3^2/4/$B$1)</f>
        <v>#NAME?</v>
      </c>
      <c r="BI21" t="e">
        <f ca="1">'Tableaux aéro'!U19*'Tableaux aéro'!AE19/$B$2+BH21*(([1]!InterpCm(Géométrie!$B$4,$A21,$BB$3/Géométrie!$B$3)-[1]!InterpCm(Géométrie!$B$4,$A21,0))*PI()*Géométrie!$B$3^2/4/$B$1)</f>
        <v>#NAME?</v>
      </c>
    </row>
    <row r="22" spans="1:61">
      <c r="A22" s="87">
        <v>1.3</v>
      </c>
      <c r="B22" s="41">
        <f>('Tableaux aéro'!U20)*PI()*Géométrie!$B$3^2/4/$B$1</f>
        <v>2.6559145766646015</v>
      </c>
      <c r="C22" s="41">
        <f>'Tableaux aéro'!M90*A22*Géométrie!$B$2</f>
        <v>102842279.25305569</v>
      </c>
      <c r="D22" s="41">
        <f>'Tableaux aéro'!J20*PI()*Géométrie!$B$3^2/4/$B$1</f>
        <v>0.4732335139208555</v>
      </c>
      <c r="E22" s="41">
        <f>Géométrie!$F$13-('Tableaux aéro'!AE20)*Géométrie!$B$3</f>
        <v>2.1490673491762777</v>
      </c>
      <c r="F22" s="41">
        <f t="shared" si="0"/>
        <v>1.3921315363198126</v>
      </c>
      <c r="G22" s="41" t="e">
        <f ca="1">([1]!InterpCn(Géométrie!$B$4,$A22,Géométrie!$B$18)-[1]!InterpCn(Géométrie!$B$4,$A22,0))*PI()*Géométrie!$B$3^2/4/$B$1</f>
        <v>#NAME?</v>
      </c>
      <c r="H22" s="241">
        <f ca="1">'Tableaux aéro'!P90</f>
        <v>1.1661869986786994E-2</v>
      </c>
      <c r="I22" s="41" t="e">
        <f t="shared" ca="1" si="1"/>
        <v>#NAME?</v>
      </c>
      <c r="J22" s="41" t="e">
        <f ca="1">([1]!InterpCm(Géométrie!$B$4,$A22,Géométrie!$B$18)-[1]!InterpCm(Géométrie!$B$4,$A22,0))*PI()*Géométrie!$B$3^2/4/$B$1*$J$2/$B$2+G22*(Géométrie!$F$13-Géométrie!$B$3/(2*TAN(Géométrie!$B$4*PI()/180)))*1/$B$2</f>
        <v>#NAME?</v>
      </c>
      <c r="K22" s="230">
        <f>'Tableaux aéro'!L20*PI()/180*PI()*Géométrie!$B$3^2/4/$B$1</f>
        <v>5.2510837544419674E-2</v>
      </c>
      <c r="L22" s="230">
        <f>'Tableaux aéro'!B20*PI()*Géométrie!$B$3^2/4/$B$1</f>
        <v>0.24734687968749999</v>
      </c>
      <c r="M22" s="230">
        <f>'Tableaux aéro'!W20*Géométrie!$B$3</f>
        <v>3.6164780860289265</v>
      </c>
      <c r="N22" s="230">
        <f>K22*(M22-Géométrie!$F$12)/$B$2</f>
        <v>4.6318120306931408E-2</v>
      </c>
      <c r="O22" s="231">
        <f>[1]!InterpCn(10,$A22,Géométrie!$F$13/Géométrie!$B$3)*Géométrie!$B$3^2*PI()/4/Aerodynamique!$B$1</f>
        <v>5.2936170212765969E-2</v>
      </c>
      <c r="P22" s="230">
        <f>'Tableaux aéro'!M90*A22*Géométrie!$F$13</f>
        <v>52097875.727040015</v>
      </c>
      <c r="Q22" s="230">
        <f>0.445/POWER(LOG(P22),2.58)/POWER(1+0.15*A22^2,0.58)*Géométrie!$B$10/$B$1</f>
        <v>1.000090220697549E-2</v>
      </c>
      <c r="R22" s="230"/>
      <c r="S22" s="230">
        <f>[1]!InterpCm(10,$A22,Géométrie!$F$13/Géométrie!$B$3)*Géométrie!$B$3^2*PI()/4/$B$1</f>
        <v>-2.417211246200612E-2</v>
      </c>
      <c r="T22" s="190"/>
      <c r="U22" s="176"/>
      <c r="V22" s="176"/>
      <c r="W22" s="194"/>
      <c r="X22" s="176"/>
      <c r="Y22" s="41">
        <f>[2]!interpol(A22,'[3]CA basé sur Ariane 3'!$A$6:$A$23,'[3]CA basé sur Ariane 3'!$B$6:$B$23)*PI()*Géométrie!$B$3^2/4/$B$1</f>
        <v>0.1290768787004756</v>
      </c>
      <c r="Z22" s="222">
        <f>0.6*Géométrie!$B$81+Géométrie!$B$16+Géométrie!$B$2</f>
        <v>10.332515798803174</v>
      </c>
      <c r="AA22" s="194"/>
      <c r="AB22" s="190"/>
      <c r="AC22" s="41">
        <f ca="1">'Tableaux aéro'!R90</f>
        <v>3.2203914946516123E-2</v>
      </c>
      <c r="AD22" s="217">
        <f t="shared" si="2"/>
        <v>-3.6164780860289265</v>
      </c>
      <c r="AE22" s="176"/>
      <c r="AF22" s="87">
        <f>[2]!interpol(A22,[4]jupA_data!$A$2:$A$10,[4]jupA_data!$B$2:$B$10)*PI()*(Géométrie!$B$113^2-Géométrie!$B$85^2)/$B$1*COS(Géométrie!$I$96*PI()/180)^2/100</f>
        <v>1.6943324283619662E-2</v>
      </c>
      <c r="AG22" s="41">
        <f>'Tableaux aéro'!N58</f>
        <v>2.3784389590215813E-2</v>
      </c>
      <c r="AH22" s="41">
        <f ca="1">0.4*(Géométrie!$B$109-Géométrie!$B$110)+Géométrie!$B$84+Géométrie!$B$16+Géométrie!$B$3</f>
        <v>18.466652672398482</v>
      </c>
      <c r="AI22" s="41">
        <f t="shared" ca="1" si="3"/>
        <v>7.63137767466876E-2</v>
      </c>
      <c r="AJ22" s="87" t="e">
        <f ca="1">([1]!InterpCn(Géométrie!$I$96,$A22,Géométrie!$B$112)-[1]!InterpCn(Géométrie!$I$96,$A22,0))*PI()*Géométrie!$B$113^2/4</f>
        <v>#NAME?</v>
      </c>
      <c r="AK22" s="41">
        <f ca="1">'Tableaux aéro'!W90</f>
        <v>1.0005741881321067E-2</v>
      </c>
      <c r="AL22" s="41" t="e">
        <f t="shared" ca="1" si="4"/>
        <v>#NAME?</v>
      </c>
      <c r="AM22" s="89" t="e">
        <f ca="1">(([1]!InterpCm(Géométrie!$I$96,$A22,Géométrie!$B$112)-[1]!InterpCm(Géométrie!$I$96,$A22,0))*PI()*Géométrie!$B$113^2/4/$B$1*$AM$2/$B$2)+AJ22*(-Géométrie!$B$113/2/TAN(Géométrie!$I$96*PI()/180)+Géométrie!$B$2+Géométrie!$B$16+Géométrie!$B$84+Géométrie!$B$109-Géométrie!$B$110)/$B$2</f>
        <v>#NAME?</v>
      </c>
      <c r="AN22" s="176"/>
      <c r="AO22" s="217">
        <f>[2]!interpol(A22,'[3]CA basé sur Ariane 3'!$A$6:$A$23,'[3]CA basé sur Ariane 3'!$B$6:$B$23)</f>
        <v>8.2609202368304407E-2</v>
      </c>
      <c r="AP22" s="217">
        <f ca="1">0.6*(Géométrie!$B$103+Géométrie!$B$136)+Géométrie!$B$16+Géométrie!$B$13+Géométrie!$B$2+Géométrie!$B$84-Géométrie!$B$103</f>
        <v>23.85864022529865</v>
      </c>
      <c r="AQ22" s="194"/>
      <c r="AR22" s="176"/>
      <c r="AS22" s="41">
        <f ca="1">'Tableaux aéro'!Y90</f>
        <v>1.5228933249974066E-2</v>
      </c>
      <c r="AT22" s="217">
        <f t="shared" si="5"/>
        <v>-3.6164780860289265</v>
      </c>
      <c r="AU22" s="194"/>
      <c r="AV22" s="213">
        <f ca="1">-'Tableaux aéro'!B128*('Tableaux aéro'!$E$112-'Tableaux aéro'!$E$113)/Aerodynamique!$B$1</f>
        <v>8.235586220220345E-2</v>
      </c>
      <c r="AW22" s="213">
        <f ca="1">'Tableaux aéro'!S90</f>
        <v>8.9094528406612042E-2</v>
      </c>
      <c r="AX22" s="75"/>
      <c r="AY22">
        <f t="shared" ca="1" si="6"/>
        <v>0.68353337228935818</v>
      </c>
      <c r="AZ22">
        <f ca="1">(AY22-AV22-'Tableaux aéro'!J20)/AW22</f>
        <v>3.3482197673955985</v>
      </c>
      <c r="BA22">
        <f ca="1">'Tableaux aéro'!J20+'Tableaux aéro'!T90*AZ22</f>
        <v>0.60265066667946399</v>
      </c>
      <c r="BC22" t="e">
        <f t="shared" ca="1" si="7"/>
        <v>#NAME?</v>
      </c>
      <c r="BD22" t="e">
        <f ca="1">(BC22-'Tableaux aéro'!U20)/(([1]!InterpCn(Géométrie!$B$4,$A22,(Géométrie!$B$142-Géométrie!$B$132)/Géométrie!$B$3)-[1]!InterpCn(Géométrie!$B$4,$A22,0))*PI()*Géométrie!$B$3^2/4/$B$1)</f>
        <v>#NAME?</v>
      </c>
      <c r="BE22" t="e">
        <f ca="1">'Tableaux aéro'!U20+(([1]!InterpCn(Géométrie!$B$4,$A22,$BB$3/Géométrie!$B$3)-[1]!InterpCn(Géométrie!$B$4,$A22,0))*PI()*Géométrie!$B$3^2/4/$B$1)*BD22</f>
        <v>#NAME?</v>
      </c>
      <c r="BG22" t="e">
        <f t="shared" ca="1" si="8"/>
        <v>#NAME?</v>
      </c>
      <c r="BH22" t="e">
        <f ca="1">(BG22-'Tableaux aéro'!U20*'Tableaux aéro'!AE20/$B$2)/(([1]!InterpCm(Géométrie!$B$4,$A22,(Géométrie!$B$142-Géométrie!$B$132)/Géométrie!$B$3)-[1]!InterpCm(Géométrie!$B$4,$A22,0))*PI()*Géométrie!$B$3^2/4/$B$1)</f>
        <v>#NAME?</v>
      </c>
      <c r="BI22" t="e">
        <f ca="1">'Tableaux aéro'!U20*'Tableaux aéro'!AE20/$B$2+BH22*(([1]!InterpCm(Géométrie!$B$4,$A22,$BB$3/Géométrie!$B$3)-[1]!InterpCm(Géométrie!$B$4,$A22,0))*PI()*Géométrie!$B$3^2/4/$B$1)</f>
        <v>#NAME?</v>
      </c>
    </row>
    <row r="23" spans="1:61">
      <c r="A23" s="87">
        <v>1.5</v>
      </c>
      <c r="B23" s="41">
        <f>('Tableaux aéro'!U21)*PI()*Géométrie!$B$3^2/4/$B$1</f>
        <v>2.718843521016598</v>
      </c>
      <c r="C23" s="41">
        <f>'Tableaux aéro'!M91*A23*Géométrie!$B$2</f>
        <v>96899641.447402805</v>
      </c>
      <c r="D23" s="41">
        <f>'Tableaux aéro'!J21*PI()*Géométrie!$B$3^2/4/$B$1</f>
        <v>0.45321202624531831</v>
      </c>
      <c r="E23" s="41">
        <f>Géométrie!$F$13-('Tableaux aéro'!AE21)*Géométrie!$B$3</f>
        <v>2.2217738125511013</v>
      </c>
      <c r="F23" s="41">
        <f t="shared" si="0"/>
        <v>1.4733305696143677</v>
      </c>
      <c r="G23" s="41" t="e">
        <f ca="1">([1]!InterpCn(Géométrie!$B$4,$A23,Géométrie!$B$18)-[1]!InterpCn(Géométrie!$B$4,$A23,0))*PI()*Géométrie!$B$3^2/4/$B$1</f>
        <v>#NAME?</v>
      </c>
      <c r="H23" s="241">
        <f ca="1">'Tableaux aéro'!P91</f>
        <v>1.1317904902530746E-2</v>
      </c>
      <c r="I23" s="41" t="e">
        <f t="shared" ca="1" si="1"/>
        <v>#NAME?</v>
      </c>
      <c r="J23" s="41" t="e">
        <f ca="1">([1]!InterpCm(Géométrie!$B$4,$A23,Géométrie!$B$18)-[1]!InterpCm(Géométrie!$B$4,$A23,0))*PI()*Géométrie!$B$3^2/4/$B$1*$J$2/$B$2+G23*(Géométrie!$F$13-Géométrie!$B$3/(2*TAN(Géométrie!$B$4*PI()/180)))*1/$B$2</f>
        <v>#NAME?</v>
      </c>
      <c r="K23" s="230">
        <f>'Tableaux aéro'!L21*PI()/180*PI()*Géométrie!$B$3^2/4/$B$1</f>
        <v>5.2116922539787537E-2</v>
      </c>
      <c r="L23" s="230">
        <f>'Tableaux aéro'!B21*PI()*Géométrie!$B$3^2/4/$B$1</f>
        <v>0.22995909999999997</v>
      </c>
      <c r="M23" s="230">
        <f>'Tableaux aéro'!W21*Géométrie!$B$3</f>
        <v>3.6392600449153742</v>
      </c>
      <c r="N23" s="230">
        <f>K23*(M23-Géométrie!$F$12)/$B$2</f>
        <v>4.62602521617069E-2</v>
      </c>
      <c r="O23" s="231">
        <f>[1]!InterpCn(10,$A23,Géométrie!$F$13/Géométrie!$B$3)*Géométrie!$B$3^2*PI()/4/Aerodynamique!$B$1</f>
        <v>6.8713715805471115E-2</v>
      </c>
      <c r="P23" s="230">
        <f>'Tableaux aéro'!M91*A23*Géométrie!$F$13</f>
        <v>49087452.308400005</v>
      </c>
      <c r="Q23" s="230">
        <f>0.445/POWER(LOG(P23),2.58)/POWER(1+0.15*A23^2,0.58)*Géométrie!$B$10/$B$1</f>
        <v>9.7153967579933134E-3</v>
      </c>
      <c r="R23" s="230"/>
      <c r="S23" s="230">
        <f>[1]!InterpCm(10,$A23,Géométrie!$F$13/Géométrie!$B$3)*Géométrie!$B$3^2*PI()/4/$B$1</f>
        <v>-0.15172986322188448</v>
      </c>
      <c r="T23" s="190"/>
      <c r="U23" s="176"/>
      <c r="V23" s="176"/>
      <c r="W23" s="194"/>
      <c r="X23" s="176"/>
      <c r="Y23" s="41">
        <f>[2]!interpol(A23,'[3]CA basé sur Ariane 3'!$A$6:$A$23,'[3]CA basé sur Ariane 3'!$B$6:$B$23)*PI()*Géométrie!$B$3^2/4/$B$1</f>
        <v>0.11490545002594689</v>
      </c>
      <c r="Z23" s="222">
        <f>0.6*Géométrie!$B$81+Géométrie!$B$16+Géométrie!$B$2</f>
        <v>10.332515798803174</v>
      </c>
      <c r="AA23" s="194"/>
      <c r="AB23" s="190"/>
      <c r="AC23" s="41">
        <f ca="1">'Tableaux aéro'!R91</f>
        <v>3.1254065365744786E-2</v>
      </c>
      <c r="AD23" s="217">
        <f t="shared" si="2"/>
        <v>-3.6392600449153742</v>
      </c>
      <c r="AE23" s="176"/>
      <c r="AF23" s="87">
        <f>[2]!interpol(A23,[4]jupA_data!$A$2:$A$10,[4]jupA_data!$B$2:$B$10)*PI()*(Géométrie!$B$113^2-Géométrie!$B$85^2)/$B$1*COS(Géométrie!$I$96*PI()/180)^2/100</f>
        <v>1.5733086834789686E-2</v>
      </c>
      <c r="AG23" s="41">
        <f>'Tableaux aéro'!N59</f>
        <v>1.9653585853547505E-2</v>
      </c>
      <c r="AH23" s="41">
        <f ca="1">0.4*(Géométrie!$B$109-Géométrie!$B$110)+Géométrie!$B$84+Géométrie!$B$16+Géométrie!$B$3</f>
        <v>18.466652672398482</v>
      </c>
      <c r="AI23" s="41">
        <f t="shared" ca="1" si="3"/>
        <v>7.0862792693352772E-2</v>
      </c>
      <c r="AJ23" s="87" t="e">
        <f ca="1">([1]!InterpCn(Géométrie!$I$96,$A23,Géométrie!$B$112)-[1]!InterpCn(Géométrie!$I$96,$A23,0))*PI()*Géométrie!$B$113^2/4</f>
        <v>#NAME?</v>
      </c>
      <c r="AK23" s="41">
        <f ca="1">'Tableaux aéro'!W91</f>
        <v>9.7106240440313126E-3</v>
      </c>
      <c r="AL23" s="41" t="e">
        <f t="shared" ca="1" si="4"/>
        <v>#NAME?</v>
      </c>
      <c r="AM23" s="89" t="e">
        <f ca="1">(([1]!InterpCm(Géométrie!$I$96,$A23,Géométrie!$B$112)-[1]!InterpCm(Géométrie!$I$96,$A23,0))*PI()*Géométrie!$B$113^2/4/$B$1*$AM$2/$B$2)+AJ23*(-Géométrie!$B$113/2/TAN(Géométrie!$I$96*PI()/180)+Géométrie!$B$2+Géométrie!$B$16+Géométrie!$B$84+Géométrie!$B$109-Géométrie!$B$110)/$B$2</f>
        <v>#NAME?</v>
      </c>
      <c r="AN23" s="176"/>
      <c r="AO23" s="217">
        <f>[2]!interpol(A23,'[3]CA basé sur Ariane 3'!$A$6:$A$23,'[3]CA basé sur Ariane 3'!$B$6:$B$23)</f>
        <v>7.3539488016606022E-2</v>
      </c>
      <c r="AP23" s="217">
        <f ca="1">0.6*(Géométrie!$B$103+Géométrie!$B$136)+Géométrie!$B$16+Géométrie!$B$13+Géométrie!$B$2+Géométrie!$B$84-Géométrie!$B$103</f>
        <v>23.85864022529865</v>
      </c>
      <c r="AQ23" s="194"/>
      <c r="AR23" s="176"/>
      <c r="AS23" s="41">
        <f ca="1">'Tableaux aéro'!Y91</f>
        <v>1.477975817647427E-2</v>
      </c>
      <c r="AT23" s="217">
        <f t="shared" si="5"/>
        <v>-3.6392600449153742</v>
      </c>
      <c r="AU23" s="194"/>
      <c r="AV23" s="213">
        <f ca="1">-'Tableaux aéro'!B129*('Tableaux aéro'!$E$112-'Tableaux aéro'!$E$113)/Aerodynamique!$B$1</f>
        <v>5.8546821470760756E-2</v>
      </c>
      <c r="AW23" s="213">
        <f ca="1">'Tableaux aéro'!S91</f>
        <v>8.6466698821402094E-2</v>
      </c>
      <c r="AX23" s="75"/>
      <c r="AY23">
        <f t="shared" ca="1" si="6"/>
        <v>0.64351550971106308</v>
      </c>
      <c r="AZ23">
        <f ca="1">(AY23-AV23-'Tableaux aéro'!J21)/AW23</f>
        <v>3.4107118169556188</v>
      </c>
      <c r="BA23">
        <f ca="1">'Tableaux aéro'!J21+'Tableaux aéro'!T91*AZ23</f>
        <v>0.58642507871056648</v>
      </c>
      <c r="BC23" t="e">
        <f t="shared" ca="1" si="7"/>
        <v>#NAME?</v>
      </c>
      <c r="BD23" t="e">
        <f ca="1">(BC23-'Tableaux aéro'!U21)/(([1]!InterpCn(Géométrie!$B$4,$A23,(Géométrie!$B$142-Géométrie!$B$132)/Géométrie!$B$3)-[1]!InterpCn(Géométrie!$B$4,$A23,0))*PI()*Géométrie!$B$3^2/4/$B$1)</f>
        <v>#NAME?</v>
      </c>
      <c r="BE23" t="e">
        <f ca="1">'Tableaux aéro'!U21+(([1]!InterpCn(Géométrie!$B$4,$A23,$BB$3/Géométrie!$B$3)-[1]!InterpCn(Géométrie!$B$4,$A23,0))*PI()*Géométrie!$B$3^2/4/$B$1)*BD23</f>
        <v>#NAME?</v>
      </c>
      <c r="BG23" t="e">
        <f t="shared" ca="1" si="8"/>
        <v>#NAME?</v>
      </c>
      <c r="BH23" t="e">
        <f ca="1">(BG23-'Tableaux aéro'!U21*'Tableaux aéro'!AE21/$B$2)/(([1]!InterpCm(Géométrie!$B$4,$A23,(Géométrie!$B$142-Géométrie!$B$132)/Géométrie!$B$3)-[1]!InterpCm(Géométrie!$B$4,$A23,0))*PI()*Géométrie!$B$3^2/4/$B$1)</f>
        <v>#NAME?</v>
      </c>
      <c r="BI23" t="e">
        <f ca="1">'Tableaux aéro'!U21*'Tableaux aéro'!AE21/$B$2+BH23*(([1]!InterpCm(Géométrie!$B$4,$A23,$BB$3/Géométrie!$B$3)-[1]!InterpCm(Géométrie!$B$4,$A23,0))*PI()*Géométrie!$B$3^2/4/$B$1)</f>
        <v>#NAME?</v>
      </c>
    </row>
    <row r="24" spans="1:61">
      <c r="A24" s="87">
        <v>1.7</v>
      </c>
      <c r="B24" s="41">
        <f>('Tableaux aéro'!U22)*PI()*Géométrie!$B$3^2/4/$B$1</f>
        <v>2.7194208431042632</v>
      </c>
      <c r="C24" s="41">
        <f>'Tableaux aéro'!M92*A24*Géométrie!$B$2</f>
        <v>92181565.498227566</v>
      </c>
      <c r="D24" s="41">
        <f>'Tableaux aéro'!J22*PI()*Géométrie!$B$3^2/4/$B$1</f>
        <v>0.43604744017825903</v>
      </c>
      <c r="E24" s="41">
        <f>Géométrie!$F$13-('Tableaux aéro'!AE22)*Géométrie!$B$3</f>
        <v>2.2706185932770069</v>
      </c>
      <c r="F24" s="41">
        <f t="shared" si="0"/>
        <v>1.5060408608042863</v>
      </c>
      <c r="G24" s="41" t="e">
        <f ca="1">([1]!InterpCn(Géométrie!$B$4,$A24,Géométrie!$B$18)-[1]!InterpCn(Géométrie!$B$4,$A24,0))*PI()*Géométrie!$B$3^2/4/$B$1</f>
        <v>#NAME?</v>
      </c>
      <c r="H24" s="241">
        <f ca="1">'Tableaux aéro'!P92</f>
        <v>1.0942365508444522E-2</v>
      </c>
      <c r="I24" s="41" t="e">
        <f t="shared" ca="1" si="1"/>
        <v>#NAME?</v>
      </c>
      <c r="J24" s="41" t="e">
        <f ca="1">([1]!InterpCm(Géométrie!$B$4,$A24,Géométrie!$B$18)-[1]!InterpCm(Géométrie!$B$4,$A24,0))*PI()*Géométrie!$B$3^2/4/$B$1*$J$2/$B$2+G24*(Géométrie!$F$13-Géométrie!$B$3/(2*TAN(Géométrie!$B$4*PI()/180)))*1/$B$2</f>
        <v>#NAME?</v>
      </c>
      <c r="K24" s="230">
        <f>'Tableaux aéro'!L22*PI()/180*PI()*Géométrie!$B$3^2/4/$B$1</f>
        <v>5.1980157275366458E-2</v>
      </c>
      <c r="L24" s="230">
        <f>'Tableaux aéro'!B22*PI()*Géométrie!$B$3^2/4/$B$1</f>
        <v>0.21624765156249998</v>
      </c>
      <c r="M24" s="230">
        <f>'Tableaux aéro'!W22*Géométrie!$B$3</f>
        <v>3.6426557985396086</v>
      </c>
      <c r="N24" s="230">
        <f>K24*(M24-Géométrie!$F$12)/$B$2</f>
        <v>4.618190763612548E-2</v>
      </c>
      <c r="O24" s="231">
        <f>[1]!InterpCn(10,$A24,Géométrie!$F$13/Géométrie!$B$3)*Géométrie!$B$3^2*PI()/4/Aerodynamique!$B$1</f>
        <v>6.9651215805471123E-2</v>
      </c>
      <c r="P24" s="230">
        <f>'Tableaux aéro'!M92*A24*Géométrie!$F$13</f>
        <v>46697367.838704005</v>
      </c>
      <c r="Q24" s="230">
        <f>0.445/POWER(LOG(P24),2.58)/POWER(1+0.15*A24^2,0.58)*Géométrie!$B$10/$B$1</f>
        <v>9.4007600059919805E-3</v>
      </c>
      <c r="R24" s="230"/>
      <c r="S24" s="230">
        <f>[1]!InterpCm(10,$A24,Géométrie!$F$13/Géométrie!$B$3)*Géométrie!$B$3^2*PI()/4/$B$1</f>
        <v>-0.15554236322188444</v>
      </c>
      <c r="T24" s="190"/>
      <c r="U24" s="176"/>
      <c r="V24" s="176"/>
      <c r="W24" s="194"/>
      <c r="X24" s="176"/>
      <c r="Y24" s="41">
        <f>[2]!interpol(A24,'[3]CA basé sur Ariane 3'!$A$6:$A$23,'[3]CA basé sur Ariane 3'!$B$6:$B$23)*PI()*Géométrie!$B$3^2/4/$B$1</f>
        <v>0.10073402135141817</v>
      </c>
      <c r="Z24" s="222">
        <f>0.6*Géométrie!$B$81+Géométrie!$B$16+Géométrie!$B$2</f>
        <v>10.332515798803174</v>
      </c>
      <c r="AA24" s="194"/>
      <c r="AB24" s="190"/>
      <c r="AC24" s="41">
        <f ca="1">'Tableaux aéro'!R92</f>
        <v>3.0217024246274114E-2</v>
      </c>
      <c r="AD24" s="217">
        <f t="shared" si="2"/>
        <v>-3.6426557985396086</v>
      </c>
      <c r="AE24" s="176"/>
      <c r="AF24" s="87">
        <f>[2]!interpol(A24,[4]jupA_data!$A$2:$A$10,[4]jupA_data!$B$2:$B$10)*PI()*(Géométrie!$B$113^2-Géométrie!$B$85^2)/$B$1*COS(Géométrie!$I$96*PI()/180)^2/100</f>
        <v>1.4522849385959708E-2</v>
      </c>
      <c r="AG24" s="41">
        <f>'Tableaux aéro'!N60</f>
        <v>1.6258687398236202E-2</v>
      </c>
      <c r="AH24" s="41">
        <f ca="1">0.4*(Géométrie!$B$109-Géométrie!$B$110)+Géométrie!$B$84+Géométrie!$B$16+Géométrie!$B$3</f>
        <v>18.466652672398482</v>
      </c>
      <c r="AI24" s="41">
        <f t="shared" ca="1" si="3"/>
        <v>6.5411808640017929E-2</v>
      </c>
      <c r="AJ24" s="87" t="e">
        <f ca="1">([1]!InterpCn(Géométrie!$I$96,$A24,Géométrie!$B$112)-[1]!InterpCn(Géométrie!$I$96,$A24,0))*PI()*Géométrie!$B$113^2/4</f>
        <v>#NAME?</v>
      </c>
      <c r="AK24" s="41">
        <f ca="1">'Tableaux aéro'!W92</f>
        <v>9.3884158349060321E-3</v>
      </c>
      <c r="AL24" s="41" t="e">
        <f t="shared" ca="1" si="4"/>
        <v>#NAME?</v>
      </c>
      <c r="AM24" s="89" t="e">
        <f ca="1">(([1]!InterpCm(Géométrie!$I$96,$A24,Géométrie!$B$112)-[1]!InterpCm(Géométrie!$I$96,$A24,0))*PI()*Géométrie!$B$113^2/4/$B$1*$AM$2/$B$2)+AJ24*(-Géométrie!$B$113/2/TAN(Géométrie!$I$96*PI()/180)+Géométrie!$B$2+Géométrie!$B$16+Géométrie!$B$84+Géométrie!$B$109-Géométrie!$B$110)/$B$2</f>
        <v>#NAME?</v>
      </c>
      <c r="AN24" s="176"/>
      <c r="AO24" s="217">
        <f>[2]!interpol(A24,'[3]CA basé sur Ariane 3'!$A$6:$A$23,'[3]CA basé sur Ariane 3'!$B$6:$B$23)</f>
        <v>6.4469773664907637E-2</v>
      </c>
      <c r="AP24" s="217">
        <f ca="1">0.6*(Géométrie!$B$103+Géométrie!$B$136)+Géométrie!$B$16+Géométrie!$B$13+Géométrie!$B$2+Géométrie!$B$84-Géométrie!$B$103</f>
        <v>23.85864022529865</v>
      </c>
      <c r="AQ24" s="194"/>
      <c r="AR24" s="176"/>
      <c r="AS24" s="41">
        <f ca="1">'Tableaux aéro'!Y92</f>
        <v>1.4289351031500556E-2</v>
      </c>
      <c r="AT24" s="217">
        <f t="shared" si="5"/>
        <v>-3.6426557985396086</v>
      </c>
      <c r="AU24" s="194"/>
      <c r="AV24" s="213">
        <f ca="1">-'Tableaux aéro'!B130*('Tableaux aéro'!$E$112-'Tableaux aéro'!$E$113)/Aerodynamique!$B$1</f>
        <v>4.3324647888362953E-2</v>
      </c>
      <c r="AW24" s="213">
        <f ca="1">'Tableaux aéro'!S92</f>
        <v>8.3597647352630283E-2</v>
      </c>
      <c r="AX24" s="75"/>
      <c r="AY24">
        <f t="shared" ca="1" si="6"/>
        <v>0.60693494004059412</v>
      </c>
      <c r="AZ24">
        <f ca="1">(AY24-AV24-'Tableaux aéro'!J22)/AW24</f>
        <v>3.4036834701568028</v>
      </c>
      <c r="BA24">
        <f ca="1">'Tableaux aéro'!J22+'Tableaux aéro'!T92*AZ24</f>
        <v>0.56501545657402108</v>
      </c>
      <c r="BC24" t="e">
        <f t="shared" ca="1" si="7"/>
        <v>#NAME?</v>
      </c>
      <c r="BD24" t="e">
        <f ca="1">(BC24-'Tableaux aéro'!U22)/(([1]!InterpCn(Géométrie!$B$4,$A24,(Géométrie!$B$142-Géométrie!$B$132)/Géométrie!$B$3)-[1]!InterpCn(Géométrie!$B$4,$A24,0))*PI()*Géométrie!$B$3^2/4/$B$1)</f>
        <v>#NAME?</v>
      </c>
      <c r="BE24" t="e">
        <f ca="1">'Tableaux aéro'!U22+(([1]!InterpCn(Géométrie!$B$4,$A24,$BB$3/Géométrie!$B$3)-[1]!InterpCn(Géométrie!$B$4,$A24,0))*PI()*Géométrie!$B$3^2/4/$B$1)*BD24</f>
        <v>#NAME?</v>
      </c>
      <c r="BG24" t="e">
        <f t="shared" ca="1" si="8"/>
        <v>#NAME?</v>
      </c>
      <c r="BH24" t="e">
        <f ca="1">(BG24-'Tableaux aéro'!U22*'Tableaux aéro'!AE22/$B$2)/(([1]!InterpCm(Géométrie!$B$4,$A24,(Géométrie!$B$142-Géométrie!$B$132)/Géométrie!$B$3)-[1]!InterpCm(Géométrie!$B$4,$A24,0))*PI()*Géométrie!$B$3^2/4/$B$1)</f>
        <v>#NAME?</v>
      </c>
      <c r="BI24" t="e">
        <f ca="1">'Tableaux aéro'!U22*'Tableaux aéro'!AE22/$B$2+BH24*(([1]!InterpCm(Géométrie!$B$4,$A24,$BB$3/Géométrie!$B$3)-[1]!InterpCm(Géométrie!$B$4,$A24,0))*PI()*Géométrie!$B$3^2/4/$B$1)</f>
        <v>#NAME?</v>
      </c>
    </row>
    <row r="25" spans="1:61">
      <c r="A25" s="87">
        <v>1.9</v>
      </c>
      <c r="B25" s="41">
        <f>('Tableaux aéro'!U23)*PI()*Géométrie!$B$3^2/4/$B$1</f>
        <v>2.7067509038382678</v>
      </c>
      <c r="C25" s="41">
        <f>'Tableaux aéro'!M93*A25*Géométrie!$B$2</f>
        <v>83313365.280308291</v>
      </c>
      <c r="D25" s="41">
        <f>'Tableaux aéro'!J23*PI()*Géométrie!$B$3^2/4/$B$1</f>
        <v>0.42583587231548603</v>
      </c>
      <c r="E25" s="41">
        <f>Géométrie!$F$13-('Tableaux aéro'!AE23)*Géométrie!$B$3</f>
        <v>2.2959945539324029</v>
      </c>
      <c r="F25" s="41">
        <f t="shared" si="0"/>
        <v>1.5157769107473837</v>
      </c>
      <c r="G25" s="41" t="e">
        <f ca="1">([1]!InterpCn(Géométrie!$B$4,$A25,Géométrie!$B$18)-[1]!InterpCn(Géométrie!$B$4,$A25,0))*PI()*Géométrie!$B$3^2/4/$B$1</f>
        <v>#NAME?</v>
      </c>
      <c r="H25" s="241">
        <f ca="1">'Tableaux aéro'!P93</f>
        <v>1.0629707985250439E-2</v>
      </c>
      <c r="I25" s="41" t="e">
        <f t="shared" ca="1" si="1"/>
        <v>#NAME?</v>
      </c>
      <c r="J25" s="41" t="e">
        <f ca="1">([1]!InterpCm(Géométrie!$B$4,$A25,Géométrie!$B$18)-[1]!InterpCm(Géométrie!$B$4,$A25,0))*PI()*Géométrie!$B$3^2/4/$B$1*$J$2/$B$2+G25*(Géométrie!$F$13-Géométrie!$B$3/(2*TAN(Géométrie!$B$4*PI()/180)))*1/$B$2</f>
        <v>#NAME?</v>
      </c>
      <c r="K25" s="230">
        <f>'Tableaux aéro'!L23*PI()/180*PI()*Géométrie!$B$3^2/4/$B$1</f>
        <v>5.1862272477057915E-2</v>
      </c>
      <c r="L25" s="230">
        <f>'Tableaux aéro'!B23*PI()*Géométrie!$B$3^2/4/$B$1</f>
        <v>0.20253620312499998</v>
      </c>
      <c r="M25" s="230">
        <f>'Tableaux aéro'!W23*Géométrie!$B$3</f>
        <v>3.6442422920476587</v>
      </c>
      <c r="N25" s="230">
        <f>K25*(M25-Géométrie!$F$12)/$B$2</f>
        <v>4.6097240664047259E-2</v>
      </c>
      <c r="O25" s="231">
        <f>[1]!InterpCn(10,$A25,Géométrie!$F$13/Géométrie!$B$3)*Géométrie!$B$3^2*PI()/4/Aerodynamique!$B$1</f>
        <v>7.0588715805471103E-2</v>
      </c>
      <c r="P25" s="230">
        <f>'Tableaux aéro'!M93*A25*Géométrie!$F$13</f>
        <v>42204912.048816018</v>
      </c>
      <c r="Q25" s="230">
        <f>0.445/POWER(LOG(P25),2.58)/POWER(1+0.15*A25^2,0.58)*Géométrie!$B$10/$B$1</f>
        <v>9.1475101163113123E-3</v>
      </c>
      <c r="R25" s="230"/>
      <c r="S25" s="230">
        <f>[1]!InterpCm(10,$A25,Géométrie!$F$13/Géométrie!$B$3)*Géométrie!$B$3^2*PI()/4/$B$1</f>
        <v>-0.1593548632218845</v>
      </c>
      <c r="T25" s="190"/>
      <c r="U25" s="176"/>
      <c r="V25" s="176"/>
      <c r="W25" s="194"/>
      <c r="X25" s="176"/>
      <c r="Y25" s="41">
        <f>[2]!interpol(A25,'[3]CA basé sur Ariane 3'!$A$6:$A$23,'[3]CA basé sur Ariane 3'!$B$6:$B$23)*PI()*Géométrie!$B$3^2/4/$B$1</f>
        <v>8.6562592676889441E-2</v>
      </c>
      <c r="Z25" s="222">
        <f>0.6*Géométrie!$B$81+Géométrie!$B$16+Géométrie!$B$2</f>
        <v>10.332515798803174</v>
      </c>
      <c r="AA25" s="194"/>
      <c r="AB25" s="190"/>
      <c r="AC25" s="41">
        <f ca="1">'Tableaux aéro'!R93</f>
        <v>2.9353629585234454E-2</v>
      </c>
      <c r="AD25" s="217">
        <f t="shared" si="2"/>
        <v>-3.6442422920476587</v>
      </c>
      <c r="AE25" s="176"/>
      <c r="AF25" s="87">
        <f>[2]!interpol(A25,[4]jupA_data!$A$2:$A$10,[4]jupA_data!$B$2:$B$10)*PI()*(Géométrie!$B$113^2-Géométrie!$B$85^2)/$B$1*COS(Géométrie!$I$96*PI()/180)^2/100</f>
        <v>1.3978242533986218E-2</v>
      </c>
      <c r="AG25" s="41">
        <f>'Tableaux aéro'!N61</f>
        <v>1.3645153943704226E-2</v>
      </c>
      <c r="AH25" s="41">
        <f ca="1">0.4*(Géométrie!$B$109-Géométrie!$B$110)+Géométrie!$B$84+Géométrie!$B$16+Géométrie!$B$3</f>
        <v>18.466652672398482</v>
      </c>
      <c r="AI25" s="41">
        <f t="shared" ca="1" si="3"/>
        <v>6.2958865816017257E-2</v>
      </c>
      <c r="AJ25" s="87" t="e">
        <f ca="1">([1]!InterpCn(Géométrie!$I$96,$A25,Géométrie!$B$112)-[1]!InterpCn(Géométrie!$I$96,$A25,0))*PI()*Géométrie!$B$113^2/4</f>
        <v>#NAME?</v>
      </c>
      <c r="AK25" s="41">
        <f ca="1">'Tableaux aéro'!W93</f>
        <v>9.1201595022700477E-3</v>
      </c>
      <c r="AL25" s="41" t="e">
        <f t="shared" ca="1" si="4"/>
        <v>#NAME?</v>
      </c>
      <c r="AM25" s="89" t="e">
        <f ca="1">(([1]!InterpCm(Géométrie!$I$96,$A25,Géométrie!$B$112)-[1]!InterpCm(Géométrie!$I$96,$A25,0))*PI()*Géométrie!$B$113^2/4/$B$1*$AM$2/$B$2)+AJ25*(-Géométrie!$B$113/2/TAN(Géométrie!$I$96*PI()/180)+Géométrie!$B$2+Géométrie!$B$16+Géométrie!$B$84+Géométrie!$B$109-Géométrie!$B$110)/$B$2</f>
        <v>#NAME?</v>
      </c>
      <c r="AN25" s="176"/>
      <c r="AO25" s="217">
        <f>[2]!interpol(A25,'[3]CA basé sur Ariane 3'!$A$6:$A$23,'[3]CA basé sur Ariane 3'!$B$6:$B$23)</f>
        <v>5.5400059313209252E-2</v>
      </c>
      <c r="AP25" s="217">
        <f ca="1">0.6*(Géométrie!$B$103+Géométrie!$B$136)+Géométrie!$B$16+Géométrie!$B$13+Géométrie!$B$2+Géométrie!$B$84-Géométrie!$B$103</f>
        <v>23.85864022529865</v>
      </c>
      <c r="AQ25" s="194"/>
      <c r="AR25" s="176"/>
      <c r="AS25" s="41">
        <f ca="1">'Tableaux aéro'!Y93</f>
        <v>1.3881059689184133E-2</v>
      </c>
      <c r="AT25" s="217">
        <f t="shared" si="5"/>
        <v>-3.6442422920476587</v>
      </c>
      <c r="AU25" s="194"/>
      <c r="AV25" s="213">
        <f ca="1">-'Tableaux aéro'!B131*('Tableaux aéro'!$E$112-'Tableaux aéro'!$E$113)/Aerodynamique!$B$1</f>
        <v>3.2395907880487622E-2</v>
      </c>
      <c r="AW25" s="213">
        <f ca="1">'Tableaux aéro'!S93</f>
        <v>8.1209001739763975E-2</v>
      </c>
      <c r="AX25" s="75"/>
      <c r="AY25">
        <f t="shared" ca="1" si="6"/>
        <v>0.57839846771276826</v>
      </c>
      <c r="AZ25">
        <f ca="1">(AY25-AV25-'Tableaux aéro'!J23)/AW25</f>
        <v>3.3674542931423099</v>
      </c>
      <c r="BA25">
        <f ca="1">'Tableaux aéro'!J23+'Tableaux aéro'!T93*AZ25</f>
        <v>0.54735304495968995</v>
      </c>
      <c r="BC25" t="e">
        <f t="shared" ca="1" si="7"/>
        <v>#NAME?</v>
      </c>
      <c r="BD25" t="e">
        <f ca="1">(BC25-'Tableaux aéro'!U23)/(([1]!InterpCn(Géométrie!$B$4,$A25,(Géométrie!$B$142-Géométrie!$B$132)/Géométrie!$B$3)-[1]!InterpCn(Géométrie!$B$4,$A25,0))*PI()*Géométrie!$B$3^2/4/$B$1)</f>
        <v>#NAME?</v>
      </c>
      <c r="BE25" t="e">
        <f ca="1">'Tableaux aéro'!U23+(([1]!InterpCn(Géométrie!$B$4,$A25,$BB$3/Géométrie!$B$3)-[1]!InterpCn(Géométrie!$B$4,$A25,0))*PI()*Géométrie!$B$3^2/4/$B$1)*BD25</f>
        <v>#NAME?</v>
      </c>
      <c r="BG25" t="e">
        <f t="shared" ca="1" si="8"/>
        <v>#NAME?</v>
      </c>
      <c r="BH25" t="e">
        <f ca="1">(BG25-'Tableaux aéro'!U23*'Tableaux aéro'!AE23/$B$2)/(([1]!InterpCm(Géométrie!$B$4,$A25,(Géométrie!$B$142-Géométrie!$B$132)/Géométrie!$B$3)-[1]!InterpCm(Géométrie!$B$4,$A25,0))*PI()*Géométrie!$B$3^2/4/$B$1)</f>
        <v>#NAME?</v>
      </c>
      <c r="BI25" t="e">
        <f ca="1">'Tableaux aéro'!U23*'Tableaux aéro'!AE23/$B$2+BH25*(([1]!InterpCm(Géométrie!$B$4,$A25,$BB$3/Géométrie!$B$3)-[1]!InterpCm(Géométrie!$B$4,$A25,0))*PI()*Géométrie!$B$3^2/4/$B$1)</f>
        <v>#NAME?</v>
      </c>
    </row>
    <row r="26" spans="1:61">
      <c r="A26" s="87">
        <v>2.1</v>
      </c>
      <c r="B26" s="41">
        <f>('Tableaux aéro'!U24)*PI()*Géométrie!$B$3^2/4/$B$1</f>
        <v>2.6783229516090215</v>
      </c>
      <c r="C26" s="41">
        <f>'Tableaux aéro'!M94*A26*Géométrie!$B$2</f>
        <v>70360156.559596792</v>
      </c>
      <c r="D26" s="41">
        <f>'Tableaux aéro'!J24*PI()*Géométrie!$B$3^2/4/$B$1</f>
        <v>0.41620563335996791</v>
      </c>
      <c r="E26" s="41">
        <f>Géométrie!$F$13-('Tableaux aéro'!AE24)*Géométrie!$B$3</f>
        <v>2.3179323128828608</v>
      </c>
      <c r="F26" s="41">
        <f t="shared" si="0"/>
        <v>1.5141881253342317</v>
      </c>
      <c r="G26" s="41" t="e">
        <f ca="1">([1]!InterpCn(Géométrie!$B$4,$A26,Géométrie!$B$18)-[1]!InterpCn(Géométrie!$B$4,$A26,0))*PI()*Géométrie!$B$3^2/4/$B$1</f>
        <v>#NAME?</v>
      </c>
      <c r="H26" s="241">
        <f ca="1">'Tableaux aéro'!P94</f>
        <v>1.0404883775621508E-2</v>
      </c>
      <c r="I26" s="41" t="e">
        <f t="shared" ca="1" si="1"/>
        <v>#NAME?</v>
      </c>
      <c r="J26" s="41" t="e">
        <f ca="1">([1]!InterpCm(Géométrie!$B$4,$A26,Géométrie!$B$18)-[1]!InterpCm(Géométrie!$B$4,$A26,0))*PI()*Géométrie!$B$3^2/4/$B$1*$J$2/$B$2+G26*(Géométrie!$F$13-Géométrie!$B$3/(2*TAN(Géométrie!$B$4*PI()/180)))*1/$B$2</f>
        <v>#NAME?</v>
      </c>
      <c r="K26" s="230">
        <f>'Tableaux aéro'!L24*PI()/180*PI()*Géométrie!$B$3^2/4/$B$1</f>
        <v>5.1652824014387456E-2</v>
      </c>
      <c r="L26" s="230">
        <f>'Tableaux aéro'!B24*PI()*Géométrie!$B$3^2/4/$B$1</f>
        <v>0.19338631249999996</v>
      </c>
      <c r="M26" s="230">
        <f>'Tableaux aéro'!W24*Géométrie!$B$3</f>
        <v>3.6617283968379475</v>
      </c>
      <c r="N26" s="230">
        <f>K26*(M26-Géométrie!$F$12)/$B$2</f>
        <v>4.6131368895208691E-2</v>
      </c>
      <c r="O26" s="231">
        <f>[1]!InterpCn(10,$A26,Géométrie!$F$13/Géométrie!$B$3)*Géométrie!$B$3^2*PI()/4/Aerodynamique!$B$1</f>
        <v>7.1401738221884475E-2</v>
      </c>
      <c r="P26" s="230">
        <f>'Tableaux aéro'!M94*A26*Géométrie!$F$13</f>
        <v>35643071.304917999</v>
      </c>
      <c r="Q26" s="230">
        <f>0.445/POWER(LOG(P26),2.58)/POWER(1+0.15*A26^2,0.58)*Géométrie!$B$10/$B$1</f>
        <v>8.979576885875638E-3</v>
      </c>
      <c r="R26" s="230"/>
      <c r="S26" s="230">
        <f>[1]!InterpCm(10,$A26,Géométrie!$F$13/Géométrie!$B$3)*Géométrie!$B$3^2*PI()/4/$B$1</f>
        <v>-0.16271632788753795</v>
      </c>
      <c r="T26" s="190"/>
      <c r="U26" s="176"/>
      <c r="V26" s="176"/>
      <c r="W26" s="194"/>
      <c r="X26" s="176"/>
      <c r="Y26" s="41">
        <f>[2]!interpol(A26,'[3]CA basé sur Ariane 3'!$A$6:$A$23,'[3]CA basé sur Ariane 3'!$B$6:$B$23)*PI()*Géométrie!$B$3^2/4/$B$1</f>
        <v>7.5869387768460805E-2</v>
      </c>
      <c r="Z26" s="222">
        <f>0.6*Géométrie!$B$81+Géométrie!$B$16+Géométrie!$B$2</f>
        <v>10.332515798803174</v>
      </c>
      <c r="AA26" s="194"/>
      <c r="AB26" s="190"/>
      <c r="AC26" s="41">
        <f ca="1">'Tableaux aéro'!R94</f>
        <v>2.8732784066204393E-2</v>
      </c>
      <c r="AD26" s="217">
        <f t="shared" si="2"/>
        <v>-3.6617283968379475</v>
      </c>
      <c r="AE26" s="176"/>
      <c r="AF26" s="87">
        <f>[2]!interpol(A26,[4]jupA_data!$A$2:$A$10,[4]jupA_data!$B$2:$B$10)*PI()*(Géométrie!$B$113^2-Géométrie!$B$85^2)/$B$1*COS(Géométrie!$I$96*PI()/180)^2/100</f>
        <v>1.3433635682012732E-2</v>
      </c>
      <c r="AG26" s="41">
        <f>'Tableaux aéro'!N62</f>
        <v>1.1034559705728366E-2</v>
      </c>
      <c r="AH26" s="41">
        <f ca="1">0.4*(Géométrie!$B$109-Géométrie!$B$110)+Géométrie!$B$84+Géométrie!$B$16+Géométrie!$B$3</f>
        <v>18.466652672398482</v>
      </c>
      <c r="AI26" s="41">
        <f t="shared" ca="1" si="3"/>
        <v>6.0505922992016598E-2</v>
      </c>
      <c r="AJ26" s="87" t="e">
        <f ca="1">([1]!InterpCn(Géométrie!$I$96,$A26,Géométrie!$B$112)-[1]!InterpCn(Géométrie!$I$96,$A26,0))*PI()*Géométrie!$B$113^2/4</f>
        <v>#NAME?</v>
      </c>
      <c r="AK26" s="41">
        <f ca="1">'Tableaux aéro'!W94</f>
        <v>8.9272630789033122E-3</v>
      </c>
      <c r="AL26" s="41" t="e">
        <f t="shared" ca="1" si="4"/>
        <v>#NAME?</v>
      </c>
      <c r="AM26" s="89" t="e">
        <f ca="1">(([1]!InterpCm(Géométrie!$I$96,$A26,Géométrie!$B$112)-[1]!InterpCm(Géométrie!$I$96,$A26,0))*PI()*Géométrie!$B$113^2/4/$B$1*$AM$2/$B$2)+AJ26*(-Géométrie!$B$113/2/TAN(Géométrie!$I$96*PI()/180)+Géométrie!$B$2+Géométrie!$B$16+Géométrie!$B$84+Géométrie!$B$109-Géométrie!$B$110)/$B$2</f>
        <v>#NAME?</v>
      </c>
      <c r="AN26" s="176"/>
      <c r="AO26" s="217">
        <f>[2]!interpol(A26,'[3]CA basé sur Ariane 3'!$A$6:$A$23,'[3]CA basé sur Ariane 3'!$B$6:$B$23)</f>
        <v>4.8556408171814926E-2</v>
      </c>
      <c r="AP26" s="217">
        <f ca="1">0.6*(Géométrie!$B$103+Géométrie!$B$136)+Géométrie!$B$16+Géométrie!$B$13+Géométrie!$B$2+Géométrie!$B$84-Géométrie!$B$103</f>
        <v>23.85864022529865</v>
      </c>
      <c r="AQ26" s="194"/>
      <c r="AR26" s="176"/>
      <c r="AS26" s="41">
        <f ca="1">'Tableaux aéro'!Y94</f>
        <v>1.3587467590721672E-2</v>
      </c>
      <c r="AT26" s="217">
        <f t="shared" si="5"/>
        <v>-3.6617283968379475</v>
      </c>
      <c r="AU26" s="194"/>
      <c r="AV26" s="213">
        <f ca="1">-'Tableaux aéro'!B132*('Tableaux aéro'!$E$112-'Tableaux aéro'!$E$113)/Aerodynamique!$B$1</f>
        <v>2.3028416445165897E-2</v>
      </c>
      <c r="AW26" s="213">
        <f ca="1">'Tableaux aéro'!S94</f>
        <v>7.949138638699689E-2</v>
      </c>
      <c r="AX26" s="75"/>
      <c r="AY26">
        <f t="shared" ca="1" si="6"/>
        <v>0.55435709556998647</v>
      </c>
      <c r="AZ26">
        <f ca="1">(AY26-AV26-'Tableaux aéro'!J24)/AW26</f>
        <v>3.3331545192144554</v>
      </c>
      <c r="BA26">
        <f ca="1">'Tableaux aéro'!J24+'Tableaux aéro'!T94*AZ26</f>
        <v>0.53263713608829888</v>
      </c>
      <c r="BC26" t="e">
        <f t="shared" ca="1" si="7"/>
        <v>#NAME?</v>
      </c>
      <c r="BD26" t="e">
        <f ca="1">(BC26-'Tableaux aéro'!U24)/(([1]!InterpCn(Géométrie!$B$4,$A26,(Géométrie!$B$142-Géométrie!$B$132)/Géométrie!$B$3)-[1]!InterpCn(Géométrie!$B$4,$A26,0))*PI()*Géométrie!$B$3^2/4/$B$1)</f>
        <v>#NAME?</v>
      </c>
      <c r="BE26" t="e">
        <f ca="1">'Tableaux aéro'!U24+(([1]!InterpCn(Géométrie!$B$4,$A26,$BB$3/Géométrie!$B$3)-[1]!InterpCn(Géométrie!$B$4,$A26,0))*PI()*Géométrie!$B$3^2/4/$B$1)*BD26</f>
        <v>#NAME?</v>
      </c>
      <c r="BG26" t="e">
        <f t="shared" ca="1" si="8"/>
        <v>#NAME?</v>
      </c>
      <c r="BH26" t="e">
        <f ca="1">(BG26-'Tableaux aéro'!U24*'Tableaux aéro'!AE24/$B$2)/(([1]!InterpCm(Géométrie!$B$4,$A26,(Géométrie!$B$142-Géométrie!$B$132)/Géométrie!$B$3)-[1]!InterpCm(Géométrie!$B$4,$A26,0))*PI()*Géométrie!$B$3^2/4/$B$1)</f>
        <v>#NAME?</v>
      </c>
      <c r="BI26" t="e">
        <f ca="1">'Tableaux aéro'!U24*'Tableaux aéro'!AE24/$B$2+BH26*(([1]!InterpCm(Géométrie!$B$4,$A26,$BB$3/Géométrie!$B$3)-[1]!InterpCm(Géométrie!$B$4,$A26,0))*PI()*Géométrie!$B$3^2/4/$B$1)</f>
        <v>#NAME?</v>
      </c>
    </row>
    <row r="27" spans="1:61">
      <c r="A27" s="87">
        <v>2.2999999999999998</v>
      </c>
      <c r="B27" s="41">
        <f>('Tableaux aéro'!U25)*PI()*Géométrie!$B$3^2/4/$B$1</f>
        <v>2.640647026040841</v>
      </c>
      <c r="C27" s="41">
        <f>'Tableaux aéro'!M95*A27*Géométrie!$B$2</f>
        <v>63530099.953775816</v>
      </c>
      <c r="D27" s="41">
        <f>'Tableaux aéro'!J25*PI()*Géométrie!$B$3^2/4/$B$1</f>
        <v>0.41005336245673502</v>
      </c>
      <c r="E27" s="41">
        <f>Géométrie!$F$13-('Tableaux aéro'!AE25)*Géométrie!$B$3</f>
        <v>2.3267505975978993</v>
      </c>
      <c r="F27" s="41">
        <f t="shared" si="0"/>
        <v>1.4985675721672298</v>
      </c>
      <c r="G27" s="41" t="e">
        <f ca="1">([1]!InterpCn(Géométrie!$B$4,$A27,Géométrie!$B$18)-[1]!InterpCn(Géométrie!$B$4,$A27,0))*PI()*Géométrie!$B$3^2/4/$B$1</f>
        <v>#NAME?</v>
      </c>
      <c r="H27" s="241">
        <f ca="1">'Tableaux aéro'!P95</f>
        <v>1.0088374516087092E-2</v>
      </c>
      <c r="I27" s="41" t="e">
        <f t="shared" ca="1" si="1"/>
        <v>#NAME?</v>
      </c>
      <c r="J27" s="41" t="e">
        <f ca="1">([1]!InterpCm(Géométrie!$B$4,$A27,Géométrie!$B$18)-[1]!InterpCm(Géométrie!$B$4,$A27,0))*PI()*Géométrie!$B$3^2/4/$B$1*$J$2/$B$2+G27*(Géométrie!$F$13-Géométrie!$B$3/(2*TAN(Géométrie!$B$4*PI()/180)))*1/$B$2</f>
        <v>#NAME?</v>
      </c>
      <c r="K27" s="230">
        <f>'Tableaux aéro'!L25*PI()/180*PI()*Géométrie!$B$3^2/4/$B$1</f>
        <v>5.1423681892949963E-2</v>
      </c>
      <c r="L27" s="230">
        <f>'Tableaux aéro'!B25*PI()*Géométrie!$B$3^2/4/$B$1</f>
        <v>0.18565672656249996</v>
      </c>
      <c r="M27" s="230">
        <f>'Tableaux aéro'!W25*Géométrie!$B$3</f>
        <v>3.6873983240484978</v>
      </c>
      <c r="N27" s="230">
        <f>K27*(M27-Géométrie!$F$12)/$B$2</f>
        <v>4.6248682543528485E-2</v>
      </c>
      <c r="O27" s="231">
        <f>[1]!InterpCn(10,$A27,Géométrie!$F$13/Géométrie!$B$3)*Géométrie!$B$3^2*PI()/4/Aerodynamique!$B$1</f>
        <v>7.1370488221884493E-2</v>
      </c>
      <c r="P27" s="230">
        <f>'Tableaux aéro'!M95*A27*Géométrie!$F$13</f>
        <v>32183098.977942005</v>
      </c>
      <c r="Q27" s="230">
        <f>0.445/POWER(LOG(P27),2.58)/POWER(1+0.15*A27^2,0.58)*Géométrie!$B$10/$B$1</f>
        <v>8.7216455084540116E-3</v>
      </c>
      <c r="R27" s="230"/>
      <c r="S27" s="230">
        <f>[1]!InterpCm(10,$A27,Géométrie!$F$13/Géométrie!$B$3)*Géométrie!$B$3^2*PI()/4/$B$1</f>
        <v>-0.16274757788753799</v>
      </c>
      <c r="T27" s="190"/>
      <c r="U27" s="176"/>
      <c r="V27" s="176"/>
      <c r="W27" s="194"/>
      <c r="X27" s="176"/>
      <c r="Y27" s="41">
        <f>[2]!interpol(A27,'[3]CA basé sur Ariane 3'!$A$6:$A$23,'[3]CA basé sur Ariane 3'!$B$6:$B$23)*PI()*Géométrie!$B$3^2/4/$B$1</f>
        <v>6.86544066261323E-2</v>
      </c>
      <c r="Z27" s="222">
        <f>0.6*Géométrie!$B$81+Géométrie!$B$16+Géométrie!$B$2</f>
        <v>10.332515798803174</v>
      </c>
      <c r="AA27" s="194"/>
      <c r="AB27" s="190"/>
      <c r="AC27" s="41">
        <f ca="1">'Tableaux aéro'!R95</f>
        <v>2.7858752947234645E-2</v>
      </c>
      <c r="AD27" s="217">
        <f t="shared" si="2"/>
        <v>-3.6873983240484978</v>
      </c>
      <c r="AE27" s="176"/>
      <c r="AF27" s="87">
        <f>[2]!interpol(A27,[4]jupA_data!$A$2:$A$10,[4]jupA_data!$B$2:$B$10)*PI()*(Géométrie!$B$113^2-Géométrie!$B$85^2)/$B$1*COS(Géométrie!$I$96*PI()/180)^2/100</f>
        <v>1.2889028830039246E-2</v>
      </c>
      <c r="AG27" s="41">
        <f>'Tableaux aéro'!N63</f>
        <v>9.5606181299594424E-3</v>
      </c>
      <c r="AH27" s="41">
        <f ca="1">0.4*(Géométrie!$B$109-Géométrie!$B$110)+Géométrie!$B$84+Géométrie!$B$16+Géométrie!$B$3</f>
        <v>18.466652672398482</v>
      </c>
      <c r="AI27" s="41">
        <f t="shared" ca="1" si="3"/>
        <v>5.8052980168015939E-2</v>
      </c>
      <c r="AJ27" s="87" t="e">
        <f ca="1">([1]!InterpCn(Géométrie!$I$96,$A27,Géométrie!$B$112)-[1]!InterpCn(Géométrie!$I$96,$A27,0))*PI()*Géométrie!$B$113^2/4</f>
        <v>#NAME?</v>
      </c>
      <c r="AK27" s="41">
        <f ca="1">'Tableaux aéro'!W95</f>
        <v>8.6557020035751206E-3</v>
      </c>
      <c r="AL27" s="41" t="e">
        <f t="shared" ca="1" si="4"/>
        <v>#NAME?</v>
      </c>
      <c r="AM27" s="89" t="e">
        <f ca="1">(([1]!InterpCm(Géométrie!$I$96,$A27,Géométrie!$B$112)-[1]!InterpCm(Géométrie!$I$96,$A27,0))*PI()*Géométrie!$B$113^2/4/$B$1*$AM$2/$B$2)+AJ27*(-Géométrie!$B$113/2/TAN(Géométrie!$I$96*PI()/180)+Géométrie!$B$2+Géométrie!$B$16+Géométrie!$B$84+Géométrie!$B$109-Géométrie!$B$110)/$B$2</f>
        <v>#NAME?</v>
      </c>
      <c r="AN27" s="176"/>
      <c r="AO27" s="217">
        <f>[2]!interpol(A27,'[3]CA basé sur Ariane 3'!$A$6:$A$23,'[3]CA basé sur Ariane 3'!$B$6:$B$23)</f>
        <v>4.393882024072468E-2</v>
      </c>
      <c r="AP27" s="217">
        <f ca="1">0.6*(Géométrie!$B$103+Géométrie!$B$136)+Géométrie!$B$16+Géométrie!$B$13+Géométrie!$B$2+Géométrie!$B$84-Géométrie!$B$103</f>
        <v>23.85864022529865</v>
      </c>
      <c r="AQ27" s="194"/>
      <c r="AR27" s="176"/>
      <c r="AS27" s="41">
        <f ca="1">'Tableaux aéro'!Y95</f>
        <v>1.3174146365917284E-2</v>
      </c>
      <c r="AT27" s="217">
        <f t="shared" si="5"/>
        <v>-3.6873983240484978</v>
      </c>
      <c r="AU27" s="194"/>
      <c r="AV27" s="213">
        <f ca="1">-'Tableaux aéro'!B133*('Tableaux aéro'!$E$112-'Tableaux aéro'!$E$113)/Aerodynamique!$B$1</f>
        <v>1.5222173582397804E-2</v>
      </c>
      <c r="AW27" s="213">
        <f ca="1">'Tableaux aéro'!S95</f>
        <v>7.7073314221341227E-2</v>
      </c>
      <c r="AX27" s="75"/>
      <c r="AY27">
        <f t="shared" ca="1" si="6"/>
        <v>0.53795698852955387</v>
      </c>
      <c r="AZ27">
        <f ca="1">(AY27-AV27-'Tableaux aéro'!J25)/AW27</f>
        <v>3.3773124408184532</v>
      </c>
      <c r="BA27">
        <f ca="1">'Tableaux aéro'!J25+'Tableaux aéro'!T95*AZ27</f>
        <v>0.52402027681543351</v>
      </c>
      <c r="BC27" t="e">
        <f t="shared" ca="1" si="7"/>
        <v>#NAME?</v>
      </c>
      <c r="BD27" t="e">
        <f ca="1">(BC27-'Tableaux aéro'!U25)/(([1]!InterpCn(Géométrie!$B$4,$A27,(Géométrie!$B$142-Géométrie!$B$132)/Géométrie!$B$3)-[1]!InterpCn(Géométrie!$B$4,$A27,0))*PI()*Géométrie!$B$3^2/4/$B$1)</f>
        <v>#NAME?</v>
      </c>
      <c r="BE27" t="e">
        <f ca="1">'Tableaux aéro'!U25+(([1]!InterpCn(Géométrie!$B$4,$A27,$BB$3/Géométrie!$B$3)-[1]!InterpCn(Géométrie!$B$4,$A27,0))*PI()*Géométrie!$B$3^2/4/$B$1)*BD27</f>
        <v>#NAME?</v>
      </c>
      <c r="BG27" t="e">
        <f t="shared" ca="1" si="8"/>
        <v>#NAME?</v>
      </c>
      <c r="BH27" t="e">
        <f ca="1">(BG27-'Tableaux aéro'!U25*'Tableaux aéro'!AE25/$B$2)/(([1]!InterpCm(Géométrie!$B$4,$A27,(Géométrie!$B$142-Géométrie!$B$132)/Géométrie!$B$3)-[1]!InterpCm(Géométrie!$B$4,$A27,0))*PI()*Géométrie!$B$3^2/4/$B$1)</f>
        <v>#NAME?</v>
      </c>
      <c r="BI27" t="e">
        <f ca="1">'Tableaux aéro'!U25*'Tableaux aéro'!AE25/$B$2+BH27*(([1]!InterpCm(Géométrie!$B$4,$A27,$BB$3/Géométrie!$B$3)-[1]!InterpCm(Géométrie!$B$4,$A27,0))*PI()*Géométrie!$B$3^2/4/$B$1)</f>
        <v>#NAME?</v>
      </c>
    </row>
    <row r="28" spans="1:61">
      <c r="A28" s="87">
        <v>2.5</v>
      </c>
      <c r="B28" s="41">
        <f>('Tableaux aéro'!U26)*PI()*Géométrie!$B$3^2/4/$B$1</f>
        <v>2.5975671835949554</v>
      </c>
      <c r="C28" s="41">
        <f>'Tableaux aéro'!M96*A28*Géométrie!$B$2</f>
        <v>54346821.800613731</v>
      </c>
      <c r="D28" s="41">
        <f>'Tableaux aéro'!J26*PI()*Géométrie!$B$3^2/4/$B$1</f>
        <v>0.40388867864255457</v>
      </c>
      <c r="E28" s="41">
        <f>Géométrie!$F$13-('Tableaux aéro'!AE26)*Géométrie!$B$3</f>
        <v>2.3340124890078613</v>
      </c>
      <c r="F28" s="41">
        <f t="shared" si="0"/>
        <v>1.478720548182342</v>
      </c>
      <c r="G28" s="41" t="e">
        <f ca="1">([1]!InterpCn(Géométrie!$B$4,$A28,Géométrie!$B$18)-[1]!InterpCn(Géométrie!$B$4,$A28,0))*PI()*Géométrie!$B$3^2/4/$B$1</f>
        <v>#NAME?</v>
      </c>
      <c r="H28" s="241">
        <f ca="1">'Tableaux aéro'!P96</f>
        <v>9.8482053838647079E-3</v>
      </c>
      <c r="I28" s="41" t="e">
        <f t="shared" ca="1" si="1"/>
        <v>#NAME?</v>
      </c>
      <c r="J28" s="41" t="e">
        <f ca="1">([1]!InterpCm(Géométrie!$B$4,$A28,Géométrie!$B$18)-[1]!InterpCm(Géométrie!$B$4,$A28,0))*PI()*Géométrie!$B$3^2/4/$B$1*$J$2/$B$2+G28*(Géométrie!$F$13-Géométrie!$B$3/(2*TAN(Géométrie!$B$4*PI()/180)))*1/$B$2</f>
        <v>#NAME?</v>
      </c>
      <c r="K28" s="230">
        <f>'Tableaux aéro'!L26*PI()/180*PI()*Géométrie!$B$3^2/4/$B$1</f>
        <v>5.1194539771512448E-2</v>
      </c>
      <c r="L28" s="230">
        <f>'Tableaux aéro'!B26*PI()*Géométrie!$B$3^2/4/$B$1</f>
        <v>0.17792714062499998</v>
      </c>
      <c r="M28" s="230">
        <f>'Tableaux aéro'!W26*Géométrie!$B$3</f>
        <v>3.70389507892359</v>
      </c>
      <c r="N28" s="230">
        <f>K28*(M28-Géométrie!$F$12)/$B$2</f>
        <v>4.6248586323771462E-2</v>
      </c>
      <c r="O28" s="231">
        <f>[1]!InterpCn(10,$A28,Géométrie!$F$13/Géométrie!$B$3)*Géométrie!$B$3^2*PI()/4/Aerodynamique!$B$1</f>
        <v>7.1339238221884482E-2</v>
      </c>
      <c r="P28" s="230">
        <f>'Tableaux aéro'!M96*A28*Géométrie!$F$13</f>
        <v>27531030.903749995</v>
      </c>
      <c r="Q28" s="230">
        <f>0.445/POWER(LOG(P28),2.58)/POWER(1+0.15*A28^2,0.58)*Géométrie!$B$10/$B$1</f>
        <v>8.5371058064475612E-3</v>
      </c>
      <c r="R28" s="230"/>
      <c r="S28" s="230">
        <f>[1]!InterpCm(10,$A28,Géométrie!$F$13/Géométrie!$B$3)*Géométrie!$B$3^2*PI()/4/$B$1</f>
        <v>-0.16277882788753797</v>
      </c>
      <c r="T28" s="190"/>
      <c r="U28" s="176"/>
      <c r="V28" s="176"/>
      <c r="W28" s="194"/>
      <c r="X28" s="176"/>
      <c r="Y28" s="41">
        <f>[2]!interpol(A28,'[3]CA basé sur Ariane 3'!$A$6:$A$23,'[3]CA basé sur Ariane 3'!$B$6:$B$23)*PI()*Géométrie!$B$3^2/4/$B$1</f>
        <v>6.1439425483803774E-2</v>
      </c>
      <c r="Z28" s="222">
        <f>0.6*Géométrie!$B$81+Géométrie!$B$16+Géométrie!$B$2</f>
        <v>10.332515798803174</v>
      </c>
      <c r="AA28" s="194"/>
      <c r="AB28" s="190"/>
      <c r="AC28" s="41">
        <f ca="1">'Tableaux aéro'!R96</f>
        <v>2.719553287055472E-2</v>
      </c>
      <c r="AD28" s="217">
        <f t="shared" si="2"/>
        <v>-3.70389507892359</v>
      </c>
      <c r="AE28" s="176"/>
      <c r="AF28" s="87">
        <f>[2]!interpol(A28,[4]jupA_data!$A$2:$A$10,[4]jupA_data!$B$2:$B$10)*PI()*(Géométrie!$B$113^2-Géométrie!$B$85^2)/$B$1*COS(Géométrie!$I$96*PI()/180)^2/100</f>
        <v>1.2344421978065751E-2</v>
      </c>
      <c r="AG28" s="41">
        <f>'Tableaux aéro'!N64</f>
        <v>8.247574452258247E-3</v>
      </c>
      <c r="AH28" s="41">
        <f ca="1">0.4*(Géométrie!$B$109-Géométrie!$B$110)+Géométrie!$B$84+Géométrie!$B$16+Géométrie!$B$3</f>
        <v>18.466652672398482</v>
      </c>
      <c r="AI28" s="41">
        <f t="shared" ca="1" si="3"/>
        <v>5.5600037344015238E-2</v>
      </c>
      <c r="AJ28" s="87" t="e">
        <f ca="1">([1]!InterpCn(Géométrie!$I$96,$A28,Géométrie!$B$112)-[1]!InterpCn(Géométrie!$I$96,$A28,0))*PI()*Géométrie!$B$113^2/4</f>
        <v>#NAME?</v>
      </c>
      <c r="AK28" s="41">
        <f ca="1">'Tableaux aéro'!W96</f>
        <v>8.4496398242161729E-3</v>
      </c>
      <c r="AL28" s="41" t="e">
        <f t="shared" ca="1" si="4"/>
        <v>#NAME?</v>
      </c>
      <c r="AM28" s="89" t="e">
        <f ca="1">(([1]!InterpCm(Géométrie!$I$96,$A28,Géométrie!$B$112)-[1]!InterpCm(Géométrie!$I$96,$A28,0))*PI()*Géométrie!$B$113^2/4/$B$1*$AM$2/$B$2)+AJ28*(-Géométrie!$B$113/2/TAN(Géométrie!$I$96*PI()/180)+Géométrie!$B$2+Géométrie!$B$16+Géométrie!$B$84+Géométrie!$B$109-Géométrie!$B$110)/$B$2</f>
        <v>#NAME?</v>
      </c>
      <c r="AN28" s="176"/>
      <c r="AO28" s="217">
        <f>[2]!interpol(A28,'[3]CA basé sur Ariane 3'!$A$6:$A$23,'[3]CA basé sur Ariane 3'!$B$6:$B$23)</f>
        <v>3.932123230963442E-2</v>
      </c>
      <c r="AP28" s="217">
        <f ca="1">0.6*(Géométrie!$B$103+Géométrie!$B$136)+Géométrie!$B$16+Géométrie!$B$13+Géométrie!$B$2+Géométrie!$B$84-Géométrie!$B$103</f>
        <v>23.85864022529865</v>
      </c>
      <c r="AQ28" s="194"/>
      <c r="AR28" s="176"/>
      <c r="AS28" s="41">
        <f ca="1">'Tableaux aéro'!Y96</f>
        <v>1.2860515731425312E-2</v>
      </c>
      <c r="AT28" s="217">
        <f t="shared" si="5"/>
        <v>-3.70389507892359</v>
      </c>
      <c r="AU28" s="194"/>
      <c r="AV28" s="213">
        <f ca="1">-'Tableaux aéro'!B134*('Tableaux aéro'!$E$112-'Tableaux aéro'!$E$113)/Aerodynamique!$B$1</f>
        <v>7.4159307196296955E-3</v>
      </c>
      <c r="AW28" s="213">
        <f ca="1">'Tableaux aéro'!S96</f>
        <v>7.5238466499884693E-2</v>
      </c>
      <c r="AX28" s="75"/>
      <c r="AY28">
        <f t="shared" ca="1" si="6"/>
        <v>0.52208136700481278</v>
      </c>
      <c r="AZ28">
        <f ca="1">(AY28-AV28-'Tableaux aéro'!J26)/AW28</f>
        <v>3.4048631487503904</v>
      </c>
      <c r="BA28">
        <f ca="1">'Tableaux aéro'!J26+'Tableaux aéro'!T96*AZ28</f>
        <v>0.51593053239531272</v>
      </c>
      <c r="BC28" t="e">
        <f t="shared" ca="1" si="7"/>
        <v>#NAME?</v>
      </c>
      <c r="BD28" t="e">
        <f ca="1">(BC28-'Tableaux aéro'!U26)/(([1]!InterpCn(Géométrie!$B$4,$A28,(Géométrie!$B$142-Géométrie!$B$132)/Géométrie!$B$3)-[1]!InterpCn(Géométrie!$B$4,$A28,0))*PI()*Géométrie!$B$3^2/4/$B$1)</f>
        <v>#NAME?</v>
      </c>
      <c r="BE28" t="e">
        <f ca="1">'Tableaux aéro'!U26+(([1]!InterpCn(Géométrie!$B$4,$A28,$BB$3/Géométrie!$B$3)-[1]!InterpCn(Géométrie!$B$4,$A28,0))*PI()*Géométrie!$B$3^2/4/$B$1)*BD28</f>
        <v>#NAME?</v>
      </c>
      <c r="BG28" t="e">
        <f t="shared" ca="1" si="8"/>
        <v>#NAME?</v>
      </c>
      <c r="BH28" t="e">
        <f ca="1">(BG28-'Tableaux aéro'!U26*'Tableaux aéro'!AE26/$B$2)/(([1]!InterpCm(Géométrie!$B$4,$A28,(Géométrie!$B$142-Géométrie!$B$132)/Géométrie!$B$3)-[1]!InterpCm(Géométrie!$B$4,$A28,0))*PI()*Géométrie!$B$3^2/4/$B$1)</f>
        <v>#NAME?</v>
      </c>
      <c r="BI28" t="e">
        <f ca="1">'Tableaux aéro'!U26*'Tableaux aéro'!AE26/$B$2+BH28*(([1]!InterpCm(Géométrie!$B$4,$A28,$BB$3/Géométrie!$B$3)-[1]!InterpCm(Géométrie!$B$4,$A28,0))*PI()*Géométrie!$B$3^2/4/$B$1)</f>
        <v>#NAME?</v>
      </c>
    </row>
    <row r="29" spans="1:61">
      <c r="A29" s="87">
        <v>2.7</v>
      </c>
      <c r="B29" s="41">
        <f>('Tableaux aéro'!U27)*PI()*Géométrie!$B$3^2/4/$B$1</f>
        <v>2.5536696414330597</v>
      </c>
      <c r="C29" s="41">
        <f>'Tableaux aéro'!M97*A29*Géométrie!$B$2</f>
        <v>42810322.100110605</v>
      </c>
      <c r="D29" s="41">
        <f>'Tableaux aéro'!J27*PI()*Géométrie!$B$3^2/4/$B$1</f>
        <v>0.39948029947921782</v>
      </c>
      <c r="E29" s="41">
        <f>Géométrie!$F$13-('Tableaux aéro'!AE27)*Géométrie!$B$3</f>
        <v>2.3412157119670454</v>
      </c>
      <c r="F29" s="41">
        <f t="shared" si="0"/>
        <v>1.4582174360234954</v>
      </c>
      <c r="G29" s="41" t="e">
        <f ca="1">([1]!InterpCn(Géométrie!$B$4,$A29,Géométrie!$B$18)-[1]!InterpCn(Géométrie!$B$4,$A29,0))*PI()*Géométrie!$B$3^2/4/$B$1</f>
        <v>#NAME?</v>
      </c>
      <c r="H29" s="241">
        <f ca="1">'Tableaux aéro'!P97</f>
        <v>9.7214263600951603E-3</v>
      </c>
      <c r="I29" s="41" t="e">
        <f t="shared" ca="1" si="1"/>
        <v>#NAME?</v>
      </c>
      <c r="J29" s="41" t="e">
        <f ca="1">([1]!InterpCm(Géométrie!$B$4,$A29,Géométrie!$B$18)-[1]!InterpCm(Géométrie!$B$4,$A29,0))*PI()*Géométrie!$B$3^2/4/$B$1*$J$2/$B$2+G29*(Géométrie!$F$13-Géométrie!$B$3/(2*TAN(Géométrie!$B$4*PI()/180)))*1/$B$2</f>
        <v>#NAME?</v>
      </c>
      <c r="K29" s="230">
        <f>'Tableaux aéro'!L27*PI()/180*PI()*Géométrie!$B$3^2/4/$B$1</f>
        <v>5.0853990994898832E-2</v>
      </c>
      <c r="L29" s="230">
        <f>'Tableaux aéro'!B27*PI()*Géométrie!$B$3^2/4/$B$1</f>
        <v>0.17019755468749997</v>
      </c>
      <c r="M29" s="230">
        <f>'Tableaux aéro'!W27*Géométrie!$B$3</f>
        <v>3.7129505253852928</v>
      </c>
      <c r="N29" s="230">
        <f>K29*(M29-Géométrie!$F$12)/$B$2</f>
        <v>4.6053256727426481E-2</v>
      </c>
      <c r="O29" s="231">
        <f>[1]!InterpCn(10,$A29,Géométrie!$F$13/Géométrie!$B$3)*Géométrie!$B$3^2*PI()/4/Aerodynamique!$B$1</f>
        <v>7.1307988221884486E-2</v>
      </c>
      <c r="P29" s="230">
        <f>'Tableaux aéro'!M97*A29*Géométrie!$F$13</f>
        <v>21686867.082341999</v>
      </c>
      <c r="Q29" s="230">
        <f>0.445/POWER(LOG(P29),2.58)/POWER(1+0.15*A29^2,0.58)*Géométrie!$B$10/$B$1</f>
        <v>8.462932184300569E-3</v>
      </c>
      <c r="R29" s="230"/>
      <c r="S29" s="230">
        <f>[1]!InterpCm(10,$A29,Géométrie!$F$13/Géométrie!$B$3)*Géométrie!$B$3^2*PI()/4/$B$1</f>
        <v>-0.16281007788753796</v>
      </c>
      <c r="T29" s="190"/>
      <c r="U29" s="176"/>
      <c r="V29" s="176"/>
      <c r="W29" s="194"/>
      <c r="X29" s="176"/>
      <c r="Y29" s="41">
        <f>[2]!interpol(A29,'[3]CA basé sur Ariane 3'!$A$6:$A$23,'[3]CA basé sur Ariane 3'!$B$6:$B$23)*PI()*Géométrie!$B$3^2/4/$B$1</f>
        <v>5.4224444341475241E-2</v>
      </c>
      <c r="Z29" s="222">
        <f>0.6*Géométrie!$B$81+Géométrie!$B$16+Géométrie!$B$2</f>
        <v>10.332515798803174</v>
      </c>
      <c r="AA29" s="194"/>
      <c r="AB29" s="190"/>
      <c r="AC29" s="41">
        <f ca="1">'Tableaux aéro'!R97</f>
        <v>2.6845436282005655E-2</v>
      </c>
      <c r="AD29" s="217">
        <f t="shared" si="2"/>
        <v>-3.7129505253852928</v>
      </c>
      <c r="AE29" s="176"/>
      <c r="AF29" s="87">
        <f>[2]!interpol(A29,[4]jupA_data!$A$2:$A$10,[4]jupA_data!$B$2:$B$10)*PI()*(Géométrie!$B$113^2-Géométrie!$B$85^2)/$B$1*COS(Géométrie!$I$96*PI()/180)^2/100</f>
        <v>1.2150783986252956E-2</v>
      </c>
      <c r="AG29" s="41">
        <f>'Tableaux aéro'!N65</f>
        <v>7.5338866397403033E-3</v>
      </c>
      <c r="AH29" s="41">
        <f ca="1">0.4*(Géométrie!$B$109-Géométrie!$B$110)+Géométrie!$B$84+Géométrie!$B$16+Géométrie!$B$3</f>
        <v>18.466652672398482</v>
      </c>
      <c r="AI29" s="41">
        <f t="shared" ca="1" si="3"/>
        <v>5.4727879895481668E-2</v>
      </c>
      <c r="AJ29" s="87" t="e">
        <f ca="1">([1]!InterpCn(Géométrie!$I$96,$A29,Géométrie!$B$112)-[1]!InterpCn(Géométrie!$I$96,$A29,0))*PI()*Géométrie!$B$113^2/4</f>
        <v>#NAME?</v>
      </c>
      <c r="AK29" s="41">
        <f ca="1">'Tableaux aéro'!W97</f>
        <v>8.3408649717061356E-3</v>
      </c>
      <c r="AL29" s="41" t="e">
        <f t="shared" ca="1" si="4"/>
        <v>#NAME?</v>
      </c>
      <c r="AM29" s="89" t="e">
        <f ca="1">(([1]!InterpCm(Géométrie!$I$96,$A29,Géométrie!$B$112)-[1]!InterpCm(Géométrie!$I$96,$A29,0))*PI()*Géométrie!$B$113^2/4/$B$1*$AM$2/$B$2)+AJ29*(-Géométrie!$B$113/2/TAN(Géométrie!$I$96*PI()/180)+Géométrie!$B$2+Géométrie!$B$16+Géométrie!$B$84+Géométrie!$B$109-Géométrie!$B$110)/$B$2</f>
        <v>#NAME?</v>
      </c>
      <c r="AN29" s="176"/>
      <c r="AO29" s="217">
        <f>[2]!interpol(A29,'[3]CA basé sur Ariane 3'!$A$6:$A$23,'[3]CA basé sur Ariane 3'!$B$6:$B$23)</f>
        <v>3.470364437854416E-2</v>
      </c>
      <c r="AP29" s="217">
        <f ca="1">0.6*(Géométrie!$B$103+Géométrie!$B$136)+Géométrie!$B$16+Géométrie!$B$13+Géométrie!$B$2+Géométrie!$B$84-Géométrie!$B$103</f>
        <v>23.85864022529865</v>
      </c>
      <c r="AQ29" s="194"/>
      <c r="AR29" s="176"/>
      <c r="AS29" s="41">
        <f ca="1">'Tableaux aéro'!Y97</f>
        <v>1.2694958295724963E-2</v>
      </c>
      <c r="AT29" s="217">
        <f t="shared" si="5"/>
        <v>-3.7129505253852928</v>
      </c>
      <c r="AU29" s="194"/>
      <c r="AV29" s="213">
        <f ca="1">-'Tableaux aéro'!B135*('Tableaux aéro'!$E$112-'Tableaux aéro'!$E$113)/Aerodynamique!$B$1</f>
        <v>4.4495584317778142E-3</v>
      </c>
      <c r="AW29" s="213">
        <f ca="1">'Tableaux aéro'!S97</f>
        <v>7.4269898221607178E-2</v>
      </c>
      <c r="AX29" s="75"/>
      <c r="AY29">
        <f t="shared" ca="1" si="6"/>
        <v>0.50911989000987012</v>
      </c>
      <c r="AZ29">
        <f ca="1">(AY29-AV29-'Tableaux aéro'!J27)/AW29</f>
        <v>3.3526764661561224</v>
      </c>
      <c r="BA29">
        <f ca="1">'Tableaux aéro'!J27+'Tableaux aéro'!T97*AZ29</f>
        <v>0.50590000107138899</v>
      </c>
      <c r="BC29" t="e">
        <f t="shared" ca="1" si="7"/>
        <v>#NAME?</v>
      </c>
      <c r="BD29" t="e">
        <f ca="1">(BC29-'Tableaux aéro'!U27)/(([1]!InterpCn(Géométrie!$B$4,$A29,(Géométrie!$B$142-Géométrie!$B$132)/Géométrie!$B$3)-[1]!InterpCn(Géométrie!$B$4,$A29,0))*PI()*Géométrie!$B$3^2/4/$B$1)</f>
        <v>#NAME?</v>
      </c>
      <c r="BE29" t="e">
        <f ca="1">'Tableaux aéro'!U27+(([1]!InterpCn(Géométrie!$B$4,$A29,$BB$3/Géométrie!$B$3)-[1]!InterpCn(Géométrie!$B$4,$A29,0))*PI()*Géométrie!$B$3^2/4/$B$1)*BD29</f>
        <v>#NAME?</v>
      </c>
      <c r="BG29" t="e">
        <f t="shared" ca="1" si="8"/>
        <v>#NAME?</v>
      </c>
      <c r="BH29" t="e">
        <f ca="1">(BG29-'Tableaux aéro'!U27*'Tableaux aéro'!AE27/$B$2)/(([1]!InterpCm(Géométrie!$B$4,$A29,(Géométrie!$B$142-Géométrie!$B$132)/Géométrie!$B$3)-[1]!InterpCm(Géométrie!$B$4,$A29,0))*PI()*Géométrie!$B$3^2/4/$B$1)</f>
        <v>#NAME?</v>
      </c>
      <c r="BI29" t="e">
        <f ca="1">'Tableaux aéro'!U27*'Tableaux aéro'!AE27/$B$2+BH29*(([1]!InterpCm(Géométrie!$B$4,$A29,$BB$3/Géométrie!$B$3)-[1]!InterpCm(Géométrie!$B$4,$A29,0))*PI()*Géométrie!$B$3^2/4/$B$1)</f>
        <v>#NAME?</v>
      </c>
    </row>
    <row r="30" spans="1:61">
      <c r="A30" s="87">
        <v>2.9</v>
      </c>
      <c r="B30" s="41">
        <f>('Tableaux aéro'!U28)*PI()*Géométrie!$B$3^2/4/$B$1</f>
        <v>2.5133902230770948</v>
      </c>
      <c r="C30" s="41">
        <f>'Tableaux aéro'!M98*A30*Géométrie!$B$2</f>
        <v>37679539.80556751</v>
      </c>
      <c r="D30" s="41">
        <f>'Tableaux aéro'!J28*PI()*Géométrie!$B$3^2/4/$B$1</f>
        <v>0.39642261259345019</v>
      </c>
      <c r="E30" s="41">
        <f>Géométrie!$F$13-('Tableaux aéro'!AE28)*Géométrie!$B$3</f>
        <v>2.3476310552528883</v>
      </c>
      <c r="F30" s="41">
        <f t="shared" si="0"/>
        <v>1.4391494979670179</v>
      </c>
      <c r="G30" s="41" t="e">
        <f ca="1">([1]!InterpCn(Géométrie!$B$4,$A30,Géométrie!$B$18)-[1]!InterpCn(Géométrie!$B$4,$A30,0))*PI()*Géométrie!$B$3^2/4/$B$1</f>
        <v>#NAME?</v>
      </c>
      <c r="H30" s="241">
        <f ca="1">'Tableaux aéro'!P98</f>
        <v>9.4576490380587127E-3</v>
      </c>
      <c r="I30" s="41" t="e">
        <f t="shared" ca="1" si="1"/>
        <v>#NAME?</v>
      </c>
      <c r="J30" s="41" t="e">
        <f ca="1">([1]!InterpCm(Géométrie!$B$4,$A30,Géométrie!$B$18)-[1]!InterpCm(Géométrie!$B$4,$A30,0))*PI()*Géométrie!$B$3^2/4/$B$1*$J$2/$B$2+G30*(Géométrie!$F$13-Géométrie!$B$3/(2*TAN(Géométrie!$B$4*PI()/180)))*1/$B$2</f>
        <v>#NAME?</v>
      </c>
      <c r="K30" s="230">
        <f>'Tableaux aéro'!L28*PI()/180*PI()*Géométrie!$B$3^2/4/$B$1</f>
        <v>5.0481684861283953E-2</v>
      </c>
      <c r="L30" s="230">
        <f>'Tableaux aéro'!B28*PI()*Géométrie!$B$3^2/4/$B$1</f>
        <v>0.16733013906249999</v>
      </c>
      <c r="M30" s="230">
        <f>'Tableaux aéro'!W28*Géométrie!$B$3</f>
        <v>3.7158353707518272</v>
      </c>
      <c r="N30" s="230">
        <f>K30*(M30-Géométrie!$F$12)/$B$2</f>
        <v>4.5751617117733165E-2</v>
      </c>
      <c r="O30" s="231">
        <f>[1]!InterpCn(10,$A30,Géométrie!$F$13/Géométrie!$B$3)*Géométrie!$B$3^2*PI()/4/Aerodynamique!$B$1</f>
        <v>7.1276738221884489E-2</v>
      </c>
      <c r="P30" s="230">
        <f>'Tableaux aéro'!M98*A30*Géométrie!$F$13</f>
        <v>19087713.696156606</v>
      </c>
      <c r="Q30" s="230">
        <f>0.445/POWER(LOG(P30),2.58)/POWER(1+0.15*A30^2,0.58)*Géométrie!$B$10/$B$1</f>
        <v>8.2523432121798402E-3</v>
      </c>
      <c r="R30" s="230"/>
      <c r="S30" s="230">
        <f>[1]!InterpCm(10,$A30,Géométrie!$F$13/Géométrie!$B$3)*Géométrie!$B$3^2*PI()/4/$B$1</f>
        <v>-0.16284132788753797</v>
      </c>
      <c r="T30" s="190"/>
      <c r="U30" s="176"/>
      <c r="V30" s="176"/>
      <c r="W30" s="194"/>
      <c r="X30" s="176"/>
      <c r="Y30" s="41">
        <f>[2]!interpol(A30,'[3]CA basé sur Ariane 3'!$A$6:$A$23,'[3]CA basé sur Ariane 3'!$B$6:$B$23)*PI()*Géométrie!$B$3^2/4/$B$1</f>
        <v>4.7009463199146728E-2</v>
      </c>
      <c r="Z30" s="222">
        <f>0.6*Géométrie!$B$81+Géométrie!$B$16+Géométrie!$B$2</f>
        <v>10.332515798803174</v>
      </c>
      <c r="AA30" s="194"/>
      <c r="AB30" s="190"/>
      <c r="AC30" s="41">
        <f ca="1">'Tableaux aéro'!R98</f>
        <v>2.6117022875467414E-2</v>
      </c>
      <c r="AD30" s="217">
        <f t="shared" si="2"/>
        <v>-3.7158353707518272</v>
      </c>
      <c r="AE30" s="176"/>
      <c r="AF30" s="87">
        <f>[2]!interpol(A30,[4]jupA_data!$A$2:$A$10,[4]jupA_data!$B$2:$B$10)*PI()*(Géométrie!$B$113^2-Géométrie!$B$85^2)/$B$1*COS(Géométrie!$I$96*PI()/180)^2/100</f>
        <v>1.1957145994440165E-2</v>
      </c>
      <c r="AG30" s="41">
        <f>'Tableaux aéro'!N66</f>
        <v>6.8201988272223613E-3</v>
      </c>
      <c r="AH30" s="41">
        <f ca="1">0.4*(Géométrie!$B$109-Géométrie!$B$110)+Géométrie!$B$84+Géométrie!$B$16+Géométrie!$B$3</f>
        <v>18.466652672398482</v>
      </c>
      <c r="AI30" s="41">
        <f t="shared" ca="1" si="3"/>
        <v>5.3855722446948119E-2</v>
      </c>
      <c r="AJ30" s="87" t="e">
        <f ca="1">([1]!InterpCn(Géométrie!$I$96,$A30,Géométrie!$B$112)-[1]!InterpCn(Géométrie!$I$96,$A30,0))*PI()*Géométrie!$B$113^2/4</f>
        <v>#NAME?</v>
      </c>
      <c r="AK30" s="41">
        <f ca="1">'Tableaux aéro'!W98</f>
        <v>8.1145472540988285E-3</v>
      </c>
      <c r="AL30" s="41" t="e">
        <f t="shared" ca="1" si="4"/>
        <v>#NAME?</v>
      </c>
      <c r="AM30" s="89" t="e">
        <f ca="1">(([1]!InterpCm(Géométrie!$I$96,$A30,Géométrie!$B$112)-[1]!InterpCm(Géométrie!$I$96,$A30,0))*PI()*Géométrie!$B$113^2/4/$B$1*$AM$2/$B$2)+AJ30*(-Géométrie!$B$113/2/TAN(Géométrie!$I$96*PI()/180)+Géométrie!$B$2+Géométrie!$B$16+Géométrie!$B$84+Géométrie!$B$109-Géométrie!$B$110)/$B$2</f>
        <v>#NAME?</v>
      </c>
      <c r="AN30" s="176"/>
      <c r="AO30" s="217">
        <f>[2]!interpol(A30,'[3]CA basé sur Ariane 3'!$A$6:$A$23,'[3]CA basé sur Ariane 3'!$B$6:$B$23)</f>
        <v>3.0086056447453907E-2</v>
      </c>
      <c r="AP30" s="217">
        <f ca="1">0.6*(Géométrie!$B$103+Géométrie!$B$136)+Géométrie!$B$16+Géométrie!$B$13+Géométrie!$B$2+Géométrie!$B$84-Géométrie!$B$103</f>
        <v>23.85864022529865</v>
      </c>
      <c r="AQ30" s="194"/>
      <c r="AR30" s="176"/>
      <c r="AS30" s="41">
        <f ca="1">'Tableaux aéro'!Y98</f>
        <v>1.2350498339071243E-2</v>
      </c>
      <c r="AT30" s="217">
        <f t="shared" si="5"/>
        <v>-3.7158353707518272</v>
      </c>
      <c r="AU30" s="194"/>
      <c r="AV30" s="213">
        <f ca="1">-'Tableaux aéro'!B136*('Tableaux aéro'!$E$112-'Tableaux aéro'!$E$113)/Aerodynamique!$B$1</f>
        <v>1.4831861439259402E-3</v>
      </c>
      <c r="AW30" s="213">
        <f ca="1">'Tableaux aéro'!S98</f>
        <v>7.225468829919994E-2</v>
      </c>
      <c r="AX30" s="75"/>
      <c r="AY30">
        <f t="shared" ca="1" si="6"/>
        <v>0.49683434308845675</v>
      </c>
      <c r="AZ30">
        <f ca="1">(AY30-AV30-'Tableaux aéro'!J28)/AW30</f>
        <v>3.3442907383962552</v>
      </c>
      <c r="BA30">
        <f ca="1">'Tableaux aéro'!J28+'Tableaux aéro'!T98*AZ30</f>
        <v>0.49654446887348963</v>
      </c>
      <c r="BC30" t="e">
        <f t="shared" ca="1" si="7"/>
        <v>#NAME?</v>
      </c>
      <c r="BD30" t="e">
        <f ca="1">(BC30-'Tableaux aéro'!U28)/(([1]!InterpCn(Géométrie!$B$4,$A30,(Géométrie!$B$142-Géométrie!$B$132)/Géométrie!$B$3)-[1]!InterpCn(Géométrie!$B$4,$A30,0))*PI()*Géométrie!$B$3^2/4/$B$1)</f>
        <v>#NAME?</v>
      </c>
      <c r="BE30" t="e">
        <f ca="1">'Tableaux aéro'!U28+(([1]!InterpCn(Géométrie!$B$4,$A30,$BB$3/Géométrie!$B$3)-[1]!InterpCn(Géométrie!$B$4,$A30,0))*PI()*Géométrie!$B$3^2/4/$B$1)*BD30</f>
        <v>#NAME?</v>
      </c>
      <c r="BG30" t="e">
        <f t="shared" ca="1" si="8"/>
        <v>#NAME?</v>
      </c>
      <c r="BH30" t="e">
        <f ca="1">(BG30-'Tableaux aéro'!U28*'Tableaux aéro'!AE28/$B$2)/(([1]!InterpCm(Géométrie!$B$4,$A30,(Géométrie!$B$142-Géométrie!$B$132)/Géométrie!$B$3)-[1]!InterpCm(Géométrie!$B$4,$A30,0))*PI()*Géométrie!$B$3^2/4/$B$1)</f>
        <v>#NAME?</v>
      </c>
      <c r="BI30" t="e">
        <f ca="1">'Tableaux aéro'!U28*'Tableaux aéro'!AE28/$B$2+BH30*(([1]!InterpCm(Géométrie!$B$4,$A30,$BB$3/Géométrie!$B$3)-[1]!InterpCm(Géométrie!$B$4,$A30,0))*PI()*Géométrie!$B$3^2/4/$B$1)</f>
        <v>#NAME?</v>
      </c>
    </row>
    <row r="31" spans="1:61">
      <c r="A31" s="87">
        <v>3.1</v>
      </c>
      <c r="B31" s="41">
        <f>('Tableaux aéro'!U29)*PI()*Géométrie!$B$3^2/4/$B$1</f>
        <v>2.4733625075857035</v>
      </c>
      <c r="C31" s="41">
        <f>'Tableaux aéro'!M99*A31*Géométrie!$B$2</f>
        <v>31963765.536235195</v>
      </c>
      <c r="D31" s="41">
        <f>'Tableaux aéro'!J29*PI()*Géométrie!$B$3^2/4/$B$1</f>
        <v>0.39343592587499021</v>
      </c>
      <c r="E31" s="41">
        <f>Géométrie!$F$13-('Tableaux aéro'!AE29)*Géométrie!$B$3</f>
        <v>2.3537043556101302</v>
      </c>
      <c r="F31" s="41">
        <f t="shared" si="0"/>
        <v>1.4198936846603083</v>
      </c>
      <c r="G31" s="41" t="e">
        <f ca="1">([1]!InterpCn(Géométrie!$B$4,$A31,Géométrie!$B$18)-[1]!InterpCn(Géométrie!$B$4,$A31,0))*PI()*Géométrie!$B$3^2/4/$B$1</f>
        <v>#NAME?</v>
      </c>
      <c r="H31" s="241">
        <f ca="1">'Tableaux aéro'!P99</f>
        <v>9.2518359783214689E-3</v>
      </c>
      <c r="I31" s="41" t="e">
        <f t="shared" ca="1" si="1"/>
        <v>#NAME?</v>
      </c>
      <c r="J31" s="41" t="e">
        <f ca="1">([1]!InterpCm(Géométrie!$B$4,$A31,Géométrie!$B$18)-[1]!InterpCm(Géométrie!$B$4,$A31,0))*PI()*Géométrie!$B$3^2/4/$B$1*$J$2/$B$2+G31*(Géométrie!$F$13-Géométrie!$B$3/(2*TAN(Géométrie!$B$4*PI()/180)))*1/$B$2</f>
        <v>#NAME?</v>
      </c>
      <c r="K31" s="230">
        <f>'Tableaux aéro'!L29*PI()/180*PI()*Géométrie!$B$3^2/4/$B$1</f>
        <v>5.0310650393154695E-2</v>
      </c>
      <c r="L31" s="230">
        <f>'Tableaux aéro'!B29*PI()*Géométrie!$B$3^2/4/$B$1</f>
        <v>0.16592043593749997</v>
      </c>
      <c r="M31" s="230">
        <f>'Tableaux aéro'!W29*Géométrie!$B$3</f>
        <v>3.704327287778661</v>
      </c>
      <c r="N31" s="230">
        <f>K31*(M31-Géométrie!$F$12)/$B$2</f>
        <v>4.5455393931037848E-2</v>
      </c>
      <c r="O31" s="231">
        <f>[1]!InterpCn(10,$A31,Géométrie!$F$13/Géométrie!$B$3)*Géométrie!$B$3^2*PI()/4/Aerodynamique!$B$1</f>
        <v>7.1438544832826731E-2</v>
      </c>
      <c r="P31" s="230">
        <f>'Tableaux aéro'!M99*A31*Géométrie!$F$13</f>
        <v>16192214.882533802</v>
      </c>
      <c r="Q31" s="230">
        <f>0.445/POWER(LOG(P31),2.58)/POWER(1+0.15*A31^2,0.58)*Géométrie!$B$10/$B$1</f>
        <v>8.0972253385830882E-3</v>
      </c>
      <c r="R31" s="230"/>
      <c r="S31" s="230">
        <f>[1]!InterpCm(10,$A31,Géométrie!$F$13/Géométrie!$B$3)*Géométrie!$B$3^2*PI()/4/$B$1</f>
        <v>-0.16350417933130695</v>
      </c>
      <c r="T31" s="190"/>
      <c r="U31" s="176"/>
      <c r="V31" s="176"/>
      <c r="W31" s="194"/>
      <c r="X31" s="176"/>
      <c r="Y31" s="41">
        <f>[2]!interpol(A31,'[3]CA basé sur Ariane 3'!$A$6:$A$23,'[3]CA basé sur Ariane 3'!$B$6:$B$23)*PI()*Géométrie!$B$3^2/4/$B$1</f>
        <v>4.1727581805786181E-2</v>
      </c>
      <c r="Z31" s="222">
        <f>0.6*Géométrie!$B$81+Géométrie!$B$16+Géométrie!$B$2</f>
        <v>10.332515798803174</v>
      </c>
      <c r="AA31" s="194"/>
      <c r="AB31" s="190"/>
      <c r="AC31" s="41">
        <f ca="1">'Tableaux aéro'!R99</f>
        <v>2.5548676094190488E-2</v>
      </c>
      <c r="AD31" s="217">
        <f t="shared" si="2"/>
        <v>-3.704327287778661</v>
      </c>
      <c r="AE31" s="176"/>
      <c r="AF31" s="87">
        <f>[2]!interpol(A31,[4]jupA_data!$A$2:$A$10,[4]jupA_data!$B$2:$B$10)*PI()*(Géométrie!$B$113^2-Géométrie!$B$85^2)/$B$1*COS(Géométrie!$I$96*PI()/180)^2/100</f>
        <v>1.1860326998533764E-2</v>
      </c>
      <c r="AG31" s="41">
        <f>'Tableaux aéro'!N67</f>
        <v>6.2926247909756775E-3</v>
      </c>
      <c r="AH31" s="41">
        <f ca="1">0.4*(Géométrie!$B$109-Géométrie!$B$110)+Géométrie!$B$84+Géométrie!$B$16+Géométrie!$B$3</f>
        <v>18.466652672398482</v>
      </c>
      <c r="AI31" s="41">
        <f t="shared" ca="1" si="3"/>
        <v>5.341964372268132E-2</v>
      </c>
      <c r="AJ31" s="87" t="e">
        <f ca="1">([1]!InterpCn(Géométrie!$I$96,$A31,Géométrie!$B$112)-[1]!InterpCn(Géométrie!$I$96,$A31,0))*PI()*Géométrie!$B$113^2/4</f>
        <v>#NAME?</v>
      </c>
      <c r="AK31" s="41">
        <f ca="1">'Tableaux aéro'!W99</f>
        <v>7.9379621649262547E-3</v>
      </c>
      <c r="AL31" s="41" t="e">
        <f t="shared" ca="1" si="4"/>
        <v>#NAME?</v>
      </c>
      <c r="AM31" s="89" t="e">
        <f ca="1">(([1]!InterpCm(Géométrie!$I$96,$A31,Géométrie!$B$112)-[1]!InterpCm(Géométrie!$I$96,$A31,0))*PI()*Géométrie!$B$113^2/4/$B$1*$AM$2/$B$2)+AJ31*(-Géométrie!$B$113/2/TAN(Géométrie!$I$96*PI()/180)+Géométrie!$B$2+Géométrie!$B$16+Géométrie!$B$84+Géométrie!$B$109-Géométrie!$B$110)/$B$2</f>
        <v>#NAME?</v>
      </c>
      <c r="AN31" s="176"/>
      <c r="AO31" s="217">
        <f>[2]!interpol(A31,'[3]CA basé sur Ariane 3'!$A$6:$A$23,'[3]CA basé sur Ariane 3'!$B$6:$B$23)</f>
        <v>2.6705652355703158E-2</v>
      </c>
      <c r="AP31" s="217">
        <f ca="1">0.6*(Géométrie!$B$103+Géométrie!$B$136)+Géométrie!$B$16+Géométrie!$B$13+Géométrie!$B$2+Géométrie!$B$84-Géométrie!$B$103</f>
        <v>23.85864022529865</v>
      </c>
      <c r="AQ31" s="194"/>
      <c r="AR31" s="176"/>
      <c r="AS31" s="41">
        <f ca="1">'Tableaux aéro'!Y99</f>
        <v>1.2081732407684372E-2</v>
      </c>
      <c r="AT31" s="217">
        <f t="shared" si="5"/>
        <v>-3.704327287778661</v>
      </c>
      <c r="AU31" s="194"/>
      <c r="AV31" s="213">
        <f ca="1">-'Tableaux aéro'!B137*('Tableaux aéro'!$E$112-'Tableaux aéro'!$E$113)/Aerodynamique!$B$1</f>
        <v>0</v>
      </c>
      <c r="AW31" s="213">
        <f ca="1">'Tableaux aéro'!S99</f>
        <v>7.0682314613162683E-2</v>
      </c>
      <c r="AX31" s="75"/>
      <c r="AY31">
        <f t="shared" ca="1" si="6"/>
        <v>0.48702450313855317</v>
      </c>
      <c r="AZ31">
        <f ca="1">(AY31-AV31-'Tableaux aéro'!J29)/AW31</f>
        <v>3.3279259722311774</v>
      </c>
      <c r="BA31">
        <f ca="1">'Tableaux aéro'!J29+'Tableaux aéro'!T99*AZ31</f>
        <v>0.48818613454140536</v>
      </c>
      <c r="BC31" t="e">
        <f t="shared" ca="1" si="7"/>
        <v>#NAME?</v>
      </c>
      <c r="BD31" t="e">
        <f ca="1">(BC31-'Tableaux aéro'!U29)/(([1]!InterpCn(Géométrie!$B$4,$A31,(Géométrie!$B$142-Géométrie!$B$132)/Géométrie!$B$3)-[1]!InterpCn(Géométrie!$B$4,$A31,0))*PI()*Géométrie!$B$3^2/4/$B$1)</f>
        <v>#NAME?</v>
      </c>
      <c r="BE31" t="e">
        <f ca="1">'Tableaux aéro'!U29+(([1]!InterpCn(Géométrie!$B$4,$A31,$BB$3/Géométrie!$B$3)-[1]!InterpCn(Géométrie!$B$4,$A31,0))*PI()*Géométrie!$B$3^2/4/$B$1)*BD31</f>
        <v>#NAME?</v>
      </c>
      <c r="BG31" t="e">
        <f t="shared" ca="1" si="8"/>
        <v>#NAME?</v>
      </c>
      <c r="BH31" t="e">
        <f ca="1">(BG31-'Tableaux aéro'!U29*'Tableaux aéro'!AE29/$B$2)/(([1]!InterpCm(Géométrie!$B$4,$A31,(Géométrie!$B$142-Géométrie!$B$132)/Géométrie!$B$3)-[1]!InterpCm(Géométrie!$B$4,$A31,0))*PI()*Géométrie!$B$3^2/4/$B$1)</f>
        <v>#NAME?</v>
      </c>
      <c r="BI31" t="e">
        <f ca="1">'Tableaux aéro'!U29*'Tableaux aéro'!AE29/$B$2+BH31*(([1]!InterpCm(Géométrie!$B$4,$A31,$BB$3/Géométrie!$B$3)-[1]!InterpCm(Géométrie!$B$4,$A31,0))*PI()*Géométrie!$B$3^2/4/$B$1)</f>
        <v>#NAME?</v>
      </c>
    </row>
    <row r="32" spans="1:61">
      <c r="A32" s="87">
        <v>3.3</v>
      </c>
      <c r="B32" s="41">
        <f>('Tableaux aéro'!U30)*PI()*Géométrie!$B$3^2/4/$B$1</f>
        <v>2.4364435210516393</v>
      </c>
      <c r="C32" s="41">
        <f>'Tableaux aéro'!M100*A32*Géométrie!$B$2</f>
        <v>25301968.849135365</v>
      </c>
      <c r="D32" s="41">
        <f>'Tableaux aéro'!J30*PI()*Géométrie!$B$3^2/4/$B$1</f>
        <v>0.39044923915653024</v>
      </c>
      <c r="E32" s="41">
        <f>Géométrie!$F$13-('Tableaux aéro'!AE30)*Géométrie!$B$3</f>
        <v>2.3617543001318815</v>
      </c>
      <c r="F32" s="41">
        <f t="shared" si="0"/>
        <v>1.4034831616761396</v>
      </c>
      <c r="G32" s="41" t="e">
        <f ca="1">([1]!InterpCn(Géométrie!$B$4,$A32,Géométrie!$B$18)-[1]!InterpCn(Géométrie!$B$4,$A32,0))*PI()*Géométrie!$B$3^2/4/$B$1</f>
        <v>#NAME?</v>
      </c>
      <c r="H32" s="241">
        <f ca="1">'Tableaux aéro'!P100</f>
        <v>9.1440310368629419E-3</v>
      </c>
      <c r="I32" s="41" t="e">
        <f t="shared" ca="1" si="1"/>
        <v>#NAME?</v>
      </c>
      <c r="J32" s="41" t="e">
        <f ca="1">([1]!InterpCm(Géométrie!$B$4,$A32,Géométrie!$B$18)-[1]!InterpCm(Géométrie!$B$4,$A32,0))*PI()*Géométrie!$B$3^2/4/$B$1*$J$2/$B$2+G32*(Géométrie!$F$13-Géométrie!$B$3/(2*TAN(Géométrie!$B$4*PI()/180)))*1/$B$2</f>
        <v>#NAME?</v>
      </c>
      <c r="K32" s="230">
        <f>'Tableaux aéro'!L30*PI()/180*PI()*Géométrie!$B$3^2/4/$B$1</f>
        <v>5.0306459201425693E-2</v>
      </c>
      <c r="L32" s="230">
        <f>'Tableaux aéro'!B30*PI()*Géométrie!$B$3^2/4/$B$1</f>
        <v>0.16451073281249998</v>
      </c>
      <c r="M32" s="230">
        <f>'Tableaux aéro'!W30*Géométrie!$B$3</f>
        <v>3.6892969604308767</v>
      </c>
      <c r="N32" s="230">
        <f>K32*(M32-Géométrie!$F$12)/$B$2</f>
        <v>4.5267187078502379E-2</v>
      </c>
      <c r="O32" s="231">
        <f>[1]!InterpCn(10,$A32,Géométrie!$F$13/Géométrie!$B$3)*Géométrie!$B$3^2*PI()/4/Aerodynamique!$B$1</f>
        <v>7.1313544832826745E-2</v>
      </c>
      <c r="P32" s="230">
        <f>'Tableaux aéro'!M100*A32*Géométrie!$F$13</f>
        <v>12817479.720652202</v>
      </c>
      <c r="Q32" s="230">
        <f>0.445/POWER(LOG(P32),2.58)/POWER(1+0.15*A32^2,0.58)*Géométrie!$B$10/$B$1</f>
        <v>8.0381431691051598E-3</v>
      </c>
      <c r="R32" s="230"/>
      <c r="S32" s="230">
        <f>[1]!InterpCm(10,$A32,Géométrie!$F$13/Géométrie!$B$3)*Géométrie!$B$3^2*PI()/4/$B$1</f>
        <v>-0.16287917933130699</v>
      </c>
      <c r="T32" s="190"/>
      <c r="U32" s="176"/>
      <c r="V32" s="176"/>
      <c r="W32" s="194"/>
      <c r="X32" s="176"/>
      <c r="Y32" s="41">
        <f>[2]!interpol(A32,'[3]CA basé sur Ariane 3'!$A$6:$A$23,'[3]CA basé sur Ariane 3'!$B$6:$B$23)*PI()*Géométrie!$B$3^2/4/$B$1</f>
        <v>3.8378800161393625E-2</v>
      </c>
      <c r="Z32" s="222">
        <f>0.6*Géométrie!$B$81+Géométrie!$B$16+Géométrie!$B$2</f>
        <v>10.332515798803174</v>
      </c>
      <c r="AA32" s="194"/>
      <c r="AB32" s="190"/>
      <c r="AC32" s="41">
        <f ca="1">'Tableaux aéro'!R100</f>
        <v>2.525097588234812E-2</v>
      </c>
      <c r="AD32" s="217">
        <f t="shared" si="2"/>
        <v>-3.6892969604308767</v>
      </c>
      <c r="AE32" s="176"/>
      <c r="AF32" s="87">
        <f>[2]!interpol(A32,[4]jupA_data!$A$2:$A$10,[4]jupA_data!$B$2:$B$10)*PI()*(Géométrie!$B$113^2-Géométrie!$B$85^2)/$B$1*COS(Géométrie!$I$96*PI()/180)^2/100</f>
        <v>1.1860326998533764E-2</v>
      </c>
      <c r="AG32" s="41">
        <f>'Tableaux aéro'!N68</f>
        <v>5.9511645310002534E-3</v>
      </c>
      <c r="AH32" s="41">
        <f ca="1">0.4*(Géométrie!$B$109-Géométrie!$B$110)+Géométrie!$B$84+Géométrie!$B$16+Géométrie!$B$3</f>
        <v>18.466652672398482</v>
      </c>
      <c r="AI32" s="41">
        <f t="shared" ca="1" si="3"/>
        <v>5.341964372268132E-2</v>
      </c>
      <c r="AJ32" s="87" t="e">
        <f ca="1">([1]!InterpCn(Géométrie!$I$96,$A32,Géométrie!$B$112)-[1]!InterpCn(Géométrie!$I$96,$A32,0))*PI()*Géométrie!$B$113^2/4</f>
        <v>#NAME?</v>
      </c>
      <c r="AK32" s="41">
        <f ca="1">'Tableaux aéro'!W100</f>
        <v>7.8454668430793188E-3</v>
      </c>
      <c r="AL32" s="41" t="e">
        <f t="shared" ca="1" si="4"/>
        <v>#NAME?</v>
      </c>
      <c r="AM32" s="89" t="e">
        <f ca="1">(([1]!InterpCm(Géométrie!$I$96,$A32,Géométrie!$B$112)-[1]!InterpCm(Géométrie!$I$96,$A32,0))*PI()*Géométrie!$B$113^2/4/$B$1*$AM$2/$B$2)+AJ32*(-Géométrie!$B$113/2/TAN(Géométrie!$I$96*PI()/180)+Géométrie!$B$2+Géométrie!$B$16+Géométrie!$B$84+Géométrie!$B$109-Géométrie!$B$110)/$B$2</f>
        <v>#NAME?</v>
      </c>
      <c r="AN32" s="176"/>
      <c r="AO32" s="217">
        <f>[2]!interpol(A32,'[3]CA basé sur Ariane 3'!$A$6:$A$23,'[3]CA basé sur Ariane 3'!$B$6:$B$23)</f>
        <v>2.4562432103291926E-2</v>
      </c>
      <c r="AP32" s="217">
        <f ca="1">0.6*(Géométrie!$B$103+Géométrie!$B$136)+Géométrie!$B$16+Géométrie!$B$13+Géométrie!$B$2+Géométrie!$B$84-Géométrie!$B$103</f>
        <v>23.85864022529865</v>
      </c>
      <c r="AQ32" s="194"/>
      <c r="AR32" s="176"/>
      <c r="AS32" s="41">
        <f ca="1">'Tableaux aéro'!Y100</f>
        <v>1.1940952733468365E-2</v>
      </c>
      <c r="AT32" s="217">
        <f t="shared" si="5"/>
        <v>-3.6892969604308767</v>
      </c>
      <c r="AU32" s="194"/>
      <c r="AV32" s="213">
        <f ca="1">-'Tableaux aéro'!B138*('Tableaux aéro'!$E$112-'Tableaux aéro'!$E$113)/Aerodynamique!$B$1</f>
        <v>0</v>
      </c>
      <c r="AW32" s="213">
        <f ca="1">'Tableaux aéro'!S100</f>
        <v>6.9858704812158848E-2</v>
      </c>
      <c r="AX32" s="75"/>
      <c r="AY32">
        <f t="shared" ca="1" si="6"/>
        <v>0.47981659930781995</v>
      </c>
      <c r="AZ32">
        <f ca="1">(AY32-AV32-'Tableaux aéro'!J30)/AW32</f>
        <v>3.2913448204613953</v>
      </c>
      <c r="BA32">
        <f ca="1">'Tableaux aéro'!J30+'Tableaux aéro'!T100*AZ32</f>
        <v>0.48095207498967707</v>
      </c>
      <c r="BC32" t="e">
        <f t="shared" ca="1" si="7"/>
        <v>#NAME?</v>
      </c>
      <c r="BD32" t="e">
        <f ca="1">(BC32-'Tableaux aéro'!U30)/(([1]!InterpCn(Géométrie!$B$4,$A32,(Géométrie!$B$142-Géométrie!$B$132)/Géométrie!$B$3)-[1]!InterpCn(Géométrie!$B$4,$A32,0))*PI()*Géométrie!$B$3^2/4/$B$1)</f>
        <v>#NAME?</v>
      </c>
      <c r="BE32" t="e">
        <f ca="1">'Tableaux aéro'!U30+(([1]!InterpCn(Géométrie!$B$4,$A32,$BB$3/Géométrie!$B$3)-[1]!InterpCn(Géométrie!$B$4,$A32,0))*PI()*Géométrie!$B$3^2/4/$B$1)*BD32</f>
        <v>#NAME?</v>
      </c>
      <c r="BG32" t="e">
        <f t="shared" ca="1" si="8"/>
        <v>#NAME?</v>
      </c>
      <c r="BH32" t="e">
        <f ca="1">(BG32-'Tableaux aéro'!U30*'Tableaux aéro'!AE30/$B$2)/(([1]!InterpCm(Géométrie!$B$4,$A32,(Géométrie!$B$142-Géométrie!$B$132)/Géométrie!$B$3)-[1]!InterpCm(Géométrie!$B$4,$A32,0))*PI()*Géométrie!$B$3^2/4/$B$1)</f>
        <v>#NAME?</v>
      </c>
      <c r="BI32" t="e">
        <f ca="1">'Tableaux aéro'!U30*'Tableaux aéro'!AE30/$B$2+BH32*(([1]!InterpCm(Géométrie!$B$4,$A32,$BB$3/Géométrie!$B$3)-[1]!InterpCm(Géométrie!$B$4,$A32,0))*PI()*Géométrie!$B$3^2/4/$B$1)</f>
        <v>#NAME?</v>
      </c>
    </row>
    <row r="33" spans="1:61">
      <c r="A33" s="87">
        <v>3.5</v>
      </c>
      <c r="B33" s="41">
        <f>('Tableaux aéro'!U31)*PI()*Géométrie!$B$3^2/4/$B$1</f>
        <v>2.3966825908135903</v>
      </c>
      <c r="C33" s="41">
        <f>'Tableaux aéro'!M101*A33*Géométrie!$B$2</f>
        <v>21343582.900106389</v>
      </c>
      <c r="D33" s="41">
        <f>'Tableaux aéro'!J31*PI()*Géométrie!$B$3^2/4/$B$1</f>
        <v>0.38859183101348777</v>
      </c>
      <c r="E33" s="41">
        <f>Géométrie!$F$13-('Tableaux aéro'!AE31)*Géométrie!$B$3</f>
        <v>2.3653089734845709</v>
      </c>
      <c r="F33" s="41">
        <f t="shared" si="0"/>
        <v>1.3826572777184478</v>
      </c>
      <c r="G33" s="41" t="e">
        <f ca="1">([1]!InterpCn(Géométrie!$B$4,$A33,Géométrie!$B$18)-[1]!InterpCn(Géométrie!$B$4,$A33,0))*PI()*Géométrie!$B$3^2/4/$B$1</f>
        <v>#NAME?</v>
      </c>
      <c r="H33" s="241">
        <f ca="1">'Tableaux aéro'!P101</f>
        <v>8.9666472461267122E-3</v>
      </c>
      <c r="I33" s="41" t="e">
        <f t="shared" ca="1" si="1"/>
        <v>#NAME?</v>
      </c>
      <c r="J33" s="41" t="e">
        <f ca="1">([1]!InterpCm(Géométrie!$B$4,$A33,Géométrie!$B$18)-[1]!InterpCm(Géométrie!$B$4,$A33,0))*PI()*Géométrie!$B$3^2/4/$B$1*$J$2/$B$2+G33*(Géométrie!$F$13-Géométrie!$B$3/(2*TAN(Géométrie!$B$4*PI()/180)))*1/$B$2</f>
        <v>#NAME?</v>
      </c>
      <c r="K33" s="230">
        <f>'Tableaux aéro'!L31*PI()/180*PI()*Géométrie!$B$3^2/4/$B$1</f>
        <v>5.0357252611061311E-2</v>
      </c>
      <c r="L33" s="230">
        <f>'Tableaux aéro'!B31*PI()*Géométrie!$B$3^2/4/$B$1</f>
        <v>0.16310103124999997</v>
      </c>
      <c r="M33" s="230">
        <f>'Tableaux aéro'!W31*Géométrie!$B$3</f>
        <v>3.6582255556937349</v>
      </c>
      <c r="N33" s="230">
        <f>K33*(M33-Géométrie!$F$12)/$B$2</f>
        <v>4.4931265467392574E-2</v>
      </c>
      <c r="O33" s="231">
        <f>[1]!InterpCn(10,$A33,Géométrie!$F$13/Géométrie!$B$3)*Géométrie!$B$3^2*PI()/4/Aerodynamique!$B$1</f>
        <v>7.1188544832826745E-2</v>
      </c>
      <c r="P33" s="230">
        <f>'Tableaux aéro'!M101*A33*Géométrie!$F$13</f>
        <v>10812239.261670001</v>
      </c>
      <c r="Q33" s="230">
        <f>0.445/POWER(LOG(P33),2.58)/POWER(1+0.15*A33^2,0.58)*Géométrie!$B$10/$B$1</f>
        <v>7.9080758694633994E-3</v>
      </c>
      <c r="R33" s="230"/>
      <c r="S33" s="230">
        <f>[1]!InterpCm(10,$A33,Géométrie!$F$13/Géométrie!$B$3)*Géométrie!$B$3^2*PI()/4/$B$1</f>
        <v>-0.16225417933130698</v>
      </c>
      <c r="T33" s="190"/>
      <c r="U33" s="176"/>
      <c r="V33" s="176"/>
      <c r="W33" s="194"/>
      <c r="X33" s="176"/>
      <c r="Y33" s="41">
        <f>[2]!interpol(A33,'[3]CA basé sur Ariane 3'!$A$6:$A$23,'[3]CA basé sur Ariane 3'!$B$6:$B$23)*PI()*Géométrie!$B$3^2/4/$B$1</f>
        <v>3.503001851700107E-2</v>
      </c>
      <c r="Z33" s="222">
        <f>0.6*Géométrie!$B$81+Géométrie!$B$16+Géométrie!$B$2</f>
        <v>10.332515798803174</v>
      </c>
      <c r="AA33" s="194"/>
      <c r="AB33" s="190"/>
      <c r="AC33" s="41">
        <f ca="1">'Tableaux aéro'!R101</f>
        <v>2.4761135700950766E-2</v>
      </c>
      <c r="AD33" s="217">
        <f t="shared" si="2"/>
        <v>-3.6582255556937349</v>
      </c>
      <c r="AE33" s="176"/>
      <c r="AF33" s="87">
        <f>[2]!interpol(A33,[4]jupA_data!$A$2:$A$10,[4]jupA_data!$B$2:$B$10)*PI()*(Géométrie!$B$113^2-Géométrie!$B$85^2)/$B$1*COS(Géométrie!$I$96*PI()/180)^2/100</f>
        <v>1.1860326998533764E-2</v>
      </c>
      <c r="AG33" s="41">
        <f>'Tableaux aéro'!N69</f>
        <v>5.6097042710248285E-3</v>
      </c>
      <c r="AH33" s="41">
        <f ca="1">0.4*(Géométrie!$B$109-Géométrie!$B$110)+Géométrie!$B$84+Géométrie!$B$16+Géométrie!$B$3</f>
        <v>18.466652672398482</v>
      </c>
      <c r="AI33" s="41">
        <f t="shared" ca="1" si="3"/>
        <v>5.341964372268132E-2</v>
      </c>
      <c r="AJ33" s="87" t="e">
        <f ca="1">([1]!InterpCn(Géométrie!$I$96,$A33,Géométrie!$B$112)-[1]!InterpCn(Géométrie!$I$96,$A33,0))*PI()*Géométrie!$B$113^2/4</f>
        <v>#NAME?</v>
      </c>
      <c r="AK33" s="41">
        <f ca="1">'Tableaux aéro'!W101</f>
        <v>7.693273719159407E-3</v>
      </c>
      <c r="AL33" s="41" t="e">
        <f t="shared" ca="1" si="4"/>
        <v>#NAME?</v>
      </c>
      <c r="AM33" s="89" t="e">
        <f ca="1">(([1]!InterpCm(Géométrie!$I$96,$A33,Géométrie!$B$112)-[1]!InterpCm(Géométrie!$I$96,$A33,0))*PI()*Géométrie!$B$113^2/4/$B$1*$AM$2/$B$2)+AJ33*(-Géométrie!$B$113/2/TAN(Géométrie!$I$96*PI()/180)+Géométrie!$B$2+Géométrie!$B$16+Géométrie!$B$84+Géométrie!$B$109-Géométrie!$B$110)/$B$2</f>
        <v>#NAME?</v>
      </c>
      <c r="AN33" s="176"/>
      <c r="AO33" s="217">
        <f>[2]!interpol(A33,'[3]CA basé sur Ariane 3'!$A$6:$A$23,'[3]CA basé sur Ariane 3'!$B$6:$B$23)</f>
        <v>2.2419211850880687E-2</v>
      </c>
      <c r="AP33" s="217">
        <f ca="1">0.6*(Géométrie!$B$103+Géométrie!$B$136)+Géométrie!$B$16+Géométrie!$B$13+Géométrie!$B$2+Géométrie!$B$84-Géométrie!$B$103</f>
        <v>23.85864022529865</v>
      </c>
      <c r="AQ33" s="194"/>
      <c r="AR33" s="176"/>
      <c r="AS33" s="41">
        <f ca="1">'Tableaux aéro'!Y101</f>
        <v>1.1709311846388499E-2</v>
      </c>
      <c r="AT33" s="217">
        <f t="shared" si="5"/>
        <v>-3.6582255556937349</v>
      </c>
      <c r="AU33" s="194"/>
      <c r="AV33" s="213">
        <f ca="1">-'Tableaux aéro'!B139*('Tableaux aéro'!$E$112-'Tableaux aéro'!$E$113)/Aerodynamique!$B$1</f>
        <v>0</v>
      </c>
      <c r="AW33" s="213">
        <f ca="1">'Tableaux aéro'!S101</f>
        <v>6.8503525479811006E-2</v>
      </c>
      <c r="AX33" s="75"/>
      <c r="AY33">
        <f t="shared" ca="1" si="6"/>
        <v>0.47339527506801232</v>
      </c>
      <c r="AZ33">
        <f ca="1">(AY33-AV33-'Tableaux aéro'!J31)/AW33</f>
        <v>3.2800721079034316</v>
      </c>
      <c r="BA33">
        <f ca="1">'Tableaux aéro'!J31+'Tableaux aéro'!T101*AZ33</f>
        <v>0.47450491030106479</v>
      </c>
      <c r="BC33" t="e">
        <f t="shared" ca="1" si="7"/>
        <v>#NAME?</v>
      </c>
      <c r="BD33" t="e">
        <f ca="1">(BC33-'Tableaux aéro'!U31)/(([1]!InterpCn(Géométrie!$B$4,$A33,(Géométrie!$B$142-Géométrie!$B$132)/Géométrie!$B$3)-[1]!InterpCn(Géométrie!$B$4,$A33,0))*PI()*Géométrie!$B$3^2/4/$B$1)</f>
        <v>#NAME?</v>
      </c>
      <c r="BE33" t="e">
        <f ca="1">'Tableaux aéro'!U31+(([1]!InterpCn(Géométrie!$B$4,$A33,$BB$3/Géométrie!$B$3)-[1]!InterpCn(Géométrie!$B$4,$A33,0))*PI()*Géométrie!$B$3^2/4/$B$1)*BD33</f>
        <v>#NAME?</v>
      </c>
      <c r="BG33" t="e">
        <f t="shared" ca="1" si="8"/>
        <v>#NAME?</v>
      </c>
      <c r="BH33" t="e">
        <f ca="1">(BG33-'Tableaux aéro'!U31*'Tableaux aéro'!AE31/$B$2)/(([1]!InterpCm(Géométrie!$B$4,$A33,(Géométrie!$B$142-Géométrie!$B$132)/Géométrie!$B$3)-[1]!InterpCm(Géométrie!$B$4,$A33,0))*PI()*Géométrie!$B$3^2/4/$B$1)</f>
        <v>#NAME?</v>
      </c>
      <c r="BI33" t="e">
        <f ca="1">'Tableaux aéro'!U31*'Tableaux aéro'!AE31/$B$2+BH33*(([1]!InterpCm(Géométrie!$B$4,$A33,$BB$3/Géométrie!$B$3)-[1]!InterpCm(Géométrie!$B$4,$A33,0))*PI()*Géométrie!$B$3^2/4/$B$1)</f>
        <v>#NAME?</v>
      </c>
    </row>
    <row r="34" spans="1:61">
      <c r="A34" s="87">
        <v>3.7</v>
      </c>
      <c r="B34" s="41">
        <f>('Tableaux aéro'!U32)*PI()*Géométrie!$B$3^2/4/$B$1</f>
        <v>2.3727332997410553</v>
      </c>
      <c r="C34" s="41">
        <f>'Tableaux aéro'!M102*A34*Géométrie!$B$2</f>
        <v>18274859.751856755</v>
      </c>
      <c r="D34" s="41">
        <f>'Tableaux aéro'!J32*PI()*Géométrie!$B$3^2/4/$B$1</f>
        <v>0.38727788478984476</v>
      </c>
      <c r="E34" s="41">
        <f>Géométrie!$F$13-('Tableaux aéro'!AE32)*Géométrie!$B$3</f>
        <v>2.3688213854966262</v>
      </c>
      <c r="F34" s="41">
        <f t="shared" si="0"/>
        <v>1.3708735079284364</v>
      </c>
      <c r="G34" s="41" t="e">
        <f ca="1">([1]!InterpCn(Géométrie!$B$4,$A34,Géométrie!$B$18)-[1]!InterpCn(Géométrie!$B$4,$A34,0))*PI()*Géométrie!$B$3^2/4/$B$1</f>
        <v>#NAME?</v>
      </c>
      <c r="H34" s="241">
        <f ca="1">'Tableaux aéro'!P102</f>
        <v>8.7824936974514774E-3</v>
      </c>
      <c r="I34" s="41" t="e">
        <f t="shared" ca="1" si="1"/>
        <v>#NAME?</v>
      </c>
      <c r="J34" s="41" t="e">
        <f ca="1">([1]!InterpCm(Géométrie!$B$4,$A34,Géométrie!$B$18)-[1]!InterpCm(Géométrie!$B$4,$A34,0))*PI()*Géométrie!$B$3^2/4/$B$1*$J$2/$B$2+G34*(Géométrie!$F$13-Géométrie!$B$3/(2*TAN(Géométrie!$B$4*PI()/180)))*1/$B$2</f>
        <v>#NAME?</v>
      </c>
      <c r="K34" s="230">
        <f>'Tableaux aéro'!L32*PI()/180*PI()*Géométrie!$B$3^2/4/$B$1</f>
        <v>5.0408046020696914E-2</v>
      </c>
      <c r="L34" s="230">
        <f>'Tableaux aéro'!B32*PI()*Géométrie!$B$3^2/4/$B$1</f>
        <v>0.16169132812499998</v>
      </c>
      <c r="M34" s="230">
        <f>'Tableaux aéro'!W32*Géométrie!$B$3</f>
        <v>3.6339123174488535</v>
      </c>
      <c r="N34" s="230">
        <f>K34*(M34-Géométrie!$F$12)/$B$2</f>
        <v>4.4677663251985175E-2</v>
      </c>
      <c r="O34" s="231">
        <f>[1]!InterpCn(10,$A34,Géométrie!$F$13/Géométrie!$B$3)*Géométrie!$B$3^2*PI()/4/Aerodynamique!$B$1</f>
        <v>7.1063544832826744E-2</v>
      </c>
      <c r="P34" s="230">
        <f>'Tableaux aéro'!M102*A34*Géométrie!$F$13</f>
        <v>9257684.4775931966</v>
      </c>
      <c r="Q34" s="230">
        <f>0.445/POWER(LOG(P34),2.58)/POWER(1+0.15*A34^2,0.58)*Géométrie!$B$10/$B$1</f>
        <v>7.7692901536988695E-3</v>
      </c>
      <c r="R34" s="230"/>
      <c r="S34" s="230">
        <f>[1]!InterpCm(10,$A34,Géométrie!$F$13/Géométrie!$B$3)*Géométrie!$B$3^2*PI()/4/$B$1</f>
        <v>-0.16162917933130697</v>
      </c>
      <c r="T34" s="190"/>
      <c r="U34" s="176"/>
      <c r="V34" s="176"/>
      <c r="W34" s="194"/>
      <c r="X34" s="176"/>
      <c r="Y34" s="41">
        <f>[2]!interpol(A34,'[3]CA basé sur Ariane 3'!$A$6:$A$23,'[3]CA basé sur Ariane 3'!$B$6:$B$23)*PI()*Géométrie!$B$3^2/4/$B$1</f>
        <v>3.1681236872608508E-2</v>
      </c>
      <c r="Z34" s="222">
        <f>0.6*Géométrie!$B$81+Géométrie!$B$16+Géométrie!$B$2</f>
        <v>10.332515798803174</v>
      </c>
      <c r="AA34" s="194"/>
      <c r="AB34" s="190"/>
      <c r="AC34" s="41">
        <f ca="1">'Tableaux aéro'!R102</f>
        <v>2.4252601029808349E-2</v>
      </c>
      <c r="AD34" s="217">
        <f t="shared" si="2"/>
        <v>-3.6339123174488535</v>
      </c>
      <c r="AE34" s="176"/>
      <c r="AF34" s="87">
        <f>[2]!interpol(A34,[4]jupA_data!$A$2:$A$10,[4]jupA_data!$B$2:$B$10)*PI()*(Géométrie!$B$113^2-Géométrie!$B$85^2)/$B$1*COS(Géométrie!$I$96*PI()/180)^2/100</f>
        <v>1.1860326998533764E-2</v>
      </c>
      <c r="AG34" s="41">
        <f>'Tableaux aéro'!N70</f>
        <v>5.2682440110494036E-3</v>
      </c>
      <c r="AH34" s="41">
        <f ca="1">0.4*(Géométrie!$B$109-Géométrie!$B$110)+Géométrie!$B$84+Géométrie!$B$16+Géométrie!$B$3</f>
        <v>18.466652672398482</v>
      </c>
      <c r="AI34" s="41">
        <f t="shared" ca="1" si="3"/>
        <v>5.341964372268132E-2</v>
      </c>
      <c r="AJ34" s="87" t="e">
        <f ca="1">([1]!InterpCn(Géométrie!$I$96,$A34,Géométrie!$B$112)-[1]!InterpCn(Géométrie!$I$96,$A34,0))*PI()*Géométrie!$B$113^2/4</f>
        <v>#NAME?</v>
      </c>
      <c r="AK34" s="41">
        <f ca="1">'Tableaux aéro'!W102</f>
        <v>7.5352722256886899E-3</v>
      </c>
      <c r="AL34" s="41" t="e">
        <f t="shared" ca="1" si="4"/>
        <v>#NAME?</v>
      </c>
      <c r="AM34" s="89" t="e">
        <f ca="1">(([1]!InterpCm(Géométrie!$I$96,$A34,Géométrie!$B$112)-[1]!InterpCm(Géométrie!$I$96,$A34,0))*PI()*Géométrie!$B$113^2/4/$B$1*$AM$2/$B$2)+AJ34*(-Géométrie!$B$113/2/TAN(Géométrie!$I$96*PI()/180)+Géométrie!$B$2+Géométrie!$B$16+Géométrie!$B$84+Géométrie!$B$109-Géométrie!$B$110)/$B$2</f>
        <v>#NAME?</v>
      </c>
      <c r="AN34" s="176"/>
      <c r="AO34" s="217">
        <f>[2]!interpol(A34,'[3]CA basé sur Ariane 3'!$A$6:$A$23,'[3]CA basé sur Ariane 3'!$B$6:$B$23)</f>
        <v>2.0275991598469451E-2</v>
      </c>
      <c r="AP34" s="217">
        <f ca="1">0.6*(Géométrie!$B$103+Géométrie!$B$136)+Géométrie!$B$16+Géométrie!$B$13+Géométrie!$B$2+Géométrie!$B$84-Géométrie!$B$103</f>
        <v>23.85864022529865</v>
      </c>
      <c r="AQ34" s="194"/>
      <c r="AR34" s="176"/>
      <c r="AS34" s="41">
        <f ca="1">'Tableaux aéro'!Y102</f>
        <v>1.146883050817272E-2</v>
      </c>
      <c r="AT34" s="217">
        <f t="shared" si="5"/>
        <v>-3.6339123174488535</v>
      </c>
      <c r="AU34" s="194"/>
      <c r="AV34" s="213">
        <f ca="1">-'Tableaux aéro'!B140*('Tableaux aéro'!$E$112-'Tableaux aéro'!$E$113)/Aerodynamique!$B$1</f>
        <v>0</v>
      </c>
      <c r="AW34" s="213">
        <f ca="1">'Tableaux aéro'!S102</f>
        <v>6.7096626449705765E-2</v>
      </c>
      <c r="AX34" s="75"/>
      <c r="AY34">
        <f t="shared" ca="1" si="6"/>
        <v>0.46748406943717247</v>
      </c>
      <c r="AZ34">
        <f ca="1">(AY34-AV34-'Tableaux aéro'!J32)/AW34</f>
        <v>3.2732826491105187</v>
      </c>
      <c r="BA34">
        <f ca="1">'Tableaux aéro'!J32+'Tableaux aéro'!T102*AZ34</f>
        <v>0.46856866573414102</v>
      </c>
      <c r="BC34" t="e">
        <f t="shared" ca="1" si="7"/>
        <v>#NAME?</v>
      </c>
      <c r="BD34" t="e">
        <f ca="1">(BC34-'Tableaux aéro'!U32)/(([1]!InterpCn(Géométrie!$B$4,$A34,(Géométrie!$B$142-Géométrie!$B$132)/Géométrie!$B$3)-[1]!InterpCn(Géométrie!$B$4,$A34,0))*PI()*Géométrie!$B$3^2/4/$B$1)</f>
        <v>#NAME?</v>
      </c>
      <c r="BE34" t="e">
        <f ca="1">'Tableaux aéro'!U32+(([1]!InterpCn(Géométrie!$B$4,$A34,$BB$3/Géométrie!$B$3)-[1]!InterpCn(Géométrie!$B$4,$A34,0))*PI()*Géométrie!$B$3^2/4/$B$1)*BD34</f>
        <v>#NAME?</v>
      </c>
      <c r="BG34" t="e">
        <f t="shared" ca="1" si="8"/>
        <v>#NAME?</v>
      </c>
      <c r="BH34" t="e">
        <f ca="1">(BG34-'Tableaux aéro'!U32*'Tableaux aéro'!AE32/$B$2)/(([1]!InterpCm(Géométrie!$B$4,$A34,(Géométrie!$B$142-Géométrie!$B$132)/Géométrie!$B$3)-[1]!InterpCm(Géométrie!$B$4,$A34,0))*PI()*Géométrie!$B$3^2/4/$B$1)</f>
        <v>#NAME?</v>
      </c>
      <c r="BI34" t="e">
        <f ca="1">'Tableaux aéro'!U32*'Tableaux aéro'!AE32/$B$2+BH34*(([1]!InterpCm(Géométrie!$B$4,$A34,$BB$3/Géométrie!$B$3)-[1]!InterpCm(Géométrie!$B$4,$A34,0))*PI()*Géométrie!$B$3^2/4/$B$1)</f>
        <v>#NAME?</v>
      </c>
    </row>
    <row r="35" spans="1:61">
      <c r="A35" s="87">
        <v>3.9</v>
      </c>
      <c r="B35" s="41">
        <f>('Tableaux aéro'!U33)*PI()*Géométrie!$B$3^2/4/$B$1</f>
        <v>2.3594898783768437</v>
      </c>
      <c r="C35" s="41">
        <f>'Tableaux aéro'!M103*A35*Géométrie!$B$2</f>
        <v>14742530.50016637</v>
      </c>
      <c r="D35" s="41">
        <f>'Tableaux aéro'!J33*PI()*Géométrie!$B$3^2/4/$B$1</f>
        <v>0.38596393856620181</v>
      </c>
      <c r="E35" s="41">
        <f>Géométrie!$F$13-('Tableaux aéro'!AE33)*Géométrie!$B$3</f>
        <v>2.3722259378312538</v>
      </c>
      <c r="F35" s="41">
        <f t="shared" si="0"/>
        <v>1.3651812413502096</v>
      </c>
      <c r="G35" s="41" t="e">
        <f ca="1">([1]!InterpCn(Géométrie!$B$4,$A35,Géométrie!$B$18)-[1]!InterpCn(Géométrie!$B$4,$A35,0))*PI()*Géométrie!$B$3^2/4/$B$1</f>
        <v>#NAME?</v>
      </c>
      <c r="H35" s="241">
        <f ca="1">'Tableaux aéro'!P103</f>
        <v>8.6838607418520154E-3</v>
      </c>
      <c r="I35" s="41" t="e">
        <f t="shared" ca="1" si="1"/>
        <v>#NAME?</v>
      </c>
      <c r="J35" s="41" t="e">
        <f ca="1">([1]!InterpCm(Géométrie!$B$4,$A35,Géométrie!$B$18)-[1]!InterpCm(Géométrie!$B$4,$A35,0))*PI()*Géométrie!$B$3^2/4/$B$1*$J$2/$B$2+G35*(Géométrie!$F$13-Géométrie!$B$3/(2*TAN(Géométrie!$B$4*PI()/180)))*1/$B$2</f>
        <v>#NAME?</v>
      </c>
      <c r="K35" s="230">
        <f>'Tableaux aéro'!L33*PI()/180*PI()*Géométrie!$B$3^2/4/$B$1</f>
        <v>5.0458839430332532E-2</v>
      </c>
      <c r="L35" s="230">
        <f>'Tableaux aéro'!B33*PI()*Géométrie!$B$3^2/4/$B$1</f>
        <v>0.16028162499999998</v>
      </c>
      <c r="M35" s="230">
        <f>'Tableaux aéro'!W33*Géométrie!$B$3</f>
        <v>3.6109900594273538</v>
      </c>
      <c r="N35" s="230">
        <f>K35*(M35-Géométrie!$F$12)/$B$2</f>
        <v>4.4440577461749217E-2</v>
      </c>
      <c r="O35" s="231">
        <f>[1]!InterpCn(10,$A35,Géométrie!$F$13/Géométrie!$B$3)*Géométrie!$B$3^2*PI()/4/Aerodynamique!$B$1</f>
        <v>7.0938544832826744E-2</v>
      </c>
      <c r="P35" s="230">
        <f>'Tableaux aéro'!M103*A35*Géométrie!$F$13</f>
        <v>7468275.9608028019</v>
      </c>
      <c r="Q35" s="230">
        <f>0.445/POWER(LOG(P35),2.58)/POWER(1+0.15*A35^2,0.58)*Géométrie!$B$10/$B$1</f>
        <v>7.7151932072876284E-3</v>
      </c>
      <c r="R35" s="230"/>
      <c r="S35" s="230">
        <f>[1]!InterpCm(10,$A35,Géométrie!$F$13/Géométrie!$B$3)*Géométrie!$B$3^2*PI()/4/$B$1</f>
        <v>-0.16100417933130698</v>
      </c>
      <c r="T35" s="190"/>
      <c r="U35" s="176"/>
      <c r="V35" s="176"/>
      <c r="W35" s="194"/>
      <c r="X35" s="176"/>
      <c r="Y35" s="41">
        <f>[2]!interpol(A35,'[3]CA basé sur Ariane 3'!$A$6:$A$23,'[3]CA basé sur Ariane 3'!$B$6:$B$23)*PI()*Géométrie!$B$3^2/4/$B$1</f>
        <v>2.8332455228215963E-2</v>
      </c>
      <c r="Z35" s="222">
        <f>0.6*Géométrie!$B$81+Géométrie!$B$16+Géométrie!$B$2</f>
        <v>10.332515798803174</v>
      </c>
      <c r="AA35" s="194"/>
      <c r="AB35" s="190"/>
      <c r="AC35" s="41">
        <f ca="1">'Tableaux aéro'!R103</f>
        <v>2.3980228990277165E-2</v>
      </c>
      <c r="AD35" s="217">
        <f t="shared" si="2"/>
        <v>-3.6109900594273538</v>
      </c>
      <c r="AE35" s="176"/>
      <c r="AF35" s="87">
        <f>[2]!interpol(A35,[4]jupA_data!$A$2:$A$10,[4]jupA_data!$B$2:$B$10)*PI()*(Géométrie!$B$113^2-Géométrie!$B$85^2)/$B$1*COS(Géométrie!$I$96*PI()/180)^2/100</f>
        <v>1.1860326998533764E-2</v>
      </c>
      <c r="AG35" s="41">
        <f>'Tableaux aéro'!N71</f>
        <v>4.9267837510739805E-3</v>
      </c>
      <c r="AH35" s="41">
        <f ca="1">0.4*(Géométrie!$B$109-Géométrie!$B$110)+Géométrie!$B$84+Géométrie!$B$16+Géométrie!$B$3</f>
        <v>18.466652672398482</v>
      </c>
      <c r="AI35" s="41">
        <f t="shared" ca="1" si="3"/>
        <v>5.341964372268132E-2</v>
      </c>
      <c r="AJ35" s="87" t="e">
        <f ca="1">([1]!InterpCn(Géométrie!$I$96,$A35,Géométrie!$B$112)-[1]!InterpCn(Géométrie!$I$96,$A35,0))*PI()*Géométrie!$B$113^2/4</f>
        <v>#NAME?</v>
      </c>
      <c r="AK35" s="41">
        <f ca="1">'Tableaux aéro'!W103</f>
        <v>7.4506463555805329E-3</v>
      </c>
      <c r="AL35" s="41" t="e">
        <f t="shared" ca="1" si="4"/>
        <v>#NAME?</v>
      </c>
      <c r="AM35" s="89" t="e">
        <f ca="1">(([1]!InterpCm(Géométrie!$I$96,$A35,Géométrie!$B$112)-[1]!InterpCm(Géométrie!$I$96,$A35,0))*PI()*Géométrie!$B$113^2/4/$B$1*$AM$2/$B$2)+AJ35*(-Géométrie!$B$113/2/TAN(Géométrie!$I$96*PI()/180)+Géométrie!$B$2+Géométrie!$B$16+Géométrie!$B$84+Géométrie!$B$109-Géométrie!$B$110)/$B$2</f>
        <v>#NAME?</v>
      </c>
      <c r="AN35" s="176"/>
      <c r="AO35" s="217">
        <f>[2]!interpol(A35,'[3]CA basé sur Ariane 3'!$A$6:$A$23,'[3]CA basé sur Ariane 3'!$B$6:$B$23)</f>
        <v>1.8132771346058219E-2</v>
      </c>
      <c r="AP35" s="217">
        <f ca="1">0.6*(Géométrie!$B$103+Géométrie!$B$136)+Géométrie!$B$16+Géométrie!$B$13+Géométrie!$B$2+Géométrie!$B$84-Géométrie!$B$103</f>
        <v>23.85864022529865</v>
      </c>
      <c r="AQ35" s="194"/>
      <c r="AR35" s="176"/>
      <c r="AS35" s="41">
        <f ca="1">'Tableaux aéro'!Y103</f>
        <v>1.1340028292166732E-2</v>
      </c>
      <c r="AT35" s="217">
        <f t="shared" si="5"/>
        <v>-3.6109900594273538</v>
      </c>
      <c r="AU35" s="194"/>
      <c r="AV35" s="213">
        <f ca="1">-'Tableaux aéro'!B141*('Tableaux aéro'!$E$112-'Tableaux aéro'!$E$113)/Aerodynamique!$B$1</f>
        <v>0</v>
      </c>
      <c r="AW35" s="213">
        <f ca="1">'Tableaux aéro'!S103</f>
        <v>6.6343088923182053E-2</v>
      </c>
      <c r="AX35" s="75"/>
      <c r="AY35">
        <f t="shared" ca="1" si="6"/>
        <v>0.4619940811835162</v>
      </c>
      <c r="AZ35">
        <f ca="1">(AY35-AV35-'Tableaux aéro'!J33)/AW35</f>
        <v>3.2403851552656335</v>
      </c>
      <c r="BA35">
        <f ca="1">'Tableaux aéro'!J33+'Tableaux aéro'!T103*AZ35</f>
        <v>0.4630557186730892</v>
      </c>
      <c r="BC35" t="e">
        <f t="shared" ca="1" si="7"/>
        <v>#NAME?</v>
      </c>
      <c r="BD35" t="e">
        <f ca="1">(BC35-'Tableaux aéro'!U33)/(([1]!InterpCn(Géométrie!$B$4,$A35,(Géométrie!$B$142-Géométrie!$B$132)/Géométrie!$B$3)-[1]!InterpCn(Géométrie!$B$4,$A35,0))*PI()*Géométrie!$B$3^2/4/$B$1)</f>
        <v>#NAME?</v>
      </c>
      <c r="BE35" t="e">
        <f ca="1">'Tableaux aéro'!U33+(([1]!InterpCn(Géométrie!$B$4,$A35,$BB$3/Géométrie!$B$3)-[1]!InterpCn(Géométrie!$B$4,$A35,0))*PI()*Géométrie!$B$3^2/4/$B$1)*BD35</f>
        <v>#NAME?</v>
      </c>
      <c r="BG35" t="e">
        <f t="shared" ca="1" si="8"/>
        <v>#NAME?</v>
      </c>
      <c r="BH35" t="e">
        <f ca="1">(BG35-'Tableaux aéro'!U33*'Tableaux aéro'!AE33/$B$2)/(([1]!InterpCm(Géométrie!$B$4,$A35,(Géométrie!$B$142-Géométrie!$B$132)/Géométrie!$B$3)-[1]!InterpCm(Géométrie!$B$4,$A35,0))*PI()*Géométrie!$B$3^2/4/$B$1)</f>
        <v>#NAME?</v>
      </c>
      <c r="BI35" t="e">
        <f ca="1">'Tableaux aéro'!U33*'Tableaux aéro'!AE33/$B$2+BH35*(([1]!InterpCm(Géométrie!$B$4,$A35,$BB$3/Géométrie!$B$3)-[1]!InterpCm(Géométrie!$B$4,$A35,0))*PI()*Géométrie!$B$3^2/4/$B$1)</f>
        <v>#NAME?</v>
      </c>
    </row>
    <row r="36" spans="1:61">
      <c r="A36" s="87">
        <v>4.0999999999999996</v>
      </c>
      <c r="B36" s="41">
        <f>('Tableaux aéro'!U34)*PI()*Géométrie!$B$3^2/4/$B$1</f>
        <v>2.3521671696535669</v>
      </c>
      <c r="C36" s="41">
        <f>'Tableaux aéro'!M104*A36*Géométrie!$B$2</f>
        <v>11893597.816961924</v>
      </c>
      <c r="D36" s="41">
        <f>'Tableaux aéro'!J34*PI()*Géométrie!$B$3^2/4/$B$1</f>
        <v>0.38464601677599891</v>
      </c>
      <c r="E36" s="41">
        <f>Géométrie!$F$13-('Tableaux aéro'!AE34)*Géométrie!$B$3</f>
        <v>2.3757128072574005</v>
      </c>
      <c r="F36" s="41">
        <f t="shared" si="0"/>
        <v>1.3629447975015538</v>
      </c>
      <c r="G36" s="41" t="e">
        <f ca="1">([1]!InterpCn(Géométrie!$B$4,$A36,Géométrie!$B$18)-[1]!InterpCn(Géométrie!$B$4,$A36,0))*PI()*Géométrie!$B$3^2/4/$B$1</f>
        <v>#NAME?</v>
      </c>
      <c r="H36" s="241">
        <f ca="1">'Tableaux aéro'!P104</f>
        <v>8.5965029488491614E-3</v>
      </c>
      <c r="I36" s="41" t="e">
        <f t="shared" ca="1" si="1"/>
        <v>#NAME?</v>
      </c>
      <c r="J36" s="41" t="e">
        <f ca="1">([1]!InterpCm(Géométrie!$B$4,$A36,Géométrie!$B$18)-[1]!InterpCm(Géométrie!$B$4,$A36,0))*PI()*Géométrie!$B$3^2/4/$B$1*$J$2/$B$2+G36*(Géométrie!$F$13-Géométrie!$B$3/(2*TAN(Géométrie!$B$4*PI()/180)))*1/$B$2</f>
        <v>#NAME?</v>
      </c>
      <c r="K36" s="230">
        <f>'Tableaux aéro'!L34*PI()/180*PI()*Géométrie!$B$3^2/4/$B$1</f>
        <v>5.0688034334454554E-2</v>
      </c>
      <c r="L36" s="230">
        <f>'Tableaux aéro'!B34*PI()*Géométrie!$B$3^2/4/$B$1</f>
        <v>0.15973168906249999</v>
      </c>
      <c r="M36" s="230">
        <f>'Tableaux aéro'!W34*Géométrie!$B$3</f>
        <v>3.5992888460567265</v>
      </c>
      <c r="N36" s="230">
        <f>K36*(M36-Géométrie!$F$12)/$B$2</f>
        <v>4.4497774782571387E-2</v>
      </c>
      <c r="O36" s="231">
        <f>[1]!InterpCn(10,$A36,Géométrie!$F$13/Géométrie!$B$3)*Géométrie!$B$3^2*PI()/4/Aerodynamique!$B$1</f>
        <v>7.096290843465046E-2</v>
      </c>
      <c r="P36" s="230">
        <f>'Tableaux aéro'!M104*A36*Géométrie!$F$13</f>
        <v>6025062.7029648023</v>
      </c>
      <c r="Q36" s="230">
        <f>0.445/POWER(LOG(P36),2.58)/POWER(1+0.15*A36^2,0.58)*Géométrie!$B$10/$B$1</f>
        <v>7.6713884262025302E-3</v>
      </c>
      <c r="R36" s="230"/>
      <c r="S36" s="230">
        <f>[1]!InterpCm(10,$A36,Géométrie!$F$13/Géométrie!$B$3)*Géométrie!$B$3^2*PI()/4/$B$1</f>
        <v>-0.16071789513677809</v>
      </c>
      <c r="T36" s="190"/>
      <c r="U36" s="176"/>
      <c r="V36" s="176"/>
      <c r="W36" s="194"/>
      <c r="X36" s="176"/>
      <c r="Y36" s="41">
        <f>[2]!interpol(A36,'[3]CA basé sur Ariane 3'!$A$6:$A$23,'[3]CA basé sur Ariane 3'!$B$6:$B$23)*PI()*Géométrie!$B$3^2/4/$B$1</f>
        <v>2.4983673583823408E-2</v>
      </c>
      <c r="Z36" s="222">
        <f>0.6*Géométrie!$B$81+Géométrie!$B$16+Géométrie!$B$2</f>
        <v>10.332515798803174</v>
      </c>
      <c r="AA36" s="194"/>
      <c r="AB36" s="190"/>
      <c r="AC36" s="41">
        <f ca="1">'Tableaux aéro'!R104</f>
        <v>2.3738992984476494E-2</v>
      </c>
      <c r="AD36" s="217">
        <f t="shared" si="2"/>
        <v>-3.5992888460567265</v>
      </c>
      <c r="AE36" s="176"/>
      <c r="AF36" s="87">
        <f>[2]!interpol(A36,[4]jupA_data!$A$2:$A$10,[4]jupA_data!$B$2:$B$10)*PI()*(Géométrie!$B$113^2-Géométrie!$B$85^2)/$B$1*COS(Géométrie!$I$96*PI()/180)^2/100</f>
        <v>1.1860326998533764E-2</v>
      </c>
      <c r="AG36" s="170"/>
      <c r="AH36" s="41">
        <f ca="1">0.4*(Géométrie!$B$109-Géométrie!$B$110)+Géométrie!$B$84+Géométrie!$B$16+Géométrie!$B$3</f>
        <v>18.466652672398482</v>
      </c>
      <c r="AI36" s="41">
        <f t="shared" ca="1" si="3"/>
        <v>5.341964372268132E-2</v>
      </c>
      <c r="AJ36" s="87" t="e">
        <f ca="1">([1]!InterpCn(Géométrie!$I$96,$A36,Géométrie!$B$112)-[1]!InterpCn(Géométrie!$I$96,$A36,0))*PI()*Géométrie!$B$113^2/4</f>
        <v>#NAME?</v>
      </c>
      <c r="AK36" s="41">
        <f ca="1">'Tableaux aéro'!W104</f>
        <v>7.3756944371404587E-3</v>
      </c>
      <c r="AL36" s="41" t="e">
        <f t="shared" ca="1" si="4"/>
        <v>#NAME?</v>
      </c>
      <c r="AM36" s="89" t="e">
        <f ca="1">(([1]!InterpCm(Géométrie!$I$96,$A36,Géométrie!$B$112)-[1]!InterpCm(Géométrie!$I$96,$A36,0))*PI()*Géométrie!$B$113^2/4/$B$1*$AM$2/$B$2)+AJ36*(-Géométrie!$B$113/2/TAN(Géométrie!$I$96*PI()/180)+Géométrie!$B$2+Géométrie!$B$16+Géométrie!$B$84+Géométrie!$B$109-Géométrie!$B$110)/$B$2</f>
        <v>#NAME?</v>
      </c>
      <c r="AN36" s="176"/>
      <c r="AO36" s="217">
        <f>[2]!interpol(A36,'[3]CA basé sur Ariane 3'!$A$6:$A$23,'[3]CA basé sur Ariane 3'!$B$6:$B$23)</f>
        <v>1.5989551093646984E-2</v>
      </c>
      <c r="AP36" s="217">
        <f ca="1">0.6*(Géométrie!$B$103+Géométrie!$B$136)+Géométrie!$B$16+Géométrie!$B$13+Géométrie!$B$2+Géométrie!$B$84-Géométrie!$B$103</f>
        <v>23.85864022529865</v>
      </c>
      <c r="AQ36" s="194"/>
      <c r="AR36" s="176"/>
      <c r="AS36" s="41">
        <f ca="1">'Tableaux aéro'!Y104</f>
        <v>1.1225950018269594E-2</v>
      </c>
      <c r="AT36" s="217">
        <f t="shared" si="5"/>
        <v>-3.5992888460567265</v>
      </c>
      <c r="AU36" s="194"/>
      <c r="AV36" s="213">
        <f ca="1">-'Tableaux aéro'!B142*('Tableaux aéro'!$E$112-'Tableaux aéro'!$E$113)/Aerodynamique!$B$1</f>
        <v>0</v>
      </c>
      <c r="AW36" s="213">
        <f ca="1">'Tableaux aéro'!S104</f>
        <v>6.5675691552172955E-2</v>
      </c>
      <c r="AX36" s="75"/>
      <c r="AY36">
        <f t="shared" ca="1" si="6"/>
        <v>0.45197032779970886</v>
      </c>
      <c r="AZ36">
        <f ca="1">(AY36-AV36-'Tableaux aéro'!J34)/AW36</f>
        <v>3.1335319385191993</v>
      </c>
      <c r="BA36">
        <f ca="1">'Tableaux aéro'!J34+'Tableaux aéro'!T104*AZ36</f>
        <v>0.45298662962180886</v>
      </c>
      <c r="BC36" t="e">
        <f t="shared" ca="1" si="7"/>
        <v>#NAME?</v>
      </c>
      <c r="BD36" t="e">
        <f ca="1">(BC36-'Tableaux aéro'!U34)/(([1]!InterpCn(Géométrie!$B$4,$A36,(Géométrie!$B$142-Géométrie!$B$132)/Géométrie!$B$3)-[1]!InterpCn(Géométrie!$B$4,$A36,0))*PI()*Géométrie!$B$3^2/4/$B$1)</f>
        <v>#NAME?</v>
      </c>
      <c r="BE36" t="e">
        <f ca="1">'Tableaux aéro'!U34+(([1]!InterpCn(Géométrie!$B$4,$A36,$BB$3/Géométrie!$B$3)-[1]!InterpCn(Géométrie!$B$4,$A36,0))*PI()*Géométrie!$B$3^2/4/$B$1)*BD36</f>
        <v>#NAME?</v>
      </c>
      <c r="BG36" t="e">
        <f t="shared" ca="1" si="8"/>
        <v>#NAME?</v>
      </c>
      <c r="BH36" t="e">
        <f ca="1">(BG36-'Tableaux aéro'!U34*'Tableaux aéro'!AE34/$B$2)/(([1]!InterpCm(Géométrie!$B$4,$A36,(Géométrie!$B$142-Géométrie!$B$132)/Géométrie!$B$3)-[1]!InterpCm(Géométrie!$B$4,$A36,0))*PI()*Géométrie!$B$3^2/4/$B$1)</f>
        <v>#NAME?</v>
      </c>
      <c r="BI36" t="e">
        <f ca="1">'Tableaux aéro'!U34*'Tableaux aéro'!AE34/$B$2+BH36*(([1]!InterpCm(Géométrie!$B$4,$A36,$BB$3/Géométrie!$B$3)-[1]!InterpCm(Géométrie!$B$4,$A36,0))*PI()*Géométrie!$B$3^2/4/$B$1)</f>
        <v>#NAME?</v>
      </c>
    </row>
    <row r="37" spans="1:61">
      <c r="A37" s="87">
        <v>4.3</v>
      </c>
      <c r="B37" s="41">
        <f>('Tableaux aéro'!U35)*PI()*Géométrie!$B$3^2/4/$B$1</f>
        <v>2.3483699382891454</v>
      </c>
      <c r="C37" s="41">
        <f>'Tableaux aéro'!M105*A37*Géométrie!$B$2</f>
        <v>10165649.476156013</v>
      </c>
      <c r="D37" s="41">
        <f>'Tableaux aéro'!J35*PI()*Géométrie!$B$3^2/4/$B$1</f>
        <v>0.38333826915069324</v>
      </c>
      <c r="E37" s="41">
        <f>Géométrie!$F$13-('Tableaux aéro'!AE35)*Géométrie!$B$3</f>
        <v>2.3791865781859034</v>
      </c>
      <c r="F37" s="41">
        <f t="shared" si="0"/>
        <v>1.3627342043397057</v>
      </c>
      <c r="G37" s="41" t="e">
        <f ca="1">([1]!InterpCn(Géométrie!$B$4,$A37,Géométrie!$B$18)-[1]!InterpCn(Géométrie!$B$4,$A37,0))*PI()*Géométrie!$B$3^2/4/$B$1</f>
        <v>#NAME?</v>
      </c>
      <c r="H37" s="241">
        <f ca="1">'Tableaux aéro'!P105</f>
        <v>8.4489477955771563E-3</v>
      </c>
      <c r="I37" s="41" t="e">
        <f t="shared" ca="1" si="1"/>
        <v>#NAME?</v>
      </c>
      <c r="J37" s="41" t="e">
        <f ca="1">([1]!InterpCm(Géométrie!$B$4,$A37,Géométrie!$B$18)-[1]!InterpCm(Géométrie!$B$4,$A37,0))*PI()*Géométrie!$B$3^2/4/$B$1*$J$2/$B$2+G37*(Géométrie!$F$13-Géométrie!$B$3/(2*TAN(Géométrie!$B$4*PI()/180)))*1/$B$2</f>
        <v>#NAME?</v>
      </c>
      <c r="K37" s="230">
        <f>'Tableaux aéro'!L35*PI()/180*PI()*Géométrie!$B$3^2/4/$B$1</f>
        <v>5.0975695243441463E-2</v>
      </c>
      <c r="L37" s="230">
        <f>'Tableaux aéro'!B35*PI()*Géométrie!$B$3^2/4/$B$1</f>
        <v>0.15997249531249996</v>
      </c>
      <c r="M37" s="230">
        <f>'Tableaux aéro'!W35*Géométrie!$B$3</f>
        <v>3.587753632037102</v>
      </c>
      <c r="N37" s="230">
        <f>K37*(M37-Géométrie!$F$12)/$B$2</f>
        <v>4.4606886769578913E-2</v>
      </c>
      <c r="O37" s="231">
        <f>[1]!InterpCn(10,$A37,Géométrie!$F$13/Géométrie!$B$3)*Géométrie!$B$3^2*PI()/4/Aerodynamique!$B$1</f>
        <v>7.1056658434650449E-2</v>
      </c>
      <c r="P37" s="230">
        <f>'Tableaux aéro'!M105*A37*Géométrie!$F$13</f>
        <v>5149718.0628432008</v>
      </c>
      <c r="Q37" s="230">
        <f>0.445/POWER(LOG(P37),2.58)/POWER(1+0.15*A37^2,0.58)*Géométrie!$B$10/$B$1</f>
        <v>7.5646474649935687E-3</v>
      </c>
      <c r="R37" s="230"/>
      <c r="S37" s="230">
        <f>[1]!InterpCm(10,$A37,Géométrie!$F$13/Géométrie!$B$3)*Géométrie!$B$3^2*PI()/4/$B$1</f>
        <v>-0.16053039513677811</v>
      </c>
      <c r="T37" s="190"/>
      <c r="U37" s="176"/>
      <c r="V37" s="176"/>
      <c r="W37" s="194"/>
      <c r="X37" s="176"/>
      <c r="Y37" s="41">
        <f>[2]!interpol(A37,'[3]CA basé sur Ariane 3'!$A$6:$A$23,'[3]CA basé sur Ariane 3'!$B$6:$B$23)*PI()*Géométrie!$B$3^2/4/$B$1</f>
        <v>2.1634891939430852E-2</v>
      </c>
      <c r="Z37" s="222">
        <f>0.6*Géométrie!$B$81+Géométrie!$B$16+Géométrie!$B$2</f>
        <v>10.332515798803174</v>
      </c>
      <c r="AA37" s="194"/>
      <c r="AB37" s="190"/>
      <c r="AC37" s="41">
        <f ca="1">'Tableaux aéro'!R105</f>
        <v>2.3331523718288848E-2</v>
      </c>
      <c r="AD37" s="217">
        <f t="shared" si="2"/>
        <v>-3.587753632037102</v>
      </c>
      <c r="AE37" s="176"/>
      <c r="AF37" s="87">
        <f>[2]!interpol(A37,[4]jupA_data!$A$2:$A$10,[4]jupA_data!$B$2:$B$10)*PI()*(Géométrie!$B$113^2-Géométrie!$B$85^2)/$B$1*COS(Géométrie!$I$96*PI()/180)^2/100</f>
        <v>1.1860326998533764E-2</v>
      </c>
      <c r="AG37" s="170"/>
      <c r="AH37" s="41">
        <f ca="1">0.4*(Géométrie!$B$109-Géométrie!$B$110)+Géométrie!$B$84+Géométrie!$B$16+Géométrie!$B$3</f>
        <v>18.466652672398482</v>
      </c>
      <c r="AI37" s="41">
        <f t="shared" ca="1" si="3"/>
        <v>5.341964372268132E-2</v>
      </c>
      <c r="AJ37" s="87" t="e">
        <f ca="1">([1]!InterpCn(Géométrie!$I$96,$A37,Géométrie!$B$112)-[1]!InterpCn(Géométrie!$I$96,$A37,0))*PI()*Géométrie!$B$113^2/4</f>
        <v>#NAME?</v>
      </c>
      <c r="AK37" s="41">
        <f ca="1">'Tableaux aéro'!W105</f>
        <v>7.2490939195072454E-3</v>
      </c>
      <c r="AL37" s="41" t="e">
        <f t="shared" ca="1" si="4"/>
        <v>#NAME?</v>
      </c>
      <c r="AM37" s="89" t="e">
        <f ca="1">(([1]!InterpCm(Géométrie!$I$96,$A37,Géométrie!$B$112)-[1]!InterpCm(Géométrie!$I$96,$A37,0))*PI()*Géométrie!$B$113^2/4/$B$1*$AM$2/$B$2)+AJ37*(-Géométrie!$B$113/2/TAN(Géométrie!$I$96*PI()/180)+Géométrie!$B$2+Géométrie!$B$16+Géométrie!$B$84+Géométrie!$B$109-Géométrie!$B$110)/$B$2</f>
        <v>#NAME?</v>
      </c>
      <c r="AN37" s="176"/>
      <c r="AO37" s="217">
        <f>[2]!interpol(A37,'[3]CA basé sur Ariane 3'!$A$6:$A$23,'[3]CA basé sur Ariane 3'!$B$6:$B$23)</f>
        <v>1.3846330841235748E-2</v>
      </c>
      <c r="AP37" s="217">
        <f ca="1">0.6*(Géométrie!$B$103+Géométrie!$B$136)+Géométrie!$B$16+Géométrie!$B$13+Géométrie!$B$2+Géométrie!$B$84-Géométrie!$B$103</f>
        <v>23.85864022529865</v>
      </c>
      <c r="AQ37" s="194"/>
      <c r="AR37" s="176"/>
      <c r="AS37" s="41">
        <f ca="1">'Tableaux aéro'!Y105</f>
        <v>1.1033261574442399E-2</v>
      </c>
      <c r="AT37" s="217">
        <f t="shared" si="5"/>
        <v>-3.587753632037102</v>
      </c>
      <c r="AU37" s="194"/>
      <c r="AV37" s="213">
        <f ca="1">-'Tableaux aéro'!B143*('Tableaux aéro'!$E$112-'Tableaux aéro'!$E$113)/Aerodynamique!$B$1</f>
        <v>0</v>
      </c>
      <c r="AW37" s="213">
        <f ca="1">'Tableaux aéro'!S105</f>
        <v>6.4548397489588669E-2</v>
      </c>
      <c r="AX37" s="75"/>
      <c r="AY37">
        <f t="shared" ca="1" si="6"/>
        <v>0.44658704030236263</v>
      </c>
      <c r="AZ37">
        <f ca="1">(AY37-AV37-'Tableaux aéro'!J35)/AW37</f>
        <v>3.1178240804255379</v>
      </c>
      <c r="BA37">
        <f ca="1">'Tableaux aéro'!J35+'Tableaux aéro'!T105*AZ37</f>
        <v>0.44758089065420747</v>
      </c>
      <c r="BC37" t="e">
        <f t="shared" ca="1" si="7"/>
        <v>#NAME?</v>
      </c>
      <c r="BD37" t="e">
        <f ca="1">(BC37-'Tableaux aéro'!U35)/(([1]!InterpCn(Géométrie!$B$4,$A37,(Géométrie!$B$142-Géométrie!$B$132)/Géométrie!$B$3)-[1]!InterpCn(Géométrie!$B$4,$A37,0))*PI()*Géométrie!$B$3^2/4/$B$1)</f>
        <v>#NAME?</v>
      </c>
      <c r="BE37" t="e">
        <f ca="1">'Tableaux aéro'!U35+(([1]!InterpCn(Géométrie!$B$4,$A37,$BB$3/Géométrie!$B$3)-[1]!InterpCn(Géométrie!$B$4,$A37,0))*PI()*Géométrie!$B$3^2/4/$B$1)*BD37</f>
        <v>#NAME?</v>
      </c>
      <c r="BG37" t="e">
        <f t="shared" ca="1" si="8"/>
        <v>#NAME?</v>
      </c>
      <c r="BH37" t="e">
        <f ca="1">(BG37-'Tableaux aéro'!U35*'Tableaux aéro'!AE35/$B$2)/(([1]!InterpCm(Géométrie!$B$4,$A37,(Géométrie!$B$142-Géométrie!$B$132)/Géométrie!$B$3)-[1]!InterpCm(Géométrie!$B$4,$A37,0))*PI()*Géométrie!$B$3^2/4/$B$1)</f>
        <v>#NAME?</v>
      </c>
      <c r="BI37" t="e">
        <f ca="1">'Tableaux aéro'!U35*'Tableaux aéro'!AE35/$B$2+BH37*(([1]!InterpCm(Géométrie!$B$4,$A37,$BB$3/Géométrie!$B$3)-[1]!InterpCm(Géométrie!$B$4,$A37,0))*PI()*Géométrie!$B$3^2/4/$B$1)</f>
        <v>#NAME?</v>
      </c>
    </row>
    <row r="38" spans="1:61">
      <c r="A38" s="87">
        <v>4.5</v>
      </c>
      <c r="B38" s="41">
        <f>('Tableaux aéro'!U36)*PI()*Géométrie!$B$3^2/4/$B$1</f>
        <v>2.3553443263793472</v>
      </c>
      <c r="C38" s="41">
        <f>'Tableaux aéro'!M106*A38*Géométrie!$B$2</f>
        <v>8222991.9405526761</v>
      </c>
      <c r="D38" s="41">
        <f>'Tableaux aéro'!J36*PI()*Géométrie!$B$3^2/4/$B$1</f>
        <v>0.38267159470754497</v>
      </c>
      <c r="E38" s="41">
        <f>Géométrie!$F$13-('Tableaux aéro'!AE36)*Géométrie!$B$3</f>
        <v>2.3812273814614038</v>
      </c>
      <c r="F38" s="41">
        <f t="shared" si="0"/>
        <v>1.3679537567668945</v>
      </c>
      <c r="G38" s="41" t="e">
        <f ca="1">([1]!InterpCn(Géométrie!$B$4,$A38,Géométrie!$B$18)-[1]!InterpCn(Géométrie!$B$4,$A38,0))*PI()*Géométrie!$B$3^2/4/$B$1</f>
        <v>#NAME?</v>
      </c>
      <c r="H38" s="241">
        <f ca="1">'Tableaux aéro'!P106</f>
        <v>8.3805165783988021E-3</v>
      </c>
      <c r="I38" s="41" t="e">
        <f t="shared" ca="1" si="1"/>
        <v>#NAME?</v>
      </c>
      <c r="J38" s="41" t="e">
        <f ca="1">([1]!InterpCm(Géométrie!$B$4,$A38,Géométrie!$B$18)-[1]!InterpCm(Géométrie!$B$4,$A38,0))*PI()*Géométrie!$B$3^2/4/$B$1*$J$2/$B$2+G38*(Géométrie!$F$13-Géométrie!$B$3/(2*TAN(Géométrie!$B$4*PI()/180)))*1/$B$2</f>
        <v>#NAME?</v>
      </c>
      <c r="K38" s="230">
        <f>'Tableaux aéro'!L36*PI()/180*PI()*Géométrie!$B$3^2/4/$B$1</f>
        <v>5.1263356152428378E-2</v>
      </c>
      <c r="L38" s="230">
        <f>'Tableaux aéro'!B36*PI()*Géométrie!$B$3^2/4/$B$1</f>
        <v>0.16021330312499996</v>
      </c>
      <c r="M38" s="230">
        <f>'Tableaux aéro'!W36*Géométrie!$B$3</f>
        <v>3.5801786764592278</v>
      </c>
      <c r="N38" s="230">
        <f>K38*(M38-Géométrie!$F$12)/$B$2</f>
        <v>4.4763896239185134E-2</v>
      </c>
      <c r="O38" s="231">
        <f>[1]!InterpCn(10,$A38,Géométrie!$F$13/Géométrie!$B$3)*Géométrie!$B$3^2*PI()/4/Aerodynamique!$B$1</f>
        <v>7.1150408434650453E-2</v>
      </c>
      <c r="P38" s="230">
        <f>'Tableaux aéro'!M106*A38*Géométrie!$F$13</f>
        <v>4165605.9680399988</v>
      </c>
      <c r="Q38" s="230">
        <f>0.445/POWER(LOG(P38),2.58)/POWER(1+0.15*A38^2,0.58)*Géométrie!$B$10/$B$1</f>
        <v>7.537683209668607E-3</v>
      </c>
      <c r="R38" s="230"/>
      <c r="S38" s="230">
        <f>[1]!InterpCm(10,$A38,Géométrie!$F$13/Géométrie!$B$3)*Géométrie!$B$3^2*PI()/4/$B$1</f>
        <v>-0.1603428951367781</v>
      </c>
      <c r="T38" s="190"/>
      <c r="U38" s="176"/>
      <c r="V38" s="176"/>
      <c r="W38" s="194"/>
      <c r="X38" s="176"/>
      <c r="Y38" s="41">
        <f>[2]!interpol(A38,'[3]CA basé sur Ariane 3'!$A$6:$A$23,'[3]CA basé sur Ariane 3'!$B$6:$B$23)*PI()*Géométrie!$B$3^2/4/$B$1</f>
        <v>1.828611029503829E-2</v>
      </c>
      <c r="Z38" s="222">
        <f>0.6*Géométrie!$B$81+Géométrie!$B$16+Géométrie!$B$2</f>
        <v>10.332515798803174</v>
      </c>
      <c r="AA38" s="194"/>
      <c r="AB38" s="190"/>
      <c r="AC38" s="41">
        <f ca="1">'Tableaux aéro'!R106</f>
        <v>2.3142552901413416E-2</v>
      </c>
      <c r="AD38" s="217">
        <f t="shared" si="2"/>
        <v>-3.5801786764592278</v>
      </c>
      <c r="AE38" s="176"/>
      <c r="AF38" s="87">
        <f>[2]!interpol(A38,[4]jupA_data!$A$2:$A$10,[4]jupA_data!$B$2:$B$10)*PI()*(Géométrie!$B$113^2-Géométrie!$B$85^2)/$B$1*COS(Géométrie!$I$96*PI()/180)^2/100</f>
        <v>1.1860326998533764E-2</v>
      </c>
      <c r="AG38" s="170"/>
      <c r="AH38" s="41">
        <f ca="1">0.4*(Géométrie!$B$109-Géométrie!$B$110)+Géométrie!$B$84+Géométrie!$B$16+Géométrie!$B$3</f>
        <v>18.466652672398482</v>
      </c>
      <c r="AI38" s="41">
        <f t="shared" ca="1" si="3"/>
        <v>5.341964372268132E-2</v>
      </c>
      <c r="AJ38" s="87" t="e">
        <f ca="1">([1]!InterpCn(Géométrie!$I$96,$A38,Géométrie!$B$112)-[1]!InterpCn(Géométrie!$I$96,$A38,0))*PI()*Géométrie!$B$113^2/4</f>
        <v>#NAME?</v>
      </c>
      <c r="AK38" s="41">
        <f ca="1">'Tableaux aéro'!W106</f>
        <v>7.1903807717456089E-3</v>
      </c>
      <c r="AL38" s="41" t="e">
        <f t="shared" ca="1" si="4"/>
        <v>#NAME?</v>
      </c>
      <c r="AM38" s="89" t="e">
        <f ca="1">(([1]!InterpCm(Géométrie!$I$96,$A38,Géométrie!$B$112)-[1]!InterpCm(Géométrie!$I$96,$A38,0))*PI()*Géométrie!$B$113^2/4/$B$1*$AM$2/$B$2)+AJ38*(-Géométrie!$B$113/2/TAN(Géométrie!$I$96*PI()/180)+Géométrie!$B$2+Géométrie!$B$16+Géométrie!$B$84+Géométrie!$B$109-Géométrie!$B$110)/$B$2</f>
        <v>#NAME?</v>
      </c>
      <c r="AN38" s="176"/>
      <c r="AO38" s="217">
        <f>[2]!interpol(A38,'[3]CA basé sur Ariane 3'!$A$6:$A$23,'[3]CA basé sur Ariane 3'!$B$6:$B$23)</f>
        <v>1.1703110588824509E-2</v>
      </c>
      <c r="AP38" s="217">
        <f ca="1">0.6*(Géométrie!$B$103+Géométrie!$B$136)+Géométrie!$B$16+Géométrie!$B$13+Géométrie!$B$2+Géométrie!$B$84-Géométrie!$B$103</f>
        <v>23.85864022529865</v>
      </c>
      <c r="AQ38" s="194"/>
      <c r="AR38" s="176"/>
      <c r="AS38" s="41">
        <f ca="1">'Tableaux aéro'!Y106</f>
        <v>1.0943899024542222E-2</v>
      </c>
      <c r="AT38" s="217">
        <f t="shared" si="5"/>
        <v>-3.5801786764592278</v>
      </c>
      <c r="AU38" s="194"/>
      <c r="AV38" s="213">
        <f ca="1">-'Tableaux aéro'!B144*('Tableaux aéro'!$E$112-'Tableaux aéro'!$E$113)/Aerodynamique!$B$1</f>
        <v>0</v>
      </c>
      <c r="AW38" s="213">
        <f ca="1">'Tableaux aéro'!S106</f>
        <v>6.4025595655088419E-2</v>
      </c>
      <c r="AX38" s="75"/>
      <c r="AY38">
        <f t="shared" ca="1" si="6"/>
        <v>0.44223453770028454</v>
      </c>
      <c r="AZ38">
        <f ca="1">(AY38-AV38-'Tableaux aéro'!J36)/AW38</f>
        <v>3.0819661272729357</v>
      </c>
      <c r="BA38">
        <f ca="1">'Tableaux aéro'!J36+'Tableaux aéro'!T106*AZ38</f>
        <v>0.44320900083297765</v>
      </c>
      <c r="BC38" t="e">
        <f t="shared" ca="1" si="7"/>
        <v>#NAME?</v>
      </c>
      <c r="BD38" t="e">
        <f ca="1">(BC38-'Tableaux aéro'!U36)/(([1]!InterpCn(Géométrie!$B$4,$A38,(Géométrie!$B$142-Géométrie!$B$132)/Géométrie!$B$3)-[1]!InterpCn(Géométrie!$B$4,$A38,0))*PI()*Géométrie!$B$3^2/4/$B$1)</f>
        <v>#NAME?</v>
      </c>
      <c r="BE38" t="e">
        <f ca="1">'Tableaux aéro'!U36+(([1]!InterpCn(Géométrie!$B$4,$A38,$BB$3/Géométrie!$B$3)-[1]!InterpCn(Géométrie!$B$4,$A38,0))*PI()*Géométrie!$B$3^2/4/$B$1)*BD38</f>
        <v>#NAME?</v>
      </c>
      <c r="BG38" t="e">
        <f t="shared" ca="1" si="8"/>
        <v>#NAME?</v>
      </c>
      <c r="BH38" t="e">
        <f ca="1">(BG38-'Tableaux aéro'!U36*'Tableaux aéro'!AE36/$B$2)/(([1]!InterpCm(Géométrie!$B$4,$A38,(Géométrie!$B$142-Géométrie!$B$132)/Géométrie!$B$3)-[1]!InterpCm(Géométrie!$B$4,$A38,0))*PI()*Géométrie!$B$3^2/4/$B$1)</f>
        <v>#NAME?</v>
      </c>
      <c r="BI38" t="e">
        <f ca="1">'Tableaux aéro'!U36*'Tableaux aéro'!AE36/$B$2+BH38*(([1]!InterpCm(Géométrie!$B$4,$A38,$BB$3/Géométrie!$B$3)-[1]!InterpCm(Géométrie!$B$4,$A38,0))*PI()*Géométrie!$B$3^2/4/$B$1)</f>
        <v>#NAME?</v>
      </c>
    </row>
    <row r="39" spans="1:61">
      <c r="A39" s="87">
        <v>4.7</v>
      </c>
      <c r="B39" s="41">
        <f>('Tableaux aéro'!U37)*PI()*Géométrie!$B$3^2/4/$B$1</f>
        <v>2.3678240994660711</v>
      </c>
      <c r="C39" s="41">
        <f>'Tableaux aéro'!M107*A39*Géométrie!$B$2</f>
        <v>6386009.5204157624</v>
      </c>
      <c r="D39" s="41">
        <f>'Tableaux aéro'!J37*PI()*Géométrie!$B$3^2/4/$B$1</f>
        <v>0.38194663481915347</v>
      </c>
      <c r="E39" s="41">
        <f>Géométrie!$F$13-('Tableaux aéro'!AE37)*Géométrie!$B$3</f>
        <v>2.3832548536359823</v>
      </c>
      <c r="F39" s="41">
        <f t="shared" si="0"/>
        <v>1.3763727506362837</v>
      </c>
      <c r="G39" s="41" t="e">
        <f ca="1">([1]!InterpCn(Géométrie!$B$4,$A39,Géométrie!$B$18)-[1]!InterpCn(Géométrie!$B$4,$A39,0))*PI()*Géométrie!$B$3^2/4/$B$1</f>
        <v>#NAME?</v>
      </c>
      <c r="H39" s="241">
        <f ca="1">'Tableaux aéro'!P107</f>
        <v>8.3738641795832042E-3</v>
      </c>
      <c r="I39" s="41" t="e">
        <f t="shared" ca="1" si="1"/>
        <v>#NAME?</v>
      </c>
      <c r="J39" s="41" t="e">
        <f ca="1">([1]!InterpCm(Géométrie!$B$4,$A39,Géométrie!$B$18)-[1]!InterpCm(Géométrie!$B$4,$A39,0))*PI()*Géométrie!$B$3^2/4/$B$1*$J$2/$B$2+G39*(Géométrie!$F$13-Géométrie!$B$3/(2*TAN(Géométrie!$B$4*PI()/180)))*1/$B$2</f>
        <v>#NAME?</v>
      </c>
      <c r="K39" s="230">
        <f>'Tableaux aéro'!L37*PI()/180*PI()*Géométrie!$B$3^2/4/$B$1</f>
        <v>5.1551017061415294E-2</v>
      </c>
      <c r="L39" s="230">
        <f>'Tableaux aéro'!B37*PI()*Géométrie!$B$3^2/4/$B$1</f>
        <v>0.16045411093749998</v>
      </c>
      <c r="M39" s="230">
        <f>'Tableaux aéro'!W37*Géométrie!$B$3</f>
        <v>3.5728281074115342</v>
      </c>
      <c r="N39" s="230">
        <f>K39*(M39-Géométrie!$F$12)/$B$2</f>
        <v>4.4922664078701498E-2</v>
      </c>
      <c r="O39" s="231">
        <f>[1]!InterpCn(10,$A39,Géométrie!$F$13/Géométrie!$B$3)*Géométrie!$B$3^2*PI()/4/Aerodynamique!$B$1</f>
        <v>7.1244158434650443E-2</v>
      </c>
      <c r="P39" s="230">
        <f>'Tableaux aéro'!M107*A39*Géométrie!$F$13</f>
        <v>3235026.8080666792</v>
      </c>
      <c r="Q39" s="230">
        <f>0.445/POWER(LOG(P39),2.58)/POWER(1+0.15*A39^2,0.58)*Géométrie!$B$10/$B$1</f>
        <v>7.5739612103701698E-3</v>
      </c>
      <c r="R39" s="230"/>
      <c r="S39" s="230">
        <f>[1]!InterpCm(10,$A39,Géométrie!$F$13/Géométrie!$B$3)*Géométrie!$B$3^2*PI()/4/$B$1</f>
        <v>-0.16015539513677809</v>
      </c>
      <c r="T39" s="190"/>
      <c r="U39" s="176"/>
      <c r="V39" s="176"/>
      <c r="W39" s="194"/>
      <c r="X39" s="176"/>
      <c r="Y39" s="41">
        <f>[2]!interpol(A39,'[3]CA basé sur Ariane 3'!$A$6:$A$23,'[3]CA basé sur Ariane 3'!$B$6:$B$23)*PI()*Géométrie!$B$3^2/4/$B$1</f>
        <v>1.4937328650645738E-2</v>
      </c>
      <c r="Z39" s="222">
        <f>0.6*Géométrie!$B$81+Géométrie!$B$16+Géométrie!$B$2</f>
        <v>10.332515798803174</v>
      </c>
      <c r="AA39" s="194"/>
      <c r="AB39" s="190"/>
      <c r="AC39" s="41">
        <f ca="1">'Tableaux aéro'!R107</f>
        <v>2.3124182495475893E-2</v>
      </c>
      <c r="AD39" s="217">
        <f t="shared" si="2"/>
        <v>-3.5728281074115342</v>
      </c>
      <c r="AE39" s="176"/>
      <c r="AF39" s="87">
        <f>[2]!interpol(A39,[4]jupA_data!$A$2:$A$10,[4]jupA_data!$B$2:$B$10)*PI()*(Géométrie!$B$113^2-Géométrie!$B$85^2)/$B$1*COS(Géométrie!$I$96*PI()/180)^2/100</f>
        <v>1.1860326998533764E-2</v>
      </c>
      <c r="AG39" s="170"/>
      <c r="AH39" s="41">
        <f ca="1">0.4*(Géométrie!$B$109-Géométrie!$B$110)+Géométrie!$B$84+Géométrie!$B$16+Géométrie!$B$3</f>
        <v>18.466652672398482</v>
      </c>
      <c r="AI39" s="41">
        <f t="shared" ca="1" si="3"/>
        <v>5.341964372268132E-2</v>
      </c>
      <c r="AJ39" s="87" t="e">
        <f ca="1">([1]!InterpCn(Géométrie!$I$96,$A39,Géométrie!$B$112)-[1]!InterpCn(Géométrie!$I$96,$A39,0))*PI()*Géométrie!$B$113^2/4</f>
        <v>#NAME?</v>
      </c>
      <c r="AK39" s="41">
        <f ca="1">'Tableaux aéro'!W107</f>
        <v>7.1846730948879603E-3</v>
      </c>
      <c r="AL39" s="41" t="e">
        <f t="shared" ca="1" si="4"/>
        <v>#NAME?</v>
      </c>
      <c r="AM39" s="89" t="e">
        <f ca="1">(([1]!InterpCm(Géométrie!$I$96,$A39,Géométrie!$B$112)-[1]!InterpCm(Géométrie!$I$96,$A39,0))*PI()*Géométrie!$B$113^2/4/$B$1*$AM$2/$B$2)+AJ39*(-Géométrie!$B$113/2/TAN(Géométrie!$I$96*PI()/180)+Géométrie!$B$2+Géométrie!$B$16+Géométrie!$B$84+Géométrie!$B$109-Géométrie!$B$110)/$B$2</f>
        <v>#NAME?</v>
      </c>
      <c r="AN39" s="176"/>
      <c r="AO39" s="217">
        <f>[2]!interpol(A39,'[3]CA basé sur Ariane 3'!$A$6:$A$23,'[3]CA basé sur Ariane 3'!$B$6:$B$23)</f>
        <v>9.5598903364132737E-3</v>
      </c>
      <c r="AP39" s="217">
        <f ca="1">0.6*(Géométrie!$B$103+Géométrie!$B$136)+Géométrie!$B$16+Géométrie!$B$13+Géométrie!$B$2+Géométrie!$B$84-Géométrie!$B$103</f>
        <v>23.85864022529865</v>
      </c>
      <c r="AQ39" s="194"/>
      <c r="AR39" s="176"/>
      <c r="AS39" s="41">
        <f ca="1">'Tableaux aéro'!Y107</f>
        <v>1.0935211829638683E-2</v>
      </c>
      <c r="AT39" s="217">
        <f t="shared" si="5"/>
        <v>-3.5728281074115342</v>
      </c>
      <c r="AU39" s="194"/>
      <c r="AV39" s="213">
        <f ca="1">-'Tableaux aéro'!B145*('Tableaux aéro'!$E$112-'Tableaux aéro'!$E$113)/Aerodynamique!$B$1</f>
        <v>0</v>
      </c>
      <c r="AW39" s="213">
        <f ca="1">'Tableaux aéro'!S107</f>
        <v>6.3974772559313886E-2</v>
      </c>
      <c r="AX39" s="75"/>
      <c r="AY39">
        <f t="shared" ca="1" si="6"/>
        <v>0.43812803088980173</v>
      </c>
      <c r="AZ39">
        <f ca="1">(AY39-AV39-'Tableaux aéro'!J37)/AW39</f>
        <v>3.0274775017913815</v>
      </c>
      <c r="BA39">
        <f ca="1">'Tableaux aéro'!J37+'Tableaux aéro'!T107*AZ39</f>
        <v>0.4390845058370022</v>
      </c>
      <c r="BC39" t="e">
        <f t="shared" ca="1" si="7"/>
        <v>#NAME?</v>
      </c>
      <c r="BD39" t="e">
        <f ca="1">(BC39-'Tableaux aéro'!U37)/(([1]!InterpCn(Géométrie!$B$4,$A39,(Géométrie!$B$142-Géométrie!$B$132)/Géométrie!$B$3)-[1]!InterpCn(Géométrie!$B$4,$A39,0))*PI()*Géométrie!$B$3^2/4/$B$1)</f>
        <v>#NAME?</v>
      </c>
      <c r="BE39" t="e">
        <f ca="1">'Tableaux aéro'!U37+(([1]!InterpCn(Géométrie!$B$4,$A39,$BB$3/Géométrie!$B$3)-[1]!InterpCn(Géométrie!$B$4,$A39,0))*PI()*Géométrie!$B$3^2/4/$B$1)*BD39</f>
        <v>#NAME?</v>
      </c>
      <c r="BG39" t="e">
        <f t="shared" ca="1" si="8"/>
        <v>#NAME?</v>
      </c>
      <c r="BH39" t="e">
        <f ca="1">(BG39-'Tableaux aéro'!U37*'Tableaux aéro'!AE37/$B$2)/(([1]!InterpCm(Géométrie!$B$4,$A39,(Géométrie!$B$142-Géométrie!$B$132)/Géométrie!$B$3)-[1]!InterpCm(Géométrie!$B$4,$A39,0))*PI()*Géométrie!$B$3^2/4/$B$1)</f>
        <v>#NAME?</v>
      </c>
      <c r="BI39" t="e">
        <f ca="1">'Tableaux aéro'!U37*'Tableaux aéro'!AE37/$B$2+BH39*(([1]!InterpCm(Géométrie!$B$4,$A39,$BB$3/Géométrie!$B$3)-[1]!InterpCm(Géométrie!$B$4,$A39,0))*PI()*Géométrie!$B$3^2/4/$B$1)</f>
        <v>#NAME?</v>
      </c>
    </row>
    <row r="40" spans="1:61">
      <c r="A40" s="90">
        <v>4.9000000000000004</v>
      </c>
      <c r="B40" s="41">
        <f>('Tableaux aéro'!U38)*PI()*Géométrie!$B$3^2/4/$B$1</f>
        <v>2.3906516182654229</v>
      </c>
      <c r="C40" s="41">
        <f>'Tableaux aéro'!M108*A40*Géométrie!$B$2</f>
        <v>5499979.2104851427</v>
      </c>
      <c r="D40" s="41">
        <f>'Tableaux aéro'!J38*PI()*Géométrie!$B$3^2/4/$B$1</f>
        <v>0.38122167492099118</v>
      </c>
      <c r="E40" s="41">
        <f>Géométrie!$F$13-('Tableaux aéro'!AE38)*Géométrie!$B$3</f>
        <v>2.3852695023502402</v>
      </c>
      <c r="F40" s="92">
        <f>B40*E40/$B$2</f>
        <v>1.3908166819006738</v>
      </c>
      <c r="G40" s="41" t="e">
        <f ca="1">([1]!InterpCn(Géométrie!$B$4,$A40,Géométrie!$B$18)-[1]!InterpCn(Géométrie!$B$4,$A40,0))*PI()*Géométrie!$B$3^2/4/$B$1</f>
        <v>#NAME?</v>
      </c>
      <c r="H40" s="241">
        <f ca="1">'Tableaux aéro'!P108</f>
        <v>8.2488745569631958E-3</v>
      </c>
      <c r="I40" s="41" t="e">
        <f t="shared" ca="1" si="1"/>
        <v>#NAME?</v>
      </c>
      <c r="J40" s="41" t="e">
        <f ca="1">([1]!InterpCm(Géométrie!$B$4,$A40,Géométrie!$B$18)-[1]!InterpCm(Géométrie!$B$4,$A40,0))*PI()*Géométrie!$B$3^2/4/$B$1*$J$2/$B$2+G40*(Géométrie!$F$13-Géométrie!$B$3/(2*TAN(Géométrie!$B$4*PI()/180)))*1/$B$2</f>
        <v>#NAME?</v>
      </c>
      <c r="K40" s="232">
        <f>'Tableaux aéro'!L38*PI()/180*PI()*Géométrie!$B$3^2/4/$B$1</f>
        <v>5.1943819902772838E-2</v>
      </c>
      <c r="L40" s="232">
        <f>'Tableaux aéro'!B38*PI()*Géométrie!$B$3^2/4/$B$1</f>
        <v>0.16069491718749995</v>
      </c>
      <c r="M40" s="232">
        <f>'Tableaux aéro'!W38*Géométrie!$B$3</f>
        <v>3.5675281850910907</v>
      </c>
      <c r="N40" s="232">
        <f>K40*(M40-Géométrie!$F$12)/$B$2</f>
        <v>4.5197815010838457E-2</v>
      </c>
      <c r="O40" s="233">
        <f>[1]!InterpCn(10,$A40,Géométrie!$F$13/Géométrie!$B$3)*Géométrie!$B$3^2*PI()/4/Aerodynamique!$B$1</f>
        <v>7.1337908434650446E-2</v>
      </c>
      <c r="P40" s="232">
        <f>'Tableaux aéro'!M108*A40*Géométrie!$F$13</f>
        <v>2786181.2815729179</v>
      </c>
      <c r="Q40" s="232">
        <f>0.445/POWER(LOG(P40),2.58)/POWER(1+0.15*A40^2,0.58)*Géométrie!$B$10/$B$1</f>
        <v>7.4862419616614174E-3</v>
      </c>
      <c r="R40" s="232"/>
      <c r="S40" s="232">
        <f>[1]!InterpCm(10,$A40,Géométrie!$F$13/Géométrie!$B$3)*Géométrie!$B$3^2*PI()/4/$B$1</f>
        <v>-0.15996789513677809</v>
      </c>
      <c r="T40" s="191"/>
      <c r="U40" s="177"/>
      <c r="V40" s="92"/>
      <c r="W40" s="195"/>
      <c r="X40" s="177"/>
      <c r="Y40" s="41">
        <f>[2]!interpol(A40,'[3]CA basé sur Ariane 3'!$A$6:$A$23,'[3]CA basé sur Ariane 3'!$B$6:$B$23)*PI()*Géométrie!$B$3^2/4/$B$1</f>
        <v>1.1588547006253176E-2</v>
      </c>
      <c r="Z40" s="222">
        <f>0.6*Géométrie!$B$81+Géométrie!$B$16+Géométrie!$B$2</f>
        <v>10.332515798803174</v>
      </c>
      <c r="AA40" s="195"/>
      <c r="AB40" s="191"/>
      <c r="AC40" s="92">
        <f ca="1">'Tableaux aéro'!R108</f>
        <v>2.2779027286181634E-2</v>
      </c>
      <c r="AD40" s="218">
        <f t="shared" si="2"/>
        <v>-3.5675281850910907</v>
      </c>
      <c r="AE40" s="177"/>
      <c r="AF40" s="90">
        <f>[2]!interpol(A40,[4]jupA_data!$A$2:$A$10,[4]jupA_data!$B$2:$B$10)*PI()*(Géométrie!$B$113^2-Géométrie!$B$85^2)/$B$1*COS(Géométrie!$I$96*PI()/180)^2/100</f>
        <v>1.1860326998533764E-2</v>
      </c>
      <c r="AG40" s="171"/>
      <c r="AH40" s="92">
        <f ca="1">0.4*(Géométrie!$B$109-Géométrie!$B$110)+Géométrie!$B$84+Géométrie!$B$16+Géométrie!$B$3</f>
        <v>18.466652672398482</v>
      </c>
      <c r="AI40" s="92">
        <f t="shared" ca="1" si="3"/>
        <v>5.341964372268132E-2</v>
      </c>
      <c r="AJ40" s="90" t="e">
        <f ca="1">([1]!InterpCn(Géométrie!$I$96,$A40,Géométrie!$B$112)-[1]!InterpCn(Géométrie!$I$96,$A40,0))*PI()*Géométrie!$B$113^2/4</f>
        <v>#NAME?</v>
      </c>
      <c r="AK40" s="92">
        <f ca="1">'Tableaux aéro'!W108</f>
        <v>7.0774335266886495E-3</v>
      </c>
      <c r="AL40" s="92" t="e">
        <f t="shared" ca="1" si="4"/>
        <v>#NAME?</v>
      </c>
      <c r="AM40" s="93" t="e">
        <f ca="1">(([1]!InterpCm(Géométrie!$I$96,$A40,Géométrie!$B$112)-[1]!InterpCm(Géométrie!$I$96,$A40,0))*PI()*Géométrie!$B$113^2/4/$B$1*$AM$2/$B$2)+AJ40*(-Géométrie!$B$113/2/TAN(Géométrie!$I$96*PI()/180)+Géométrie!$B$2+Géométrie!$B$16+Géométrie!$B$84+Géométrie!$B$109-Géométrie!$B$110)/$B$2</f>
        <v>#NAME?</v>
      </c>
      <c r="AN40" s="177"/>
      <c r="AO40" s="218">
        <f>[2]!interpol(A40,'[3]CA basé sur Ariane 3'!$A$6:$A$23,'[3]CA basé sur Ariane 3'!$B$6:$B$23)</f>
        <v>7.4166700840020347E-3</v>
      </c>
      <c r="AP40" s="218">
        <f ca="1">0.6*(Géométrie!$B$103+Géométrie!$B$136)+Géométrie!$B$16+Géométrie!$B$13+Géométrie!$B$2+Géométrie!$B$84-Géométrie!$B$103</f>
        <v>23.85864022529865</v>
      </c>
      <c r="AQ40" s="195"/>
      <c r="AR40" s="177"/>
      <c r="AS40" s="92">
        <f ca="1">'Tableaux aéro'!Y108</f>
        <v>1.0771991126443038E-2</v>
      </c>
      <c r="AT40" s="218">
        <f t="shared" si="5"/>
        <v>-3.5675281850910907</v>
      </c>
      <c r="AU40" s="195"/>
      <c r="AV40" s="117">
        <f ca="1">-'Tableaux aéro'!B146*('Tableaux aéro'!$E$112-'Tableaux aéro'!$E$113)/Aerodynamique!$B$1</f>
        <v>0</v>
      </c>
      <c r="AW40" s="117">
        <f ca="1">'Tableaux aéro'!S108</f>
        <v>6.3019874974649767E-2</v>
      </c>
      <c r="AX40" s="75"/>
      <c r="AY40">
        <f t="shared" ca="1" si="6"/>
        <v>0.43343867386655766</v>
      </c>
      <c r="AZ40">
        <f ca="1">(AY40-AV40-'Tableaux aéro'!J38)/AW40</f>
        <v>3.0063024084597711</v>
      </c>
      <c r="BA40">
        <f ca="1">'Tableaux aéro'!J38+'Tableaux aéro'!T108*AZ40</f>
        <v>0.43437428229631336</v>
      </c>
      <c r="BC40" t="e">
        <f t="shared" ca="1" si="7"/>
        <v>#NAME?</v>
      </c>
      <c r="BD40" t="e">
        <f ca="1">(BC40-'Tableaux aéro'!U38)/(([1]!InterpCn(Géométrie!$B$4,$A40,(Géométrie!$B$142-Géométrie!$B$132)/Géométrie!$B$3)-[1]!InterpCn(Géométrie!$B$4,$A40,0))*PI()*Géométrie!$B$3^2/4/$B$1)</f>
        <v>#NAME?</v>
      </c>
      <c r="BE40" t="e">
        <f ca="1">'Tableaux aéro'!U38+(([1]!InterpCn(Géométrie!$B$4,$A40,$BB$3/Géométrie!$B$3)-[1]!InterpCn(Géométrie!$B$4,$A40,0))*PI()*Géométrie!$B$3^2/4/$B$1)*BD40</f>
        <v>#NAME?</v>
      </c>
      <c r="BG40" t="e">
        <f t="shared" ca="1" si="8"/>
        <v>#NAME?</v>
      </c>
      <c r="BH40" t="e">
        <f ca="1">(BG40-'Tableaux aéro'!U38*'Tableaux aéro'!AE38/$B$2)/(([1]!InterpCm(Géométrie!$B$4,$A40,(Géométrie!$B$142-Géométrie!$B$132)/Géométrie!$B$3)-[1]!InterpCm(Géométrie!$B$4,$A40,0))*PI()*Géométrie!$B$3^2/4/$B$1)</f>
        <v>#NAME?</v>
      </c>
      <c r="BI40" t="e">
        <f ca="1">'Tableaux aéro'!U38*'Tableaux aéro'!AE38/$B$2+BH40*(([1]!InterpCm(Géométrie!$B$4,$A40,$BB$3/Géométrie!$B$3)-[1]!InterpCm(Géométrie!$B$4,$A40,0))*PI()*Géométrie!$B$3^2/4/$B$1)</f>
        <v>#NAME?</v>
      </c>
    </row>
    <row r="42" spans="1:61">
      <c r="A42" s="131"/>
      <c r="AJ42" s="251"/>
      <c r="AK42" s="251"/>
      <c r="AL42" s="251"/>
      <c r="AM42" s="251"/>
    </row>
    <row r="43" spans="1:61">
      <c r="A43" s="131"/>
    </row>
    <row r="44" spans="1:61">
      <c r="B44" s="187"/>
      <c r="D44" s="78" t="s">
        <v>640</v>
      </c>
    </row>
  </sheetData>
  <mergeCells count="10">
    <mergeCell ref="AJ42:AM42"/>
    <mergeCell ref="O5:S5"/>
    <mergeCell ref="AR5:AU5"/>
    <mergeCell ref="B5:F5"/>
    <mergeCell ref="AB5:AE5"/>
    <mergeCell ref="X5:AA5"/>
    <mergeCell ref="AJ5:AM5"/>
    <mergeCell ref="AF5:AI5"/>
    <mergeCell ref="K5:N5"/>
    <mergeCell ref="AN5:AQ5"/>
  </mergeCells>
  <pageMargins left="0.78740157499999996" right="0.78740157499999996" top="0.984251969" bottom="0.984251969" header="0.5" footer="0.5"/>
  <pageSetup paperSize="9"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21" enableFormatConditionsCalculation="0"/>
  <dimension ref="A1:AF167"/>
  <sheetViews>
    <sheetView topLeftCell="C1" zoomScale="66" zoomScaleNormal="66" zoomScalePageLayoutView="66" workbookViewId="0">
      <selection activeCell="J5" sqref="J5"/>
    </sheetView>
  </sheetViews>
  <sheetFormatPr baseColWidth="10" defaultRowHeight="12.75"/>
  <cols>
    <col min="1" max="1" width="18.75" bestFit="1" customWidth="1"/>
    <col min="11" max="13" width="12" bestFit="1" customWidth="1"/>
    <col min="15" max="15" width="14.375" customWidth="1"/>
  </cols>
  <sheetData>
    <row r="1" spans="1:32">
      <c r="A1" s="78" t="s">
        <v>258</v>
      </c>
      <c r="J1" t="s">
        <v>645</v>
      </c>
      <c r="T1" s="196" t="s">
        <v>644</v>
      </c>
      <c r="U1" s="196" t="s">
        <v>645</v>
      </c>
      <c r="AE1" t="s">
        <v>646</v>
      </c>
      <c r="AF1" t="s">
        <v>647</v>
      </c>
    </row>
    <row r="2" spans="1:32">
      <c r="A2" s="104" t="s">
        <v>257</v>
      </c>
      <c r="B2" s="83">
        <v>0</v>
      </c>
      <c r="C2" s="85">
        <v>0</v>
      </c>
      <c r="D2" s="85">
        <v>0</v>
      </c>
      <c r="F2" s="85">
        <v>0.4</v>
      </c>
      <c r="G2" s="85">
        <v>0.4</v>
      </c>
      <c r="H2" s="86">
        <v>0.4</v>
      </c>
      <c r="I2" s="85">
        <v>0</v>
      </c>
      <c r="J2" s="183">
        <f>Géométrie!B8</f>
        <v>0.27493252591026274</v>
      </c>
      <c r="L2" s="83">
        <v>0</v>
      </c>
      <c r="M2" s="85">
        <v>0</v>
      </c>
      <c r="N2" s="85">
        <v>0</v>
      </c>
      <c r="O2" s="85"/>
      <c r="P2" s="85">
        <v>0.4</v>
      </c>
      <c r="Q2" s="85">
        <v>0.4</v>
      </c>
      <c r="R2" s="86">
        <v>0.4</v>
      </c>
      <c r="S2" s="86">
        <v>0</v>
      </c>
      <c r="T2" s="176">
        <f>0</f>
        <v>0</v>
      </c>
      <c r="U2" s="176">
        <f>J2</f>
        <v>0.27493252591026274</v>
      </c>
      <c r="W2" s="83">
        <v>0</v>
      </c>
      <c r="X2" s="85">
        <v>0</v>
      </c>
      <c r="Y2" s="85">
        <v>0</v>
      </c>
      <c r="Z2" s="85"/>
      <c r="AA2" s="85">
        <v>0.4</v>
      </c>
      <c r="AB2" s="85">
        <v>0.4</v>
      </c>
      <c r="AC2" s="86">
        <v>0.4</v>
      </c>
      <c r="AD2" s="75">
        <v>0</v>
      </c>
      <c r="AE2" s="196">
        <f>J2</f>
        <v>0.27493252591026274</v>
      </c>
      <c r="AF2" s="176">
        <v>0</v>
      </c>
    </row>
    <row r="3" spans="1:32">
      <c r="A3" s="104" t="s">
        <v>204</v>
      </c>
      <c r="B3" s="87">
        <v>10</v>
      </c>
      <c r="C3" s="41">
        <v>15</v>
      </c>
      <c r="D3" s="41">
        <f>Géométrie!B4</f>
        <v>14.9</v>
      </c>
      <c r="F3" s="41">
        <v>10</v>
      </c>
      <c r="G3" s="41">
        <v>15</v>
      </c>
      <c r="H3" s="89">
        <f>D3</f>
        <v>14.9</v>
      </c>
      <c r="I3" s="41">
        <f>Géométrie!B4</f>
        <v>14.9</v>
      </c>
      <c r="J3" s="184">
        <f>I3</f>
        <v>14.9</v>
      </c>
      <c r="L3" s="87">
        <v>10</v>
      </c>
      <c r="M3" s="41">
        <v>15</v>
      </c>
      <c r="N3" s="41">
        <f>Géométrie!B4</f>
        <v>14.9</v>
      </c>
      <c r="O3" s="41"/>
      <c r="P3" s="41">
        <v>10</v>
      </c>
      <c r="Q3" s="41">
        <v>15</v>
      </c>
      <c r="R3" s="89">
        <f>N3</f>
        <v>14.9</v>
      </c>
      <c r="S3" s="89">
        <f>R3</f>
        <v>14.9</v>
      </c>
      <c r="T3" s="176">
        <f>Géométrie!I96</f>
        <v>5</v>
      </c>
      <c r="U3" s="176">
        <f>J3</f>
        <v>14.9</v>
      </c>
      <c r="W3" s="87">
        <v>10</v>
      </c>
      <c r="X3" s="41">
        <v>15</v>
      </c>
      <c r="Y3" s="41">
        <f>Géométrie!B4</f>
        <v>14.9</v>
      </c>
      <c r="Z3" s="41"/>
      <c r="AA3" s="41">
        <v>10</v>
      </c>
      <c r="AB3" s="41">
        <v>15</v>
      </c>
      <c r="AC3" s="89">
        <f>Géométrie!B4</f>
        <v>14.9</v>
      </c>
      <c r="AD3">
        <f>AC3</f>
        <v>14.9</v>
      </c>
      <c r="AE3" s="196">
        <f>AD3</f>
        <v>14.9</v>
      </c>
      <c r="AF3" s="196">
        <f ca="1">Géométrie!B112</f>
        <v>4.7734673415472813</v>
      </c>
    </row>
    <row r="4" spans="1:32">
      <c r="A4" s="114" t="s">
        <v>213</v>
      </c>
      <c r="B4" s="90" t="s">
        <v>206</v>
      </c>
      <c r="C4" s="92" t="s">
        <v>206</v>
      </c>
      <c r="D4" s="92" t="s">
        <v>206</v>
      </c>
      <c r="F4" s="92" t="s">
        <v>206</v>
      </c>
      <c r="G4" s="92" t="s">
        <v>206</v>
      </c>
      <c r="H4" s="93" t="s">
        <v>206</v>
      </c>
      <c r="I4" s="92" t="s">
        <v>206</v>
      </c>
      <c r="J4" s="184" t="s">
        <v>206</v>
      </c>
      <c r="L4" s="90" t="s">
        <v>207</v>
      </c>
      <c r="M4" s="92" t="s">
        <v>207</v>
      </c>
      <c r="N4" s="92" t="s">
        <v>207</v>
      </c>
      <c r="O4" s="92"/>
      <c r="P4" s="92" t="s">
        <v>207</v>
      </c>
      <c r="Q4" s="92" t="s">
        <v>207</v>
      </c>
      <c r="R4" s="93" t="s">
        <v>207</v>
      </c>
      <c r="S4" s="93" t="s">
        <v>207</v>
      </c>
      <c r="T4" s="176" t="s">
        <v>207</v>
      </c>
      <c r="U4" s="176" t="s">
        <v>207</v>
      </c>
      <c r="W4" s="90" t="s">
        <v>242</v>
      </c>
      <c r="X4" s="92" t="s">
        <v>242</v>
      </c>
      <c r="Y4" s="92" t="s">
        <v>242</v>
      </c>
      <c r="Z4" s="92"/>
      <c r="AA4" s="92" t="s">
        <v>242</v>
      </c>
      <c r="AB4" s="92" t="s">
        <v>242</v>
      </c>
      <c r="AC4" s="93" t="s">
        <v>242</v>
      </c>
      <c r="AD4" s="75" t="s">
        <v>242</v>
      </c>
      <c r="AE4" s="176" t="s">
        <v>242</v>
      </c>
      <c r="AF4" s="176" t="s">
        <v>242</v>
      </c>
    </row>
    <row r="5" spans="1:32">
      <c r="A5" s="112">
        <v>0.5</v>
      </c>
      <c r="B5" s="87">
        <v>2.6799164E-2</v>
      </c>
      <c r="C5" s="41">
        <f>[2]!interpol(A5,[5]CA_CON15_D0!$A$1:$A$21,[5]CA_CON15_D0!$B$1:$B$21)</f>
        <v>6.585768964321348E-2</v>
      </c>
      <c r="D5" s="41">
        <f>[2]!interpol(D$3,B$3:C$3,B5:C5)</f>
        <v>6.5076519130349203E-2</v>
      </c>
      <c r="F5" s="41">
        <f>[2]!interpol(A5,[5]CA_CON10_D4!$A$1:$A$20,[5]CA_CON10_D4!$B$1:$B$20)</f>
        <v>3.4738200773740055E-2</v>
      </c>
      <c r="G5" s="41">
        <f>[2]!interpol(A5,[5]CA_CON15_D4!$A$1:$A$20,[5]CA_CON15_D4!$B$1:$B$20)</f>
        <v>6.8674036192538312E-2</v>
      </c>
      <c r="H5" s="89">
        <f>[2]!interpol(H$3,F$3:G$3,F5:G5)</f>
        <v>6.7995319484162348E-2</v>
      </c>
      <c r="I5" s="41">
        <f>D5</f>
        <v>6.5076519130349203E-2</v>
      </c>
      <c r="J5" s="112">
        <f>[2]!interpol(J$2,H$2:I$2,H5:I5)</f>
        <v>6.7082702015103246E-2</v>
      </c>
      <c r="L5" s="87">
        <f>[2]!interpol(A5,[5]CN_CON10_D0!$A$1:$A$21,[5]CN_CON10_D0!$B$1:$B$21)</f>
        <v>1.5849761879139987</v>
      </c>
      <c r="M5" s="41">
        <f>[2]!interpol(A5,[5]CN_CON15_D0!$A$1:$A$21,[5]CN_CON15_D0!$B$1:$B$21)</f>
        <v>1.4972427330568321</v>
      </c>
      <c r="N5" s="41">
        <f>[2]!interpol(N$3,L$3:M$3,L5:M5)</f>
        <v>1.4989974021539754</v>
      </c>
      <c r="O5" s="41"/>
      <c r="P5" s="41">
        <f>[2]!interpol(A5,[5]CN_CON10_D4!$A$1:$A$20,[5]CN_CON10_D4!$B$1:$B$20)</f>
        <v>1.5793134817314534</v>
      </c>
      <c r="Q5" s="41">
        <f>[2]!interpol(A5,[5]CN_CON15_D4!$A$1:$A$20,[5]CN_CON15_D4!$B$1:$B$20)</f>
        <v>1.3843501822953499</v>
      </c>
      <c r="R5" s="89">
        <f>[2]!interpol(R$3,P$3:Q$3,P5:Q5)</f>
        <v>1.3882494482840719</v>
      </c>
      <c r="S5" s="89">
        <f>N5</f>
        <v>1.4989974021539754</v>
      </c>
      <c r="T5" s="41">
        <f>[2]!interpol(T$2,R$2:S$2,R5:S5)</f>
        <v>1.4989974021539754</v>
      </c>
      <c r="U5" s="41">
        <f>[2]!interpol(U$2,R$2:S$2,R5:S5)</f>
        <v>1.4228768654118609</v>
      </c>
      <c r="W5" s="87">
        <f>[2]!interpol($A5,[5]XCP_CON10_D0!$A$1:$A$26,[5]XCP_CON10_D0!$B$1:$B$26)</f>
        <v>0.98899605753243613</v>
      </c>
      <c r="X5" s="41">
        <f>[2]!interpol($A5,[5]XCP_CON15_D0!$A$1:$A$26,[5]XCP_CON15_D0!$B$1:$B$26)</f>
        <v>0.60508389289812925</v>
      </c>
      <c r="Y5" s="41">
        <f>(X5-W5)/(X$3-W$3)*(Y$3-W$3)+W5</f>
        <v>0.61276213619081532</v>
      </c>
      <c r="Z5" s="41"/>
      <c r="AA5" s="41">
        <f>[2]!interpol($A5,[5]XCP_CON10_D4!$A$1:$A$26,[5]XCP_CON10_D4!$B$1:$B$26)</f>
        <v>0.91259380449414773</v>
      </c>
      <c r="AB5" s="41">
        <f>[2]!interpol($A5,[5]XCP_CON15_D4!$A$1:$A$26,[5]XCP_CON15_D4!$B$1:$B$26)</f>
        <v>0.53870522530168707</v>
      </c>
      <c r="AC5" s="89">
        <f>(AB5-AA5)/(AB$3-AA$3)*(AC$3-AA$3)+AA5</f>
        <v>0.54618299688553629</v>
      </c>
      <c r="AD5">
        <f>Y5</f>
        <v>0.61276213619081532</v>
      </c>
      <c r="AE5">
        <f>(AC5-AD5)/(AC$2-AD$2)*(AE$2-AD$2)+AD5</f>
        <v>0.5670002088354863</v>
      </c>
      <c r="AF5">
        <f ca="1">(X5-W5)/(X$3-W$3)*(AF$3-W$3)+W5</f>
        <v>1.3903019508201324</v>
      </c>
    </row>
    <row r="6" spans="1:32">
      <c r="A6" s="112">
        <v>0.6</v>
      </c>
      <c r="B6" s="87">
        <v>3.3620049999999999E-2</v>
      </c>
      <c r="C6" s="41">
        <f>[2]!interpol(A6,[5]CA_CON15_D0!$A$1:$A$21,[5]CA_CON15_D0!$B$1:$B$21)</f>
        <v>8.0438421684211281E-2</v>
      </c>
      <c r="D6" s="41">
        <f>[2]!interpol(D$3,B$3:C$3,B6:C6)</f>
        <v>7.950205425052706E-2</v>
      </c>
      <c r="E6" s="41"/>
      <c r="F6" s="41">
        <f>[2]!interpol(A6,[5]CA_CON10_D4!$A$1:$A$20,[5]CA_CON10_D4!$B$1:$B$20)</f>
        <v>4.1932786654871233E-2</v>
      </c>
      <c r="G6" s="41">
        <f>[2]!interpol(A6,[5]CA_CON15_D4!$A$1:$A$20,[5]CA_CON15_D4!$B$1:$B$20)</f>
        <v>8.141408230504088E-2</v>
      </c>
      <c r="H6" s="89">
        <f>[2]!interpol(H$3,F$3:G$3,F6:G6)</f>
        <v>8.0624456392037497E-2</v>
      </c>
      <c r="I6" s="41">
        <f t="shared" ref="I6:I38" si="0">D6</f>
        <v>7.950205425052706E-2</v>
      </c>
      <c r="J6" s="112">
        <f>[2]!interpol(J$2,H$2:I$2,H6:I6)</f>
        <v>8.0273516390158436E-2</v>
      </c>
      <c r="L6" s="87">
        <f>[2]!interpol(A6,[5]CN_CON10_D0!$A$1:$A$21,[5]CN_CON10_D0!$B$1:$B$21)</f>
        <v>1.6258111015100691</v>
      </c>
      <c r="M6" s="41">
        <f>[2]!interpol(A6,[5]CN_CON15_D0!$A$1:$A$21,[5]CN_CON15_D0!$B$1:$B$21)</f>
        <v>1.5052091630296198</v>
      </c>
      <c r="N6" s="41">
        <f>[2]!interpol(N$3,L$3:M$3,L6:M6)</f>
        <v>1.5076212017992288</v>
      </c>
      <c r="O6" s="41"/>
      <c r="P6" s="41">
        <f>[2]!interpol(A6,[5]CN_CON10_D4!$A$1:$A$20,[5]CN_CON10_D4!$B$1:$B$20)</f>
        <v>1.6191526604931021</v>
      </c>
      <c r="Q6" s="41">
        <f>[2]!interpol(A6,[5]CN_CON15_D4!$A$1:$A$20,[5]CN_CON15_D4!$B$1:$B$20)</f>
        <v>1.4348327161560779</v>
      </c>
      <c r="R6" s="89">
        <f>[2]!interpol(R$3,P$3:Q$3,P6:Q6)</f>
        <v>1.4385191150428183</v>
      </c>
      <c r="S6" s="89">
        <f t="shared" ref="S6:S38" si="1">N6</f>
        <v>1.5076212017992288</v>
      </c>
      <c r="T6" s="41">
        <f>[2]!interpol(T$2,R$2:S$2,R6:S6)</f>
        <v>1.5076212017992288</v>
      </c>
      <c r="U6" s="41">
        <f>[2]!interpol(U$2,R$2:S$2,R6:S6)</f>
        <v>1.4601251736552037</v>
      </c>
      <c r="W6" s="87">
        <f>[2]!interpol($A6,[5]XCP_CON10_D0!$A$1:$A$26,[5]XCP_CON10_D0!$B$1:$B$26)</f>
        <v>0.97999110994914018</v>
      </c>
      <c r="X6" s="41">
        <f>[2]!interpol($A6,[5]XCP_CON15_D0!$A$1:$A$26,[5]XCP_CON15_D0!$B$1:$B$26)</f>
        <v>0.59707448031620591</v>
      </c>
      <c r="Y6" s="41">
        <f t="shared" ref="Y6:Y38" si="2">(X6-W6)/(X$3-W$3)*(Y$3-W$3)+W6</f>
        <v>0.60473281290886449</v>
      </c>
      <c r="Z6" s="41"/>
      <c r="AA6" s="41">
        <f>[2]!interpol($A6,[5]XCP_CON10_D4!$A$1:$A$26,[5]XCP_CON10_D4!$B$1:$B$26)</f>
        <v>0.90207693282604162</v>
      </c>
      <c r="AB6" s="41">
        <f>[2]!interpol($A6,[5]XCP_CON15_D4!$A$1:$A$26,[5]XCP_CON15_D4!$B$1:$B$26)</f>
        <v>0.53267872455720966</v>
      </c>
      <c r="AC6" s="89">
        <f t="shared" ref="AC6:AC38" si="3">(AB6-AA6)/(AB$3-AA$3)*(AC$3-AA$3)+AA6</f>
        <v>0.54006668872258623</v>
      </c>
      <c r="AD6">
        <f t="shared" ref="AD6:AD38" si="4">Y6</f>
        <v>0.60473281290886449</v>
      </c>
      <c r="AE6">
        <f t="shared" ref="AE6:AE38" si="5">(AC6-AD6)/(AC$2-AD$2)*(AE$2-AD$2)+AD6</f>
        <v>0.56028576075046399</v>
      </c>
      <c r="AF6">
        <f t="shared" ref="AF6:AF38" ca="1" si="6">(X6-W6)/(X$3-W$3)*(AF$3-W$3)+W6</f>
        <v>1.3802563639973753</v>
      </c>
    </row>
    <row r="7" spans="1:32">
      <c r="A7" s="112">
        <v>0.7</v>
      </c>
      <c r="B7" s="87">
        <v>5.0791761999999997E-2</v>
      </c>
      <c r="C7" s="41">
        <f>[2]!interpol(A7,[5]CA_CON15_D0!$A$1:$A$21,[5]CA_CON15_D0!$B$1:$B$21)</f>
        <v>0.1006085715439799</v>
      </c>
      <c r="D7" s="41">
        <f>[2]!interpol(D$3,B$3:C$3,B7:C7)</f>
        <v>9.9612235353100292E-2</v>
      </c>
      <c r="E7" s="41"/>
      <c r="F7" s="41">
        <f>[2]!interpol(A7,[5]CA_CON10_D4!$A$1:$A$20,[5]CA_CON10_D4!$B$1:$B$20)</f>
        <v>5.2924700447311651E-2</v>
      </c>
      <c r="G7" s="41">
        <f>[2]!interpol(A7,[5]CA_CON15_D4!$A$1:$A$20,[5]CA_CON15_D4!$B$1:$B$20)</f>
        <v>0.10033642457976139</v>
      </c>
      <c r="H7" s="89">
        <f>[2]!interpol(H$3,F$3:G$3,F7:G7)</f>
        <v>9.9388190097112389E-2</v>
      </c>
      <c r="I7" s="41">
        <f t="shared" si="0"/>
        <v>9.9612235353100292E-2</v>
      </c>
      <c r="J7" s="112">
        <f>[2]!interpol(J$2,H$2:I$2,H7:I7)</f>
        <v>9.9458242032732874E-2</v>
      </c>
      <c r="L7" s="87">
        <f>[2]!interpol(A7,[5]CN_CON10_D0!$A$1:$A$21,[5]CN_CON10_D0!$B$1:$B$21)</f>
        <v>1.6696876984401339</v>
      </c>
      <c r="M7" s="41">
        <f>[2]!interpol(A7,[5]CN_CON15_D0!$A$1:$A$21,[5]CN_CON15_D0!$B$1:$B$21)</f>
        <v>1.513295938552796</v>
      </c>
      <c r="N7" s="41">
        <f>[2]!interpol(N$3,L$3:M$3,L7:M7)</f>
        <v>1.5164237737505428</v>
      </c>
      <c r="O7" s="41"/>
      <c r="P7" s="41">
        <f>[2]!interpol(A7,[5]CN_CON10_D4!$A$1:$A$20,[5]CN_CON10_D4!$B$1:$B$20)</f>
        <v>1.6600503424258495</v>
      </c>
      <c r="Q7" s="41">
        <f>[2]!interpol(A7,[5]CN_CON15_D4!$A$1:$A$20,[5]CN_CON15_D4!$B$1:$B$20)</f>
        <v>1.4777856932080951</v>
      </c>
      <c r="R7" s="89">
        <f>[2]!interpol(R$3,P$3:Q$3,P7:Q7)</f>
        <v>1.4814309861924502</v>
      </c>
      <c r="S7" s="89">
        <f t="shared" si="1"/>
        <v>1.5164237737505428</v>
      </c>
      <c r="T7" s="41">
        <f>[2]!interpol(T$2,R$2:S$2,R7:S7)</f>
        <v>1.5164237737505428</v>
      </c>
      <c r="U7" s="41">
        <f>[2]!interpol(U$2,R$2:S$2,R7:S7)</f>
        <v>1.4923721350705739</v>
      </c>
      <c r="W7" s="87">
        <f>[2]!interpol($A7,[5]XCP_CON10_D0!$A$1:$A$26,[5]XCP_CON10_D0!$B$1:$B$26)</f>
        <v>0.96890399385547188</v>
      </c>
      <c r="X7" s="41">
        <f>[2]!interpol($A7,[5]XCP_CON15_D0!$A$1:$A$26,[5]XCP_CON15_D0!$B$1:$B$26)</f>
        <v>0.58906506773428258</v>
      </c>
      <c r="Y7" s="41">
        <f t="shared" si="2"/>
        <v>0.59666184625670637</v>
      </c>
      <c r="Z7" s="41"/>
      <c r="AA7" s="41">
        <f>[2]!interpol($A7,[5]XCP_CON10_D4!$A$1:$A$26,[5]XCP_CON10_D4!$B$1:$B$26)</f>
        <v>0.89155049484473226</v>
      </c>
      <c r="AB7" s="41">
        <f>[2]!interpol($A7,[5]XCP_CON15_D4!$A$1:$A$26,[5]XCP_CON15_D4!$B$1:$B$26)</f>
        <v>0.52665222381273213</v>
      </c>
      <c r="AC7" s="89">
        <f t="shared" si="3"/>
        <v>0.53395018923337212</v>
      </c>
      <c r="AD7">
        <f t="shared" si="4"/>
        <v>0.59666184625670637</v>
      </c>
      <c r="AE7">
        <f t="shared" si="5"/>
        <v>0.55355816058309804</v>
      </c>
      <c r="AF7">
        <f t="shared" ca="1" si="6"/>
        <v>1.3659521043202729</v>
      </c>
    </row>
    <row r="8" spans="1:32">
      <c r="A8" s="112">
        <v>0.8</v>
      </c>
      <c r="B8" s="87">
        <v>7.5105068999999997E-2</v>
      </c>
      <c r="C8" s="41">
        <f>[2]!interpol(A8,[5]CA_CON15_D0!$A$1:$A$21,[5]CA_CON15_D0!$B$1:$B$21)</f>
        <v>0.12477162283099492</v>
      </c>
      <c r="D8" s="41">
        <f>[2]!interpol(D$3,B$3:C$3,B8:C8)</f>
        <v>0.12377829175437502</v>
      </c>
      <c r="E8" s="41"/>
      <c r="F8" s="41">
        <f>[2]!interpol(A8,[5]CA_CON10_D4!$A$1:$A$20,[5]CA_CON10_D4!$B$1:$B$20)</f>
        <v>6.811349301820846E-2</v>
      </c>
      <c r="G8" s="41">
        <f>[2]!interpol(A8,[5]CA_CON15_D4!$A$1:$A$20,[5]CA_CON15_D4!$B$1:$B$20)</f>
        <v>0.12712643920265329</v>
      </c>
      <c r="H8" s="89">
        <f>[2]!interpol(H$3,F$3:G$3,F8:G8)</f>
        <v>0.1259461802789644</v>
      </c>
      <c r="I8" s="41">
        <f t="shared" si="0"/>
        <v>0.12377829175437502</v>
      </c>
      <c r="J8" s="112">
        <f>[2]!interpol(J$2,H$2:I$2,H8:I8)</f>
        <v>0.12526834942426809</v>
      </c>
      <c r="L8" s="87">
        <f>[2]!interpol(A8,[5]CN_CON10_D0!$A$1:$A$21,[5]CN_CON10_D0!$B$1:$B$21)</f>
        <v>1.7241867121152421</v>
      </c>
      <c r="M8" s="41">
        <f>[2]!interpol(A8,[5]CN_CON15_D0!$A$1:$A$21,[5]CN_CON15_D0!$B$1:$B$21)</f>
        <v>1.5258585169516643</v>
      </c>
      <c r="N8" s="41">
        <f>[2]!interpol(N$3,L$3:M$3,L8:M8)</f>
        <v>1.5298250808549358</v>
      </c>
      <c r="O8" s="41"/>
      <c r="P8" s="41">
        <f>[2]!interpol(A8,[5]CN_CON10_D4!$A$1:$A$20,[5]CN_CON10_D4!$B$1:$B$20)</f>
        <v>1.7044885627221831</v>
      </c>
      <c r="Q8" s="41">
        <f>[2]!interpol(A8,[5]CN_CON15_D4!$A$1:$A$20,[5]CN_CON15_D4!$B$1:$B$20)</f>
        <v>1.5160823516069373</v>
      </c>
      <c r="R8" s="89">
        <f>[2]!interpol(R$3,P$3:Q$3,P8:Q8)</f>
        <v>1.5198504758292422</v>
      </c>
      <c r="S8" s="89">
        <f t="shared" si="1"/>
        <v>1.5298250808549358</v>
      </c>
      <c r="T8" s="41">
        <f>[2]!interpol(T$2,R$2:S$2,R8:S8)</f>
        <v>1.5298250808549358</v>
      </c>
      <c r="U8" s="41">
        <f>[2]!interpol(U$2,R$2:S$2,R8:S8)</f>
        <v>1.5229692224682578</v>
      </c>
      <c r="W8" s="87">
        <f>[2]!interpol($A8,[5]XCP_CON10_D0!$A$1:$A$26,[5]XCP_CON10_D0!$B$1:$B$26)</f>
        <v>0.94768495995025692</v>
      </c>
      <c r="X8" s="41">
        <f>[2]!interpol($A8,[5]XCP_CON15_D0!$A$1:$A$26,[5]XCP_CON15_D0!$B$1:$B$26)</f>
        <v>0.58328266087972824</v>
      </c>
      <c r="Y8" s="41">
        <f t="shared" si="2"/>
        <v>0.59057070686113877</v>
      </c>
      <c r="Z8" s="41"/>
      <c r="AA8" s="41">
        <f>[2]!interpol($A8,[5]XCP_CON10_D4!$A$1:$A$26,[5]XCP_CON10_D4!$B$1:$B$26)</f>
        <v>0.87797924475925526</v>
      </c>
      <c r="AB8" s="41">
        <f>[2]!interpol($A8,[5]XCP_CON15_D4!$A$1:$A$26,[5]XCP_CON15_D4!$B$1:$B$26)</f>
        <v>0.52062572306825472</v>
      </c>
      <c r="AC8" s="89">
        <f t="shared" si="3"/>
        <v>0.52777279350207473</v>
      </c>
      <c r="AD8">
        <f t="shared" si="4"/>
        <v>0.59057070686113877</v>
      </c>
      <c r="AE8">
        <f t="shared" si="5"/>
        <v>0.54740773450688551</v>
      </c>
      <c r="AF8">
        <f t="shared" ca="1" si="6"/>
        <v>1.3285970633317314</v>
      </c>
    </row>
    <row r="9" spans="1:32">
      <c r="A9" s="112">
        <v>0.9</v>
      </c>
      <c r="B9" s="87">
        <v>9.7415430999999997E-2</v>
      </c>
      <c r="C9" s="41">
        <f>[2]!interpol(A9,[5]CA_CON15_D0!$A$1:$A$21,[5]CA_CON15_D0!$B$1:$B$21)</f>
        <v>0.15785957822778007</v>
      </c>
      <c r="D9" s="41">
        <f>[2]!interpol(D$3,B$3:C$3,B9:C9)</f>
        <v>0.15665069528322448</v>
      </c>
      <c r="E9" s="41"/>
      <c r="F9" s="41">
        <f>[2]!interpol(A9,[5]CA_CON10_D4!$A$1:$A$20,[5]CA_CON10_D4!$B$1:$B$20)</f>
        <v>9.3125273880970583E-2</v>
      </c>
      <c r="G9" s="41">
        <f>[2]!interpol(A9,[5]CA_CON15_D4!$A$1:$A$20,[5]CA_CON15_D4!$B$1:$B$20)</f>
        <v>0.15923914130045311</v>
      </c>
      <c r="H9" s="89">
        <f>[2]!interpol(H$3,F$3:G$3,F9:G9)</f>
        <v>0.15791686395206345</v>
      </c>
      <c r="I9" s="41">
        <f t="shared" si="0"/>
        <v>0.15665069528322448</v>
      </c>
      <c r="J9" s="112">
        <f>[2]!interpol(J$2,H$2:I$2,H9:I9)</f>
        <v>0.15752097265910531</v>
      </c>
      <c r="L9" s="87">
        <f>[2]!interpol(A9,[5]CN_CON10_D0!$A$1:$A$21,[5]CN_CON10_D0!$B$1:$B$21)</f>
        <v>1.7928546830273073</v>
      </c>
      <c r="M9" s="41">
        <f>[2]!interpol(A9,[5]CN_CON15_D0!$A$1:$A$21,[5]CN_CON15_D0!$B$1:$B$21)</f>
        <v>1.5283399018809438</v>
      </c>
      <c r="N9" s="41">
        <f>[2]!interpol(N$3,L$3:M$3,L9:M9)</f>
        <v>1.5336301975038711</v>
      </c>
      <c r="O9" s="41"/>
      <c r="P9" s="41">
        <f>[2]!interpol(A9,[5]CN_CON10_D4!$A$1:$A$20,[5]CN_CON10_D4!$B$1:$B$20)</f>
        <v>1.7452960948984435</v>
      </c>
      <c r="Q9" s="41">
        <f>[2]!interpol(A9,[5]CN_CON15_D4!$A$1:$A$20,[5]CN_CON15_D4!$B$1:$B$20)</f>
        <v>1.5327635338205281</v>
      </c>
      <c r="R9" s="89">
        <f>[2]!interpol(R$3,P$3:Q$3,P9:Q9)</f>
        <v>1.5370141850420864</v>
      </c>
      <c r="S9" s="89">
        <f t="shared" si="1"/>
        <v>1.5336301975038711</v>
      </c>
      <c r="T9" s="41">
        <f>[2]!interpol(T$2,R$2:S$2,R9:S9)</f>
        <v>1.5336301975038711</v>
      </c>
      <c r="U9" s="41">
        <f>[2]!interpol(U$2,R$2:S$2,R9:S9)</f>
        <v>1.5359561181076971</v>
      </c>
      <c r="W9" s="87">
        <f>[2]!interpol($A9,[5]XCP_CON10_D0!$A$1:$A$26,[5]XCP_CON10_D0!$B$1:$B$26)</f>
        <v>0.92242656462505668</v>
      </c>
      <c r="X9" s="41">
        <f>[2]!interpol($A9,[5]XCP_CON15_D0!$A$1:$A$26,[5]XCP_CON15_D0!$B$1:$B$26)</f>
        <v>0.57956445150294011</v>
      </c>
      <c r="Y9" s="41">
        <f t="shared" si="2"/>
        <v>0.58642169376538245</v>
      </c>
      <c r="Z9" s="41"/>
      <c r="AA9" s="41">
        <f>[2]!interpol($A9,[5]XCP_CON10_D4!$A$1:$A$26,[5]XCP_CON10_D4!$B$1:$B$26)</f>
        <v>0.86310964914068555</v>
      </c>
      <c r="AB9" s="41">
        <f>[2]!interpol($A9,[5]XCP_CON15_D4!$A$1:$A$26,[5]XCP_CON15_D4!$B$1:$B$26)</f>
        <v>0.51459922232377731</v>
      </c>
      <c r="AC9" s="89">
        <f t="shared" si="3"/>
        <v>0.52156943086011542</v>
      </c>
      <c r="AD9">
        <f t="shared" si="4"/>
        <v>0.58642169376538245</v>
      </c>
      <c r="AE9">
        <f t="shared" si="5"/>
        <v>0.54184670263652868</v>
      </c>
      <c r="AF9">
        <f t="shared" ca="1" si="6"/>
        <v>1.2808225709408272</v>
      </c>
    </row>
    <row r="10" spans="1:32">
      <c r="A10" s="112">
        <v>0.92</v>
      </c>
      <c r="B10" s="87">
        <v>0.10304187200000001</v>
      </c>
      <c r="C10" s="41">
        <f>[2]!interpol(A10,[5]CA_CON15_D0!$A$1:$A$21,[5]CA_CON15_D0!$B$1:$B$21)</f>
        <v>0.16627664307060844</v>
      </c>
      <c r="D10" s="41">
        <f>[2]!interpol(D$3,B$3:C$3,B10:C10)</f>
        <v>0.16501194764919627</v>
      </c>
      <c r="E10" s="41"/>
      <c r="F10" s="41">
        <f>[2]!interpol(A10,[5]CA_CON10_D4!$A$1:$A$20,[5]CA_CON10_D4!$B$1:$B$20)</f>
        <v>9.8313214173355257E-2</v>
      </c>
      <c r="G10" s="41">
        <f>[2]!interpol(A10,[5]CA_CON15_D4!$A$1:$A$20,[5]CA_CON15_D4!$B$1:$B$20)</f>
        <v>0.16872760318666935</v>
      </c>
      <c r="H10" s="89">
        <f>[2]!interpol(H$3,F$3:G$3,F10:G10)</f>
        <v>0.16731931540640307</v>
      </c>
      <c r="I10" s="41">
        <f t="shared" si="0"/>
        <v>0.16501194764919627</v>
      </c>
      <c r="J10" s="112">
        <f>[2]!interpol(J$2,H$2:I$2,H10:I10)</f>
        <v>0.16659787376342819</v>
      </c>
      <c r="L10" s="87">
        <f>[2]!interpol(A10,[5]CN_CON10_D0!$A$1:$A$21,[5]CN_CON10_D0!$B$1:$B$21)</f>
        <v>1.8067912339467238</v>
      </c>
      <c r="M10" s="41">
        <f>[2]!interpol(A10,[5]CN_CON15_D0!$A$1:$A$21,[5]CN_CON15_D0!$B$1:$B$21)</f>
        <v>1.5249516184971266</v>
      </c>
      <c r="N10" s="41">
        <f>[2]!interpol(N$3,L$3:M$3,L10:M10)</f>
        <v>1.5305884108061185</v>
      </c>
      <c r="O10" s="41"/>
      <c r="P10" s="41">
        <f>[2]!interpol(A10,[5]CN_CON10_D4!$A$1:$A$20,[5]CN_CON10_D4!$B$1:$B$20)</f>
        <v>1.7493982498366429</v>
      </c>
      <c r="Q10" s="41">
        <f>[2]!interpol(A10,[5]CN_CON15_D4!$A$1:$A$20,[5]CN_CON15_D4!$B$1:$B$20)</f>
        <v>1.5341459340167001</v>
      </c>
      <c r="R10" s="89">
        <f>[2]!interpol(R$3,P$3:Q$3,P10:Q10)</f>
        <v>1.538450980333099</v>
      </c>
      <c r="S10" s="89">
        <f t="shared" si="1"/>
        <v>1.5305884108061185</v>
      </c>
      <c r="T10" s="41">
        <f>[2]!interpol(T$2,R$2:S$2,R10:S10)</f>
        <v>1.5305884108061185</v>
      </c>
      <c r="U10" s="41">
        <f>[2]!interpol(U$2,R$2:S$2,R10:S10)</f>
        <v>1.5359926010566129</v>
      </c>
      <c r="W10" s="87">
        <f>[2]!interpol($A10,[5]XCP_CON10_D0!$A$1:$A$26,[5]XCP_CON10_D0!$B$1:$B$26)</f>
        <v>0.91805949412526389</v>
      </c>
      <c r="X10" s="41">
        <f>[2]!interpol($A10,[5]XCP_CON15_D0!$A$1:$A$26,[5]XCP_CON15_D0!$B$1:$B$26)</f>
        <v>0.57882080962758253</v>
      </c>
      <c r="Y10" s="41">
        <f t="shared" si="2"/>
        <v>0.5856055833175362</v>
      </c>
      <c r="Z10" s="41"/>
      <c r="AA10" s="41">
        <f>[2]!interpol($A10,[5]XCP_CON10_D4!$A$1:$A$26,[5]XCP_CON10_D4!$B$1:$B$26)</f>
        <v>0.85980306523605676</v>
      </c>
      <c r="AB10" s="41">
        <f>[2]!interpol($A10,[5]XCP_CON15_D4!$A$1:$A$26,[5]XCP_CON15_D4!$B$1:$B$26)</f>
        <v>0.51339392217488178</v>
      </c>
      <c r="AC10" s="89">
        <f t="shared" si="3"/>
        <v>0.52032210503610521</v>
      </c>
      <c r="AD10">
        <f t="shared" si="4"/>
        <v>0.5856055833175362</v>
      </c>
      <c r="AE10">
        <f t="shared" si="5"/>
        <v>0.54073420435723218</v>
      </c>
      <c r="AF10">
        <f t="shared" ca="1" si="6"/>
        <v>1.2726679068327977</v>
      </c>
    </row>
    <row r="11" spans="1:32">
      <c r="A11" s="112">
        <v>0.94</v>
      </c>
      <c r="B11" s="87">
        <v>0.11093259699999999</v>
      </c>
      <c r="C11" s="41">
        <f>[2]!interpol(A11,[5]CA_CON15_D0!$A$1:$A$21,[5]CA_CON15_D0!$B$1:$B$21)</f>
        <v>0.17469370791343675</v>
      </c>
      <c r="D11" s="41">
        <f>[2]!interpol(D$3,B$3:C$3,B11:C11)</f>
        <v>0.17341848569516802</v>
      </c>
      <c r="E11" s="41"/>
      <c r="F11" s="41">
        <f>[2]!interpol(A11,[5]CA_CON10_D4!$A$1:$A$20,[5]CA_CON10_D4!$B$1:$B$20)</f>
        <v>0.10350115446573989</v>
      </c>
      <c r="G11" s="41">
        <f>[2]!interpol(A11,[5]CA_CON15_D4!$A$1:$A$20,[5]CA_CON15_D4!$B$1:$B$20)</f>
        <v>0.17821606507288551</v>
      </c>
      <c r="H11" s="89">
        <f>[2]!interpol(H$3,F$3:G$3,F11:G11)</f>
        <v>0.17672176686074259</v>
      </c>
      <c r="I11" s="41">
        <f t="shared" si="0"/>
        <v>0.17341848569516802</v>
      </c>
      <c r="J11" s="112">
        <f>[2]!interpol(J$2,H$2:I$2,H11:I11)</f>
        <v>0.17568893428177607</v>
      </c>
      <c r="L11" s="87">
        <f>[2]!interpol(A11,[5]CN_CON10_D0!$A$1:$A$21,[5]CN_CON10_D0!$B$1:$B$21)</f>
        <v>1.8068683919300186</v>
      </c>
      <c r="M11" s="41">
        <f>[2]!interpol(A11,[5]CN_CON15_D0!$A$1:$A$21,[5]CN_CON15_D0!$B$1:$B$21)</f>
        <v>1.5194434221577069</v>
      </c>
      <c r="N11" s="41">
        <f>[2]!interpol(N$3,L$3:M$3,L11:M11)</f>
        <v>1.5251919215531531</v>
      </c>
      <c r="O11" s="41"/>
      <c r="P11" s="41">
        <f>[2]!interpol(A11,[5]CN_CON10_D4!$A$1:$A$20,[5]CN_CON10_D4!$B$1:$B$20)</f>
        <v>1.7535004047748424</v>
      </c>
      <c r="Q11" s="41">
        <f>[2]!interpol(A11,[5]CN_CON15_D4!$A$1:$A$20,[5]CN_CON15_D4!$B$1:$B$20)</f>
        <v>1.5329338112676056</v>
      </c>
      <c r="R11" s="89">
        <f>[2]!interpol(R$3,P$3:Q$3,P11:Q11)</f>
        <v>1.5373451431377503</v>
      </c>
      <c r="S11" s="89">
        <f t="shared" si="1"/>
        <v>1.5251919215531531</v>
      </c>
      <c r="T11" s="41">
        <f>[2]!interpol(T$2,R$2:S$2,R11:S11)</f>
        <v>1.5251919215531531</v>
      </c>
      <c r="U11" s="41">
        <f>[2]!interpol(U$2,R$2:S$2,R11:S11)</f>
        <v>1.5335452113236541</v>
      </c>
      <c r="W11" s="87">
        <f>[2]!interpol($A11,[5]XCP_CON10_D0!$A$1:$A$26,[5]XCP_CON10_D0!$B$1:$B$26)</f>
        <v>0.91352825541521698</v>
      </c>
      <c r="X11" s="41">
        <f>[2]!interpol($A11,[5]XCP_CON15_D0!$A$1:$A$26,[5]XCP_CON15_D0!$B$1:$B$26)</f>
        <v>0.57807716775222495</v>
      </c>
      <c r="Y11" s="41">
        <f t="shared" si="2"/>
        <v>0.58478618950548478</v>
      </c>
      <c r="Z11" s="41"/>
      <c r="AA11" s="41">
        <f>[2]!interpol($A11,[5]XCP_CON10_D4!$A$1:$A$26,[5]XCP_CON10_D4!$B$1:$B$26)</f>
        <v>0.85925789767324634</v>
      </c>
      <c r="AB11" s="41">
        <f>[2]!interpol($A11,[5]XCP_CON15_D4!$A$1:$A$26,[5]XCP_CON15_D4!$B$1:$B$26)</f>
        <v>0.5132380816873966</v>
      </c>
      <c r="AC11" s="89">
        <f t="shared" si="3"/>
        <v>0.52015847800711357</v>
      </c>
      <c r="AD11">
        <f t="shared" si="4"/>
        <v>0.58478618950548478</v>
      </c>
      <c r="AE11">
        <f t="shared" si="5"/>
        <v>0.54036553959036748</v>
      </c>
      <c r="AF11">
        <f t="shared" ca="1" si="6"/>
        <v>1.2641774684120397</v>
      </c>
    </row>
    <row r="12" spans="1:32">
      <c r="A12" s="112">
        <v>0.96</v>
      </c>
      <c r="B12" s="87">
        <v>0.11882332299999999</v>
      </c>
      <c r="C12" s="41">
        <f>[2]!interpol(A12,[5]CA_CON15_D0!$A$1:$A$21,[5]CA_CON15_D0!$B$1:$B$21)</f>
        <v>0.18311077275626511</v>
      </c>
      <c r="D12" s="41">
        <f>[2]!interpol(D$3,B$3:C$3,B12:C12)</f>
        <v>0.18182502376113982</v>
      </c>
      <c r="E12" s="41"/>
      <c r="F12" s="41">
        <f>[2]!interpol(A12,[5]CA_CON10_D4!$A$1:$A$20,[5]CA_CON10_D4!$B$1:$B$20)</f>
        <v>0.10981579587845787</v>
      </c>
      <c r="G12" s="41">
        <f>[2]!interpol(A12,[5]CA_CON15_D4!$A$1:$A$20,[5]CA_CON15_D4!$B$1:$B$20)</f>
        <v>0.18770452695910173</v>
      </c>
      <c r="H12" s="89">
        <f>[2]!interpol(H$3,F$3:G$3,F12:G12)</f>
        <v>0.18614675233748884</v>
      </c>
      <c r="I12" s="41">
        <f t="shared" si="0"/>
        <v>0.18182502376113982</v>
      </c>
      <c r="J12" s="112">
        <f>[2]!interpol(J$2,H$2:I$2,H12:I12)</f>
        <v>0.18479548314562533</v>
      </c>
      <c r="L12" s="87">
        <f>[2]!interpol(A12,[5]CN_CON10_D0!$A$1:$A$21,[5]CN_CON10_D0!$B$1:$B$21)</f>
        <v>1.8069455499133136</v>
      </c>
      <c r="M12" s="41">
        <f>[2]!interpol(A12,[5]CN_CON15_D0!$A$1:$A$21,[5]CN_CON15_D0!$B$1:$B$21)</f>
        <v>1.5139352258182872</v>
      </c>
      <c r="N12" s="41">
        <f>[2]!interpol(N$3,L$3:M$3,L12:M12)</f>
        <v>1.5197954323001877</v>
      </c>
      <c r="O12" s="41"/>
      <c r="P12" s="41">
        <f>[2]!interpol(A12,[5]CN_CON10_D4!$A$1:$A$20,[5]CN_CON10_D4!$B$1:$B$20)</f>
        <v>1.7493477386827425</v>
      </c>
      <c r="Q12" s="41">
        <f>[2]!interpol(A12,[5]CN_CON15_D4!$A$1:$A$20,[5]CN_CON15_D4!$B$1:$B$20)</f>
        <v>1.5297498665053348</v>
      </c>
      <c r="R12" s="89">
        <f>[2]!interpol(R$3,P$3:Q$3,P12:Q12)</f>
        <v>1.5341418239488829</v>
      </c>
      <c r="S12" s="89">
        <f t="shared" si="1"/>
        <v>1.5197954323001877</v>
      </c>
      <c r="T12" s="41">
        <f>[2]!interpol(T$2,R$2:S$2,R12:S12)</f>
        <v>1.5197954323001877</v>
      </c>
      <c r="U12" s="41">
        <f>[2]!interpol(U$2,R$2:S$2,R12:S12)</f>
        <v>1.5296561565343718</v>
      </c>
      <c r="W12" s="87">
        <f>[2]!interpol($A12,[5]XCP_CON10_D0!$A$1:$A$26,[5]XCP_CON10_D0!$B$1:$B$26)</f>
        <v>0.91153686712296811</v>
      </c>
      <c r="X12" s="41">
        <f>[2]!interpol($A12,[5]XCP_CON15_D0!$A$1:$A$26,[5]XCP_CON15_D0!$B$1:$B$26)</f>
        <v>0.57733352587686726</v>
      </c>
      <c r="Y12" s="41">
        <f t="shared" si="2"/>
        <v>0.58401759270178921</v>
      </c>
      <c r="Z12" s="41"/>
      <c r="AA12" s="41">
        <f>[2]!interpol($A12,[5]XCP_CON10_D4!$A$1:$A$26,[5]XCP_CON10_D4!$B$1:$B$26)</f>
        <v>0.85877985130620271</v>
      </c>
      <c r="AB12" s="41">
        <f>[2]!interpol($A12,[5]XCP_CON15_D4!$A$1:$A$26,[5]XCP_CON15_D4!$B$1:$B$26)</f>
        <v>0.51311033296561626</v>
      </c>
      <c r="AC12" s="89">
        <f t="shared" si="3"/>
        <v>0.52002372333242797</v>
      </c>
      <c r="AD12">
        <f t="shared" si="4"/>
        <v>0.58401759270178921</v>
      </c>
      <c r="AE12">
        <f t="shared" si="5"/>
        <v>0.54003260233056449</v>
      </c>
      <c r="AF12">
        <f t="shared" ca="1" si="6"/>
        <v>1.260881802640321</v>
      </c>
    </row>
    <row r="13" spans="1:32">
      <c r="A13" s="112">
        <v>0.98</v>
      </c>
      <c r="B13" s="87">
        <v>0.126929818</v>
      </c>
      <c r="C13" s="41">
        <f>[2]!interpol(A13,[5]CA_CON15_D0!$A$1:$A$21,[5]CA_CON15_D0!$B$1:$B$21)</f>
        <v>0.19152783759909348</v>
      </c>
      <c r="D13" s="41">
        <f>[2]!interpol(D$3,B$3:C$3,B13:C13)</f>
        <v>0.1902358772071116</v>
      </c>
      <c r="E13" s="41"/>
      <c r="F13" s="41">
        <f>[2]!interpol(A13,[5]CA_CON10_D4!$A$1:$A$20,[5]CA_CON10_D4!$B$1:$B$20)</f>
        <v>0.1161431416624068</v>
      </c>
      <c r="G13" s="41">
        <f>[2]!interpol(A13,[5]CA_CON15_D4!$A$1:$A$20,[5]CA_CON15_D4!$B$1:$B$20)</f>
        <v>0.19719298884531797</v>
      </c>
      <c r="H13" s="89">
        <f>[2]!interpol(H$3,F$3:G$3,F13:G13)</f>
        <v>0.19557199190165975</v>
      </c>
      <c r="I13" s="41">
        <f t="shared" si="0"/>
        <v>0.1902358772071116</v>
      </c>
      <c r="J13" s="112">
        <f>[2]!interpol(J$2,H$2:I$2,H13:I13)</f>
        <v>0.19390355593590908</v>
      </c>
      <c r="L13" s="87">
        <f>[2]!interpol(A13,[5]CN_CON10_D0!$A$1:$A$21,[5]CN_CON10_D0!$B$1:$B$21)</f>
        <v>1.8153339726280902</v>
      </c>
      <c r="M13" s="41">
        <f>[2]!interpol(A13,[5]CN_CON15_D0!$A$1:$A$21,[5]CN_CON15_D0!$B$1:$B$21)</f>
        <v>1.5084270294788673</v>
      </c>
      <c r="N13" s="41">
        <f>[2]!interpol(N$3,L$3:M$3,L13:M13)</f>
        <v>1.5145651683418517</v>
      </c>
      <c r="O13" s="41"/>
      <c r="P13" s="41">
        <f>[2]!interpol(A13,[5]CN_CON10_D4!$A$1:$A$20,[5]CN_CON10_D4!$B$1:$B$20)</f>
        <v>1.7434968914150537</v>
      </c>
      <c r="Q13" s="41">
        <f>[2]!interpol(A13,[5]CN_CON15_D4!$A$1:$A$20,[5]CN_CON15_D4!$B$1:$B$20)</f>
        <v>1.5238464455395446</v>
      </c>
      <c r="R13" s="89">
        <f>[2]!interpol(R$3,P$3:Q$3,P13:Q13)</f>
        <v>1.5282394544570548</v>
      </c>
      <c r="S13" s="89">
        <f t="shared" si="1"/>
        <v>1.5145651683418517</v>
      </c>
      <c r="T13" s="41">
        <f>[2]!interpol(T$2,R$2:S$2,R13:S13)</f>
        <v>1.5145651683418517</v>
      </c>
      <c r="U13" s="41">
        <f>[2]!interpol(U$2,R$2:S$2,R13:S13)</f>
        <v>1.5239639333960326</v>
      </c>
      <c r="W13" s="87">
        <f>[2]!interpol($A13,[5]XCP_CON10_D0!$A$1:$A$26,[5]XCP_CON10_D0!$B$1:$B$26)</f>
        <v>0.9116945938070663</v>
      </c>
      <c r="X13" s="41">
        <f>[2]!interpol($A13,[5]XCP_CON15_D0!$A$1:$A$26,[5]XCP_CON15_D0!$B$1:$B$26)</f>
        <v>0.57658988400150968</v>
      </c>
      <c r="Y13" s="41">
        <f t="shared" si="2"/>
        <v>0.58329197819762069</v>
      </c>
      <c r="Z13" s="41"/>
      <c r="AA13" s="41">
        <f>[2]!interpol($A13,[5]XCP_CON10_D4!$A$1:$A$26,[5]XCP_CON10_D4!$B$1:$B$26)</f>
        <v>0.86225133139684984</v>
      </c>
      <c r="AB13" s="41">
        <f>[2]!interpol($A13,[5]XCP_CON15_D4!$A$1:$A$26,[5]XCP_CON15_D4!$B$1:$B$26)</f>
        <v>0.51298258424383592</v>
      </c>
      <c r="AC13" s="89">
        <f t="shared" si="3"/>
        <v>0.5199679591868962</v>
      </c>
      <c r="AD13">
        <f t="shared" si="4"/>
        <v>0.58329197819762069</v>
      </c>
      <c r="AE13">
        <f t="shared" si="5"/>
        <v>0.5397673969541007</v>
      </c>
      <c r="AF13">
        <f t="shared" ca="1" si="6"/>
        <v>1.2619817357670788</v>
      </c>
    </row>
    <row r="14" spans="1:32">
      <c r="A14" s="112">
        <v>1</v>
      </c>
      <c r="B14" s="87">
        <v>0.13511065899999999</v>
      </c>
      <c r="C14" s="41">
        <f>[2]!interpol(A14,[5]CA_CON15_D0!$A$1:$A$21,[5]CA_CON15_D0!$B$1:$B$21)</f>
        <v>0.20268113106435348</v>
      </c>
      <c r="D14" s="41">
        <f>[2]!interpol(D$3,B$3:C$3,B14:C14)</f>
        <v>0.20132972162306639</v>
      </c>
      <c r="E14" s="41"/>
      <c r="F14" s="41">
        <f>[2]!interpol(A14,[5]CA_CON10_D4!$A$1:$A$20,[5]CA_CON10_D4!$B$1:$B$20)</f>
        <v>0.12247048744635573</v>
      </c>
      <c r="G14" s="41">
        <f>[2]!interpol(A14,[5]CA_CON15_D4!$A$1:$A$20,[5]CA_CON15_D4!$B$1:$B$20)</f>
        <v>0.20668145073153421</v>
      </c>
      <c r="H14" s="89">
        <f>[2]!interpol(H$3,F$3:G$3,F14:G14)</f>
        <v>0.20499723146583065</v>
      </c>
      <c r="I14" s="41">
        <f t="shared" si="0"/>
        <v>0.20132972162306639</v>
      </c>
      <c r="J14" s="112">
        <f>[2]!interpol(J$2,H$2:I$2,H14:I14)</f>
        <v>0.20385051598524623</v>
      </c>
      <c r="L14" s="87">
        <f>[2]!interpol(A14,[5]CN_CON10_D0!$A$1:$A$21,[5]CN_CON10_D0!$B$1:$B$21)</f>
        <v>1.8242310862864246</v>
      </c>
      <c r="M14" s="41">
        <f>[2]!interpol(A14,[5]CN_CON15_D0!$A$1:$A$21,[5]CN_CON15_D0!$B$1:$B$21)</f>
        <v>1.5035653936799185</v>
      </c>
      <c r="N14" s="41">
        <f>[2]!interpol(N$3,L$3:M$3,L14:M14)</f>
        <v>1.5099787075320485</v>
      </c>
      <c r="O14" s="41"/>
      <c r="P14" s="41">
        <f>[2]!interpol(A14,[5]CN_CON10_D4!$A$1:$A$20,[5]CN_CON10_D4!$B$1:$B$20)</f>
        <v>1.7349970512060748</v>
      </c>
      <c r="Q14" s="41">
        <f>[2]!interpol(A14,[5]CN_CON15_D4!$A$1:$A$20,[5]CN_CON15_D4!$B$1:$B$20)</f>
        <v>1.5179430245737542</v>
      </c>
      <c r="R14" s="89">
        <f>[2]!interpol(R$3,P$3:Q$3,P14:Q14)</f>
        <v>1.5222841051064007</v>
      </c>
      <c r="S14" s="89">
        <f t="shared" si="1"/>
        <v>1.5099787075320485</v>
      </c>
      <c r="T14" s="41">
        <f>[2]!interpol(T$2,R$2:S$2,R14:S14)</f>
        <v>1.5099787075320485</v>
      </c>
      <c r="U14" s="41">
        <f>[2]!interpol(U$2,R$2:S$2,R14:S14)</f>
        <v>1.5184365926256651</v>
      </c>
      <c r="W14" s="87">
        <f>[2]!interpol($A14,[5]XCP_CON10_D0!$A$1:$A$26,[5]XCP_CON10_D0!$B$1:$B$26)</f>
        <v>0.91281510357386431</v>
      </c>
      <c r="X14" s="41">
        <f>[2]!interpol($A14,[5]XCP_CON15_D0!$A$1:$A$26,[5]XCP_CON15_D0!$B$1:$B$26)</f>
        <v>0.57584624212615199</v>
      </c>
      <c r="Y14" s="41">
        <f t="shared" si="2"/>
        <v>0.58258561935510622</v>
      </c>
      <c r="Z14" s="41"/>
      <c r="AA14" s="41">
        <f>[2]!interpol($A14,[5]XCP_CON10_D4!$A$1:$A$26,[5]XCP_CON10_D4!$B$1:$B$26)</f>
        <v>0.86651006418270948</v>
      </c>
      <c r="AB14" s="41">
        <f>[2]!interpol($A14,[5]XCP_CON15_D4!$A$1:$A$26,[5]XCP_CON15_D4!$B$1:$B$26)</f>
        <v>0.51412322803744925</v>
      </c>
      <c r="AC14" s="89">
        <f t="shared" si="3"/>
        <v>0.5211709647603544</v>
      </c>
      <c r="AD14">
        <f t="shared" si="4"/>
        <v>0.58258561935510622</v>
      </c>
      <c r="AE14">
        <f t="shared" si="5"/>
        <v>0.54037340406600265</v>
      </c>
      <c r="AF14">
        <f t="shared" ca="1" si="6"/>
        <v>1.2650508554214839</v>
      </c>
    </row>
    <row r="15" spans="1:32">
      <c r="A15" s="112">
        <v>1.02</v>
      </c>
      <c r="B15" s="87">
        <v>0.14329149999999999</v>
      </c>
      <c r="C15" s="41">
        <f>[2]!interpol(A15,[5]CA_CON15_D0!$A$1:$A$21,[5]CA_CON15_D0!$B$1:$B$21)</f>
        <v>0.21666325574779294</v>
      </c>
      <c r="D15" s="41">
        <f>[2]!interpol(D$3,B$3:C$3,B15:C15)</f>
        <v>0.2151958206328371</v>
      </c>
      <c r="E15" s="41"/>
      <c r="F15" s="41">
        <f>[2]!interpol(A15,[5]CA_CON10_D4!$A$1:$A$20,[5]CA_CON10_D4!$B$1:$B$20)</f>
        <v>0.12879783323030466</v>
      </c>
      <c r="G15" s="41">
        <f>[2]!interpol(A15,[5]CA_CON15_D4!$A$1:$A$20,[5]CA_CON15_D4!$B$1:$B$20)</f>
        <v>0.21827707940042315</v>
      </c>
      <c r="H15" s="89">
        <f>[2]!interpol(H$3,F$3:G$3,F15:G15)</f>
        <v>0.21648749447702079</v>
      </c>
      <c r="I15" s="41">
        <f t="shared" si="0"/>
        <v>0.2151958206328371</v>
      </c>
      <c r="J15" s="112">
        <f>[2]!interpol(J$2,H$2:I$2,H15:I15)</f>
        <v>0.2160836285144212</v>
      </c>
      <c r="L15" s="87">
        <f>[2]!interpol(A15,[5]CN_CON10_D0!$A$1:$A$21,[5]CN_CON10_D0!$B$1:$B$21)</f>
        <v>1.8331281999447591</v>
      </c>
      <c r="M15" s="41">
        <f>[2]!interpol(A15,[5]CN_CON15_D0!$A$1:$A$21,[5]CN_CON15_D0!$B$1:$B$21)</f>
        <v>1.4987575445463812</v>
      </c>
      <c r="N15" s="41">
        <f>[2]!interpol(N$3,L$3:M$3,L15:M15)</f>
        <v>1.5054449576543487</v>
      </c>
      <c r="O15" s="41"/>
      <c r="P15" s="41">
        <f>[2]!interpol(A15,[5]CN_CON10_D4!$A$1:$A$20,[5]CN_CON10_D4!$B$1:$B$20)</f>
        <v>1.726497210997096</v>
      </c>
      <c r="Q15" s="41">
        <f>[2]!interpol(A15,[5]CN_CON15_D4!$A$1:$A$20,[5]CN_CON15_D4!$B$1:$B$20)</f>
        <v>1.5127048386054029</v>
      </c>
      <c r="R15" s="89">
        <f>[2]!interpol(R$3,P$3:Q$3,P15:Q15)</f>
        <v>1.5169806860532369</v>
      </c>
      <c r="S15" s="89">
        <f t="shared" si="1"/>
        <v>1.5054449576543487</v>
      </c>
      <c r="T15" s="41">
        <f>[2]!interpol(T$2,R$2:S$2,R15:S15)</f>
        <v>1.5054449576543487</v>
      </c>
      <c r="U15" s="41">
        <f>[2]!interpol(U$2,R$2:S$2,R15:S15)</f>
        <v>1.5133738250216513</v>
      </c>
      <c r="W15" s="87">
        <f>[2]!interpol($A15,[5]XCP_CON10_D0!$A$1:$A$26,[5]XCP_CON10_D0!$B$1:$B$26)</f>
        <v>0.91393561334066231</v>
      </c>
      <c r="X15" s="41">
        <f>[2]!interpol($A15,[5]XCP_CON15_D0!$A$1:$A$26,[5]XCP_CON15_D0!$B$1:$B$26)</f>
        <v>0.5751026002507944</v>
      </c>
      <c r="Y15" s="41">
        <f t="shared" si="2"/>
        <v>0.58187926051259176</v>
      </c>
      <c r="Z15" s="41"/>
      <c r="AA15" s="41">
        <f>[2]!interpol($A15,[5]XCP_CON10_D4!$A$1:$A$26,[5]XCP_CON10_D4!$B$1:$B$26)</f>
        <v>0.87076879696856913</v>
      </c>
      <c r="AB15" s="41">
        <f>[2]!interpol($A15,[5]XCP_CON15_D4!$A$1:$A$26,[5]XCP_CON15_D4!$B$1:$B$26)</f>
        <v>0.51625650914809373</v>
      </c>
      <c r="AC15" s="89">
        <f t="shared" si="3"/>
        <v>0.52334675490450322</v>
      </c>
      <c r="AD15">
        <f t="shared" si="4"/>
        <v>0.58187926051259176</v>
      </c>
      <c r="AE15">
        <f t="shared" si="5"/>
        <v>0.54164803647587079</v>
      </c>
      <c r="AF15">
        <f t="shared" ca="1" si="6"/>
        <v>1.2681199750758887</v>
      </c>
    </row>
    <row r="16" spans="1:32">
      <c r="A16" s="112">
        <v>1.04</v>
      </c>
      <c r="B16" s="87">
        <v>0.15147234000000001</v>
      </c>
      <c r="C16" s="41">
        <f>[2]!interpol(A16,[5]CA_CON15_D0!$A$1:$A$21,[5]CA_CON15_D0!$B$1:$B$21)</f>
        <v>0.23064538043123239</v>
      </c>
      <c r="D16" s="41">
        <f>[2]!interpol(D$3,B$3:C$3,B16:C16)</f>
        <v>0.22906191962260775</v>
      </c>
      <c r="E16" s="41"/>
      <c r="F16" s="41">
        <f>[2]!interpol(A16,[5]CA_CON10_D4!$A$1:$A$20,[5]CA_CON10_D4!$B$1:$B$20)</f>
        <v>0.13496716620511015</v>
      </c>
      <c r="G16" s="41">
        <f>[2]!interpol(A16,[5]CA_CON15_D4!$A$1:$A$20,[5]CA_CON15_D4!$B$1:$B$20)</f>
        <v>0.23012889568622744</v>
      </c>
      <c r="H16" s="89">
        <f>[2]!interpol(H$3,F$3:G$3,F16:G16)</f>
        <v>0.22822566109660508</v>
      </c>
      <c r="I16" s="41">
        <f t="shared" si="0"/>
        <v>0.22906191962260775</v>
      </c>
      <c r="J16" s="112">
        <f>[2]!interpol(J$2,H$2:I$2,H16:I16)</f>
        <v>0.22848713295043799</v>
      </c>
      <c r="L16" s="87">
        <f>[2]!interpol(A16,[5]CN_CON10_D0!$A$1:$A$21,[5]CN_CON10_D0!$B$1:$B$21)</f>
        <v>1.8420253136030935</v>
      </c>
      <c r="M16" s="41">
        <f>[2]!interpol(A16,[5]CN_CON15_D0!$A$1:$A$21,[5]CN_CON15_D0!$B$1:$B$21)</f>
        <v>1.5013725889331524</v>
      </c>
      <c r="N16" s="41">
        <f>[2]!interpol(N$3,L$3:M$3,L16:M16)</f>
        <v>1.5081856434265513</v>
      </c>
      <c r="O16" s="41"/>
      <c r="P16" s="41">
        <f>[2]!interpol(A16,[5]CN_CON10_D4!$A$1:$A$20,[5]CN_CON10_D4!$B$1:$B$20)</f>
        <v>1.7206781143725529</v>
      </c>
      <c r="Q16" s="41">
        <f>[2]!interpol(A16,[5]CN_CON15_D4!$A$1:$A$20,[5]CN_CON15_D4!$B$1:$B$20)</f>
        <v>1.5081440020920502</v>
      </c>
      <c r="R16" s="89">
        <f>[2]!interpol(R$3,P$3:Q$3,P16:Q16)</f>
        <v>1.5123946843376603</v>
      </c>
      <c r="S16" s="89">
        <f t="shared" si="1"/>
        <v>1.5081856434265513</v>
      </c>
      <c r="T16" s="41">
        <f>[2]!interpol(T$2,R$2:S$2,R16:S16)</f>
        <v>1.5081856434265513</v>
      </c>
      <c r="U16" s="41">
        <f>[2]!interpol(U$2,R$2:S$2,R16:S16)</f>
        <v>1.5110786490499284</v>
      </c>
      <c r="W16" s="87">
        <f>[2]!interpol($A16,[5]XCP_CON10_D0!$A$1:$A$26,[5]XCP_CON10_D0!$B$1:$B$26)</f>
        <v>0.91499123790163306</v>
      </c>
      <c r="X16" s="41">
        <f>[2]!interpol($A16,[5]XCP_CON15_D0!$A$1:$A$26,[5]XCP_CON15_D0!$B$1:$B$26)</f>
        <v>0.57435895837543671</v>
      </c>
      <c r="Y16" s="41">
        <f t="shared" si="2"/>
        <v>0.58117160396596057</v>
      </c>
      <c r="Z16" s="41"/>
      <c r="AA16" s="41">
        <f>[2]!interpol($A16,[5]XCP_CON10_D4!$A$1:$A$26,[5]XCP_CON10_D4!$B$1:$B$26)</f>
        <v>0.87502752975442877</v>
      </c>
      <c r="AB16" s="41">
        <f>[2]!interpol($A16,[5]XCP_CON15_D4!$A$1:$A$26,[5]XCP_CON15_D4!$B$1:$B$26)</f>
        <v>0.51847276352345906</v>
      </c>
      <c r="AC16" s="89">
        <f t="shared" si="3"/>
        <v>0.52560385884807848</v>
      </c>
      <c r="AD16">
        <f t="shared" si="4"/>
        <v>0.58117160396596057</v>
      </c>
      <c r="AE16">
        <f t="shared" si="5"/>
        <v>0.54297815265496807</v>
      </c>
      <c r="AF16">
        <f t="shared" ca="1" si="6"/>
        <v>1.2710563845950051</v>
      </c>
    </row>
    <row r="17" spans="1:32">
      <c r="A17" s="112">
        <v>1.06</v>
      </c>
      <c r="B17" s="87">
        <v>0.15965318100000001</v>
      </c>
      <c r="C17" s="41">
        <f>[2]!interpol(A17,[5]CA_CON15_D0!$A$1:$A$21,[5]CA_CON15_D0!$B$1:$B$21)</f>
        <v>0.24521366853768772</v>
      </c>
      <c r="D17" s="41">
        <f>[2]!interpol(D$3,B$3:C$3,B17:C17)</f>
        <v>0.24350245878693397</v>
      </c>
      <c r="E17" s="41"/>
      <c r="F17" s="41">
        <f>[2]!interpol(A17,[5]CA_CON10_D4!$A$1:$A$20,[5]CA_CON10_D4!$B$1:$B$20)</f>
        <v>0.14109268185859103</v>
      </c>
      <c r="G17" s="41">
        <f>[2]!interpol(A17,[5]CA_CON15_D4!$A$1:$A$20,[5]CA_CON15_D4!$B$1:$B$20)</f>
        <v>0.24198071197203175</v>
      </c>
      <c r="H17" s="89">
        <f>[2]!interpol(H$3,F$3:G$3,F17:G17)</f>
        <v>0.23996295136976292</v>
      </c>
      <c r="I17" s="41">
        <f t="shared" si="0"/>
        <v>0.24350245878693397</v>
      </c>
      <c r="J17" s="112">
        <f>[2]!interpol(J$2,H$2:I$2,H17:I17)</f>
        <v>0.24106964450023161</v>
      </c>
      <c r="L17" s="87">
        <f>[2]!interpol(A17,[5]CN_CON10_D0!$A$1:$A$21,[5]CN_CON10_D0!$B$1:$B$21)</f>
        <v>1.850922427261428</v>
      </c>
      <c r="M17" s="41">
        <f>[2]!interpol(A17,[5]CN_CON15_D0!$A$1:$A$21,[5]CN_CON15_D0!$B$1:$B$21)</f>
        <v>1.5089031925951906</v>
      </c>
      <c r="N17" s="41">
        <f>[2]!interpol(N$3,L$3:M$3,L17:M17)</f>
        <v>1.5157435772885153</v>
      </c>
      <c r="O17" s="41"/>
      <c r="P17" s="41">
        <f>[2]!interpol(A17,[5]CN_CON10_D4!$A$1:$A$20,[5]CN_CON10_D4!$B$1:$B$20)</f>
        <v>1.7215335126365652</v>
      </c>
      <c r="Q17" s="41">
        <f>[2]!interpol(A17,[5]CN_CON15_D4!$A$1:$A$20,[5]CN_CON15_D4!$B$1:$B$20)</f>
        <v>1.5095348807700721</v>
      </c>
      <c r="R17" s="89">
        <f>[2]!interpol(R$3,P$3:Q$3,P17:Q17)</f>
        <v>1.513774853407402</v>
      </c>
      <c r="S17" s="89">
        <f t="shared" si="1"/>
        <v>1.5157435772885153</v>
      </c>
      <c r="T17" s="41">
        <f>[2]!interpol(T$2,R$2:S$2,R17:S17)</f>
        <v>1.5157435772885153</v>
      </c>
      <c r="U17" s="41">
        <f>[2]!interpol(U$2,R$2:S$2,R17:S17)</f>
        <v>1.5143904117148794</v>
      </c>
      <c r="W17" s="87">
        <f>[2]!interpol($A17,[5]XCP_CON10_D0!$A$1:$A$26,[5]XCP_CON10_D0!$B$1:$B$26)</f>
        <v>0.91555215124042588</v>
      </c>
      <c r="X17" s="41">
        <f>[2]!interpol($A17,[5]XCP_CON15_D0!$A$1:$A$26,[5]XCP_CON15_D0!$B$1:$B$26)</f>
        <v>0.57361531650007913</v>
      </c>
      <c r="Y17" s="41">
        <f t="shared" si="2"/>
        <v>0.58045405319488608</v>
      </c>
      <c r="Z17" s="41"/>
      <c r="AA17" s="41">
        <f>[2]!interpol($A17,[5]XCP_CON10_D4!$A$1:$A$26,[5]XCP_CON10_D4!$B$1:$B$26)</f>
        <v>0.87928626254028841</v>
      </c>
      <c r="AB17" s="41">
        <f>[2]!interpol($A17,[5]XCP_CON15_D4!$A$1:$A$26,[5]XCP_CON15_D4!$B$1:$B$26)</f>
        <v>0.5200504145813386</v>
      </c>
      <c r="AC17" s="89">
        <f t="shared" si="3"/>
        <v>0.52723513154051749</v>
      </c>
      <c r="AD17">
        <f t="shared" si="4"/>
        <v>0.58045405319488608</v>
      </c>
      <c r="AE17">
        <f t="shared" si="5"/>
        <v>0.54387502180324621</v>
      </c>
      <c r="AF17">
        <f t="shared" ca="1" si="6"/>
        <v>1.2729809580201004</v>
      </c>
    </row>
    <row r="18" spans="1:32">
      <c r="A18" s="112">
        <v>1.08</v>
      </c>
      <c r="B18" s="87">
        <v>0.166518678</v>
      </c>
      <c r="C18" s="41">
        <f>[2]!interpol(A18,[5]CA_CON15_D0!$A$1:$A$21,[5]CA_CON15_D0!$B$1:$B$21)</f>
        <v>0.26444815364241636</v>
      </c>
      <c r="D18" s="41">
        <f>[2]!interpol(D$3,B$3:C$3,B18:C18)</f>
        <v>0.26248956412956803</v>
      </c>
      <c r="E18" s="41"/>
      <c r="F18" s="41">
        <f>[2]!interpol(A18,[5]CA_CON10_D4!$A$1:$A$20,[5]CA_CON10_D4!$B$1:$B$20)</f>
        <v>0.14721819751207191</v>
      </c>
      <c r="G18" s="41">
        <f>[2]!interpol(A18,[5]CA_CON15_D4!$A$1:$A$20,[5]CA_CON15_D4!$B$1:$B$20)</f>
        <v>0.2534731536599022</v>
      </c>
      <c r="H18" s="89">
        <f>[2]!interpol(H$3,F$3:G$3,F18:G18)</f>
        <v>0.25134805453694559</v>
      </c>
      <c r="I18" s="41">
        <f t="shared" si="0"/>
        <v>0.26248956412956803</v>
      </c>
      <c r="J18" s="112">
        <f>[2]!interpol(J$2,H$2:I$2,H18:I18)</f>
        <v>0.25483165569268523</v>
      </c>
      <c r="L18" s="87">
        <f>[2]!interpol(A18,[5]CN_CON10_D0!$A$1:$A$21,[5]CN_CON10_D0!$B$1:$B$21)</f>
        <v>1.8598195409197624</v>
      </c>
      <c r="M18" s="41">
        <f>[2]!interpol(A18,[5]CN_CON15_D0!$A$1:$A$21,[5]CN_CON15_D0!$B$1:$B$21)</f>
        <v>1.5174535773033166</v>
      </c>
      <c r="N18" s="41">
        <f>[2]!interpol(N$3,L$3:M$3,L18:M18)</f>
        <v>1.5243008965756455</v>
      </c>
      <c r="O18" s="41"/>
      <c r="P18" s="41">
        <f>[2]!interpol(A18,[5]CN_CON10_D4!$A$1:$A$20,[5]CN_CON10_D4!$B$1:$B$20)</f>
        <v>1.7321873386996132</v>
      </c>
      <c r="Q18" s="41">
        <f>[2]!interpol(A18,[5]CN_CON15_D4!$A$1:$A$20,[5]CN_CON15_D4!$B$1:$B$20)</f>
        <v>1.5146413240146654</v>
      </c>
      <c r="R18" s="89">
        <f>[2]!interpol(R$3,P$3:Q$3,P18:Q18)</f>
        <v>1.5189922443083643</v>
      </c>
      <c r="S18" s="89">
        <f t="shared" si="1"/>
        <v>1.5243008965756455</v>
      </c>
      <c r="T18" s="41">
        <f>[2]!interpol(T$2,R$2:S$2,R18:S18)</f>
        <v>1.5243008965756455</v>
      </c>
      <c r="U18" s="41">
        <f>[2]!interpol(U$2,R$2:S$2,R18:S18)</f>
        <v>1.5206520936330883</v>
      </c>
      <c r="W18" s="87">
        <f>[2]!interpol($A18,[5]XCP_CON10_D0!$A$1:$A$26,[5]XCP_CON10_D0!$B$1:$B$26)</f>
        <v>0.91611306457921859</v>
      </c>
      <c r="X18" s="41">
        <f>[2]!interpol($A18,[5]XCP_CON15_D0!$A$1:$A$26,[5]XCP_CON15_D0!$B$1:$B$26)</f>
        <v>0.5724934929491805</v>
      </c>
      <c r="Y18" s="41">
        <f t="shared" si="2"/>
        <v>0.57936588438178127</v>
      </c>
      <c r="Z18" s="41"/>
      <c r="AA18" s="41">
        <f>[2]!interpol($A18,[5]XCP_CON10_D4!$A$1:$A$26,[5]XCP_CON10_D4!$B$1:$B$26)</f>
        <v>0.88354499532614805</v>
      </c>
      <c r="AB18" s="41">
        <f>[2]!interpol($A18,[5]XCP_CON15_D4!$A$1:$A$26,[5]XCP_CON15_D4!$B$1:$B$26)</f>
        <v>0.51696285242301632</v>
      </c>
      <c r="AC18" s="89">
        <f t="shared" si="3"/>
        <v>0.52429449528107896</v>
      </c>
      <c r="AD18">
        <f t="shared" si="4"/>
        <v>0.57936588438178127</v>
      </c>
      <c r="AE18">
        <f t="shared" si="5"/>
        <v>0.54151359410467381</v>
      </c>
      <c r="AF18">
        <f t="shared" ca="1" si="6"/>
        <v>1.2753008472208041</v>
      </c>
    </row>
    <row r="19" spans="1:32">
      <c r="A19" s="112">
        <v>1.1000000000000001</v>
      </c>
      <c r="B19" s="87">
        <v>0.17029207299999999</v>
      </c>
      <c r="C19" s="41">
        <f>[2]!interpol(A19,[5]CA_CON15_D0!$A$1:$A$21,[5]CA_CON15_D0!$B$1:$B$21)</f>
        <v>0.28395778344193195</v>
      </c>
      <c r="D19" s="41">
        <f>[2]!interpol(D$3,B$3:C$3,B19:C19)</f>
        <v>0.28168446923309332</v>
      </c>
      <c r="E19" s="41"/>
      <c r="F19" s="41">
        <f>[2]!interpol(A19,[5]CA_CON10_D4!$A$1:$A$20,[5]CA_CON10_D4!$B$1:$B$20)</f>
        <v>0.15238566511968737</v>
      </c>
      <c r="G19" s="41">
        <f>[2]!interpol(A19,[5]CA_CON15_D4!$A$1:$A$20,[5]CA_CON15_D4!$B$1:$B$20)</f>
        <v>0.26468236896594105</v>
      </c>
      <c r="H19" s="89">
        <f>[2]!interpol(H$3,F$3:G$3,F19:G19)</f>
        <v>0.26243643488901597</v>
      </c>
      <c r="I19" s="41">
        <f t="shared" si="0"/>
        <v>0.28168446923309332</v>
      </c>
      <c r="J19" s="112">
        <f>[2]!interpol(J$2,H$2:I$2,H19:I19)</f>
        <v>0.26845469248053161</v>
      </c>
      <c r="L19" s="87">
        <f>[2]!interpol(A19,[5]CN_CON10_D0!$A$1:$A$21,[5]CN_CON10_D0!$B$1:$B$21)</f>
        <v>1.8702315907604128</v>
      </c>
      <c r="M19" s="41">
        <f>[2]!interpol(A19,[5]CN_CON15_D0!$A$1:$A$21,[5]CN_CON15_D0!$B$1:$B$21)</f>
        <v>1.5303160311394743</v>
      </c>
      <c r="N19" s="41">
        <f>[2]!interpol(N$3,L$3:M$3,L19:M19)</f>
        <v>1.5371143423318931</v>
      </c>
      <c r="O19" s="41"/>
      <c r="P19" s="41">
        <f>[2]!interpol(A19,[5]CN_CON10_D4!$A$1:$A$20,[5]CN_CON10_D4!$B$1:$B$20)</f>
        <v>1.7543205389159284</v>
      </c>
      <c r="Q19" s="41">
        <f>[2]!interpol(A19,[5]CN_CON15_D4!$A$1:$A$20,[5]CN_CON15_D4!$B$1:$B$20)</f>
        <v>1.520919967461045</v>
      </c>
      <c r="R19" s="89">
        <f>[2]!interpol(R$3,P$3:Q$3,P19:Q19)</f>
        <v>1.5255879788901425</v>
      </c>
      <c r="S19" s="89">
        <f t="shared" si="1"/>
        <v>1.5371143423318931</v>
      </c>
      <c r="T19" s="41">
        <f>[2]!interpol(T$2,R$2:S$2,R19:S19)</f>
        <v>1.5371143423318931</v>
      </c>
      <c r="U19" s="41">
        <f>[2]!interpol(U$2,R$2:S$2,R19:S19)</f>
        <v>1.5291919117928927</v>
      </c>
      <c r="W19" s="87">
        <f>[2]!interpol($A19,[5]XCP_CON10_D0!$A$1:$A$26,[5]XCP_CON10_D0!$B$1:$B$26)</f>
        <v>0.91666076552785303</v>
      </c>
      <c r="X19" s="41">
        <f>[2]!interpol($A19,[5]XCP_CON15_D0!$A$1:$A$26,[5]XCP_CON15_D0!$B$1:$B$26)</f>
        <v>0.56948596795175754</v>
      </c>
      <c r="Y19" s="41">
        <f t="shared" si="2"/>
        <v>0.57642946390327943</v>
      </c>
      <c r="Z19" s="41"/>
      <c r="AA19" s="41">
        <f>[2]!interpol($A19,[5]XCP_CON10_D4!$A$1:$A$26,[5]XCP_CON10_D4!$B$1:$B$26)</f>
        <v>0.88242417896048786</v>
      </c>
      <c r="AB19" s="41">
        <f>[2]!interpol($A19,[5]XCP_CON15_D4!$A$1:$A$26,[5]XCP_CON15_D4!$B$1:$B$26)</f>
        <v>0.51198284709700781</v>
      </c>
      <c r="AC19" s="89">
        <f t="shared" si="3"/>
        <v>0.51939167373427741</v>
      </c>
      <c r="AD19">
        <f t="shared" si="4"/>
        <v>0.57642946390327943</v>
      </c>
      <c r="AE19">
        <f t="shared" si="5"/>
        <v>0.53722560459452129</v>
      </c>
      <c r="AF19">
        <f t="shared" ca="1" si="6"/>
        <v>1.279564849072488</v>
      </c>
    </row>
    <row r="20" spans="1:32">
      <c r="A20" s="112">
        <v>1.3</v>
      </c>
      <c r="B20" s="87">
        <v>0.158302003</v>
      </c>
      <c r="C20" s="41">
        <f>[2]!interpol(A20,[5]CA_CON15_D0!$A$1:$A$21,[5]CA_CON15_D0!$B$1:$B$21)</f>
        <v>0.28522826448565991</v>
      </c>
      <c r="D20" s="41">
        <f>[2]!interpol(D$3,B$3:C$3,B20:C20)</f>
        <v>0.2826897392559467</v>
      </c>
      <c r="E20" s="41"/>
      <c r="F20" s="41">
        <f>[2]!interpol(A20,[5]CA_CON10_D4!$A$1:$A$20,[5]CA_CON10_D4!$B$1:$B$20)</f>
        <v>0.17960438903121984</v>
      </c>
      <c r="G20" s="41">
        <f>[2]!interpol(A20,[5]CA_CON15_D4!$A$1:$A$20,[5]CA_CON15_D4!$B$1:$B$20)</f>
        <v>0.31475220416769017</v>
      </c>
      <c r="H20" s="89">
        <f>[2]!interpol(H$3,F$3:G$3,F20:G20)</f>
        <v>0.3120492478649608</v>
      </c>
      <c r="I20" s="41">
        <f t="shared" si="0"/>
        <v>0.2826897392559467</v>
      </c>
      <c r="J20" s="112">
        <f>[2]!interpol(J$2,H$2:I$2,H20:I20)</f>
        <v>0.30286944890934758</v>
      </c>
      <c r="L20" s="87">
        <f>[2]!interpol(A20,[5]CN_CON10_D0!$A$1:$A$21,[5]CN_CON10_D0!$B$1:$B$21)</f>
        <v>1.9255355967951073</v>
      </c>
      <c r="M20" s="41">
        <f>[2]!interpol(A20,[5]CN_CON15_D0!$A$1:$A$21,[5]CN_CON15_D0!$B$1:$B$21)</f>
        <v>1.694001739039666</v>
      </c>
      <c r="N20" s="41">
        <f>[2]!interpol(N$3,L$3:M$3,L20:M20)</f>
        <v>1.6986324161947748</v>
      </c>
      <c r="O20" s="41"/>
      <c r="P20" s="41">
        <f>[2]!interpol(A20,[5]CN_CON10_D4!$A$1:$A$20,[5]CN_CON10_D4!$B$1:$B$20)</f>
        <v>1.8574597429817263</v>
      </c>
      <c r="Q20" s="41">
        <f>[2]!interpol(A20,[5]CN_CON15_D4!$A$1:$A$20,[5]CN_CON15_D4!$B$1:$B$20)</f>
        <v>1.6971026500734425</v>
      </c>
      <c r="R20" s="89">
        <f>[2]!interpol(R$3,P$3:Q$3,P20:Q20)</f>
        <v>1.7003097919316081</v>
      </c>
      <c r="S20" s="89">
        <f t="shared" si="1"/>
        <v>1.6986324161947748</v>
      </c>
      <c r="T20" s="41">
        <f>[2]!interpol(T$2,R$2:S$2,R20:S20)</f>
        <v>1.6986324161947748</v>
      </c>
      <c r="U20" s="41">
        <f>[2]!interpol(U$2,R$2:S$2,R20:S20)</f>
        <v>1.6997853290653453</v>
      </c>
      <c r="W20" s="87">
        <f>[2]!interpol($A20,[5]XCP_CON10_D0!$A$1:$A$26,[5]XCP_CON10_D0!$B$1:$B$26)</f>
        <v>0.87938676863925269</v>
      </c>
      <c r="X20" s="41">
        <f>[2]!interpol($A20,[5]XCP_CON15_D0!$A$1:$A$26,[5]XCP_CON15_D0!$B$1:$B$26)</f>
        <v>0.53602302836221039</v>
      </c>
      <c r="Y20" s="41">
        <f t="shared" si="2"/>
        <v>0.54289030316775122</v>
      </c>
      <c r="Z20" s="41"/>
      <c r="AA20" s="41">
        <f>[2]!interpol($A20,[5]XCP_CON10_D4!$A$1:$A$26,[5]XCP_CON10_D4!$B$1:$B$26)</f>
        <v>0.88713601127257291</v>
      </c>
      <c r="AB20" s="41">
        <f>[2]!interpol($A20,[5]XCP_CON15_D4!$A$1:$A$26,[5]XCP_CON15_D4!$B$1:$B$26)</f>
        <v>0.51467309685297813</v>
      </c>
      <c r="AC20" s="89">
        <f t="shared" si="3"/>
        <v>0.52212235514137006</v>
      </c>
      <c r="AD20">
        <f t="shared" si="4"/>
        <v>0.54289030316775122</v>
      </c>
      <c r="AE20">
        <f t="shared" si="5"/>
        <v>0.5286158421455861</v>
      </c>
      <c r="AF20">
        <f t="shared" ca="1" si="6"/>
        <v>1.2383071290965404</v>
      </c>
    </row>
    <row r="21" spans="1:32">
      <c r="A21" s="112">
        <v>1.5</v>
      </c>
      <c r="B21" s="87">
        <v>0.14717382400000001</v>
      </c>
      <c r="C21" s="41">
        <f>[2]!interpol(A21,[5]CA_CON15_D0!$A$1:$A$21,[5]CA_CON15_D0!$B$1:$B$21)</f>
        <v>0.26042848149348041</v>
      </c>
      <c r="D21" s="41">
        <f>[2]!interpol(D$3,B$3:C$3,B21:C21)</f>
        <v>0.2581633883436108</v>
      </c>
      <c r="E21" s="41"/>
      <c r="F21" s="41">
        <f>[2]!interpol(A21,[5]CA_CON10_D4!$A$1:$A$20,[5]CA_CON10_D4!$B$1:$B$20)</f>
        <v>0.1958948238287419</v>
      </c>
      <c r="G21" s="41">
        <f>[2]!interpol(A21,[5]CA_CON15_D4!$A$1:$A$20,[5]CA_CON15_D4!$B$1:$B$20)</f>
        <v>0.3067813152350744</v>
      </c>
      <c r="H21" s="89">
        <f>[2]!interpol(H$3,F$3:G$3,F21:G21)</f>
        <v>0.30456358540694778</v>
      </c>
      <c r="I21" s="41">
        <f t="shared" si="0"/>
        <v>0.2581633883436108</v>
      </c>
      <c r="J21" s="112">
        <f>[2]!interpol(J$2,H$2:I$2,H21:I21)</f>
        <v>0.29005569679700377</v>
      </c>
      <c r="L21" s="87">
        <f>[2]!interpol(A21,[5]CN_CON10_D0!$A$1:$A$21,[5]CN_CON10_D0!$B$1:$B$21)</f>
        <v>1.9110910097536367</v>
      </c>
      <c r="M21" s="41">
        <f>[2]!interpol(A21,[5]CN_CON15_D0!$A$1:$A$21,[5]CN_CON15_D0!$B$1:$B$21)</f>
        <v>1.7269748786228232</v>
      </c>
      <c r="N21" s="41">
        <f>[2]!interpol(N$3,L$3:M$3,L21:M21)</f>
        <v>1.7306572012454393</v>
      </c>
      <c r="O21" s="41"/>
      <c r="P21" s="41">
        <f>[2]!interpol(A21,[5]CN_CON10_D4!$A$1:$A$20,[5]CN_CON10_D4!$B$1:$B$20)</f>
        <v>1.8488465064252295</v>
      </c>
      <c r="Q21" s="41">
        <f>[2]!interpol(A21,[5]CN_CON15_D4!$A$1:$A$20,[5]CN_CON15_D4!$B$1:$B$20)</f>
        <v>1.7422042986301802</v>
      </c>
      <c r="R21" s="89">
        <f>[2]!interpol(R$3,P$3:Q$3,P21:Q21)</f>
        <v>1.7443371427860812</v>
      </c>
      <c r="S21" s="89">
        <f t="shared" si="1"/>
        <v>1.7306572012454393</v>
      </c>
      <c r="T21" s="41">
        <f>[2]!interpol(T$2,R$2:S$2,R21:S21)</f>
        <v>1.7306572012454393</v>
      </c>
      <c r="U21" s="41">
        <f>[2]!interpol(U$2,R$2:S$2,R21:S21)</f>
        <v>1.7400598534506229</v>
      </c>
      <c r="W21" s="87">
        <f>[2]!interpol($A21,[5]XCP_CON10_D0!$A$1:$A$26,[5]XCP_CON10_D0!$B$1:$B$26)</f>
        <v>0.88492645469066855</v>
      </c>
      <c r="X21" s="41">
        <f>[2]!interpol($A21,[5]XCP_CON15_D0!$A$1:$A$26,[5]XCP_CON15_D0!$B$1:$B$26)</f>
        <v>0.5361938847552461</v>
      </c>
      <c r="Y21" s="41">
        <f t="shared" si="2"/>
        <v>0.54316853615395444</v>
      </c>
      <c r="Z21" s="41"/>
      <c r="AA21" s="41">
        <f>[2]!interpol($A21,[5]XCP_CON10_D4!$A$1:$A$26,[5]XCP_CON10_D4!$B$1:$B$26)</f>
        <v>0.85754524321904346</v>
      </c>
      <c r="AB21" s="41">
        <f>[2]!interpol($A21,[5]XCP_CON15_D4!$A$1:$A$26,[5]XCP_CON15_D4!$B$1:$B$26)</f>
        <v>0.48890112637905114</v>
      </c>
      <c r="AC21" s="89">
        <f t="shared" si="3"/>
        <v>0.49627400871585098</v>
      </c>
      <c r="AD21">
        <f t="shared" si="4"/>
        <v>0.54316853615395444</v>
      </c>
      <c r="AE21">
        <f t="shared" si="5"/>
        <v>0.51093645895413964</v>
      </c>
      <c r="AF21">
        <f t="shared" ca="1" si="6"/>
        <v>1.2494588878573949</v>
      </c>
    </row>
    <row r="22" spans="1:32">
      <c r="A22" s="112">
        <v>1.7</v>
      </c>
      <c r="B22" s="87">
        <v>0.13839849700000001</v>
      </c>
      <c r="C22" s="41">
        <f>[2]!interpol(A22,[5]CA_CON15_D0!$A$1:$A$21,[5]CA_CON15_D0!$B$1:$B$21)</f>
        <v>0.23738310661940093</v>
      </c>
      <c r="D22" s="41">
        <f>[2]!interpol(D$3,B$3:C$3,B22:C22)</f>
        <v>0.2354034144270129</v>
      </c>
      <c r="E22" s="41"/>
      <c r="F22" s="41">
        <f>[2]!interpol(A22,[5]CA_CON10_D4!$A$1:$A$20,[5]CA_CON10_D4!$B$1:$B$20)</f>
        <v>0.20575665877814933</v>
      </c>
      <c r="G22" s="41">
        <f>[2]!interpol(A22,[5]CA_CON15_D4!$A$1:$A$20,[5]CA_CON15_D4!$B$1:$B$20)</f>
        <v>0.30083615200497155</v>
      </c>
      <c r="H22" s="89">
        <f>[2]!interpol(H$3,F$3:G$3,F22:G22)</f>
        <v>0.29893456214043512</v>
      </c>
      <c r="I22" s="41">
        <f t="shared" si="0"/>
        <v>0.2354034144270129</v>
      </c>
      <c r="J22" s="112">
        <f>[2]!interpol(J$2,H$2:I$2,H22:I22)</f>
        <v>0.27907036171408584</v>
      </c>
      <c r="L22" s="87">
        <f>[2]!interpol(A22,[5]CN_CON10_D0!$A$1:$A$21,[5]CN_CON10_D0!$B$1:$B$21)</f>
        <v>1.9060759233950328</v>
      </c>
      <c r="M22" s="41">
        <f>[2]!interpol(A22,[5]CN_CON15_D0!$A$1:$A$21,[5]CN_CON15_D0!$B$1:$B$21)</f>
        <v>1.7378384345856295</v>
      </c>
      <c r="N22" s="41">
        <f>[2]!interpol(N$3,L$3:M$3,L22:M22)</f>
        <v>1.7412031843618174</v>
      </c>
      <c r="O22" s="41"/>
      <c r="P22" s="41">
        <f>[2]!interpol(A22,[5]CN_CON10_D4!$A$1:$A$20,[5]CN_CON10_D4!$B$1:$B$20)</f>
        <v>1.8502112943326723</v>
      </c>
      <c r="Q22" s="41">
        <f>[2]!interpol(A22,[5]CN_CON15_D4!$A$1:$A$20,[5]CN_CON15_D4!$B$1:$B$20)</f>
        <v>1.7378296835015687</v>
      </c>
      <c r="R22" s="89">
        <f>[2]!interpol(R$3,P$3:Q$3,P22:Q22)</f>
        <v>1.7400773157181908</v>
      </c>
      <c r="S22" s="89">
        <f t="shared" si="1"/>
        <v>1.7412031843618174</v>
      </c>
      <c r="T22" s="41">
        <f>[2]!interpol(T$2,R$2:S$2,R22:S22)</f>
        <v>1.7412031843618174</v>
      </c>
      <c r="U22" s="41">
        <f>[2]!interpol(U$2,R$2:S$2,R22:S22)</f>
        <v>1.7404293395867287</v>
      </c>
      <c r="W22" s="87">
        <f>[2]!interpol($A22,[5]XCP_CON10_D0!$A$1:$A$26,[5]XCP_CON10_D0!$B$1:$B$26)</f>
        <v>0.88575216985765559</v>
      </c>
      <c r="X22" s="41">
        <f>[2]!interpol($A22,[5]XCP_CON15_D0!$A$1:$A$26,[5]XCP_CON15_D0!$B$1:$B$26)</f>
        <v>0.53605196553584711</v>
      </c>
      <c r="Y22" s="41">
        <f t="shared" si="2"/>
        <v>0.54304596962228324</v>
      </c>
      <c r="Z22" s="41"/>
      <c r="AA22" s="41">
        <f>[2]!interpol($A22,[5]XCP_CON10_D4!$A$1:$A$26,[5]XCP_CON10_D4!$B$1:$B$26)</f>
        <v>0.83339864628661231</v>
      </c>
      <c r="AB22" s="41">
        <f>[2]!interpol($A22,[5]XCP_CON15_D4!$A$1:$A$26,[5]XCP_CON15_D4!$B$1:$B$26)</f>
        <v>0.47181805788798598</v>
      </c>
      <c r="AC22" s="89">
        <f t="shared" si="3"/>
        <v>0.47904966965595852</v>
      </c>
      <c r="AD22">
        <f t="shared" si="4"/>
        <v>0.54304596962228324</v>
      </c>
      <c r="AE22">
        <f t="shared" si="5"/>
        <v>0.49905930862565195</v>
      </c>
      <c r="AF22">
        <f t="shared" ca="1" si="6"/>
        <v>1.2512960775687598</v>
      </c>
    </row>
    <row r="23" spans="1:32">
      <c r="A23" s="112">
        <v>1.9</v>
      </c>
      <c r="B23" s="87">
        <v>0.12962317000000001</v>
      </c>
      <c r="C23" s="41">
        <f>[2]!interpol(A23,[5]CA_CON15_D0!$A$1:$A$21,[5]CA_CON15_D0!$B$1:$B$21)</f>
        <v>0.22297703411304245</v>
      </c>
      <c r="D23" s="41">
        <f>[2]!interpol(D$3,B$3:C$3,B23:C23)</f>
        <v>0.22110995683078161</v>
      </c>
      <c r="E23" s="41"/>
      <c r="F23" s="41">
        <f>[2]!interpol(A23,[5]CA_CON10_D4!$A$1:$A$20,[5]CA_CON10_D4!$B$1:$B$20)</f>
        <v>0.21113094784134645</v>
      </c>
      <c r="G23" s="41">
        <f>[2]!interpol(A23,[5]CA_CON15_D4!$A$1:$A$20,[5]CA_CON15_D4!$B$1:$B$20)</f>
        <v>0.29765887494061893</v>
      </c>
      <c r="H23" s="89">
        <f>[2]!interpol(H$3,F$3:G$3,F23:G23)</f>
        <v>0.29592831639863348</v>
      </c>
      <c r="I23" s="41">
        <f t="shared" si="0"/>
        <v>0.22110995683078161</v>
      </c>
      <c r="J23" s="112">
        <f>[2]!interpol(J$2,H$2:I$2,H23:I23)</f>
        <v>0.2725349582819111</v>
      </c>
      <c r="L23" s="87">
        <f>[2]!interpol(A23,[5]CN_CON10_D0!$A$1:$A$21,[5]CN_CON10_D0!$B$1:$B$21)</f>
        <v>1.9017531704914612</v>
      </c>
      <c r="M23" s="41">
        <f>[2]!interpol(A23,[5]CN_CON15_D0!$A$1:$A$21,[5]CN_CON15_D0!$B$1:$B$21)</f>
        <v>1.7485004204198673</v>
      </c>
      <c r="N23" s="41">
        <f>[2]!interpol(N$3,L$3:M$3,L23:M23)</f>
        <v>1.7515654754212993</v>
      </c>
      <c r="O23" s="41"/>
      <c r="P23" s="41">
        <f>[2]!interpol(A23,[5]CN_CON10_D4!$A$1:$A$20,[5]CN_CON10_D4!$B$1:$B$20)</f>
        <v>1.8465959358476134</v>
      </c>
      <c r="Q23" s="41">
        <f>[2]!interpol(A23,[5]CN_CON15_D4!$A$1:$A$20,[5]CN_CON15_D4!$B$1:$B$20)</f>
        <v>1.7210552136198471</v>
      </c>
      <c r="R23" s="89">
        <f>[2]!interpol(R$3,P$3:Q$3,P23:Q23)</f>
        <v>1.7235660280644025</v>
      </c>
      <c r="S23" s="89">
        <f t="shared" si="1"/>
        <v>1.7515654754212993</v>
      </c>
      <c r="T23" s="41">
        <f>[2]!interpol(T$2,R$2:S$2,R23:S23)</f>
        <v>1.7515654754212993</v>
      </c>
      <c r="U23" s="41">
        <f>[2]!interpol(U$2,R$2:S$2,R23:S23)</f>
        <v>1.7323205784564917</v>
      </c>
      <c r="W23" s="87">
        <f>[2]!interpol($A23,[5]XCP_CON10_D0!$A$1:$A$26,[5]XCP_CON10_D0!$B$1:$B$26)</f>
        <v>0.8861379433550538</v>
      </c>
      <c r="X23" s="41">
        <f>[2]!interpol($A23,[5]XCP_CON15_D0!$A$1:$A$26,[5]XCP_CON15_D0!$B$1:$B$26)</f>
        <v>0.53591004631644812</v>
      </c>
      <c r="Y23" s="41">
        <f t="shared" si="2"/>
        <v>0.54291460425722016</v>
      </c>
      <c r="Z23" s="41"/>
      <c r="AA23" s="41">
        <f>[2]!interpol($A23,[5]XCP_CON10_D4!$A$1:$A$26,[5]XCP_CON10_D4!$B$1:$B$26)</f>
        <v>0.81288583254584512</v>
      </c>
      <c r="AB23" s="41">
        <f>[2]!interpol($A23,[5]XCP_CON15_D4!$A$1:$A$26,[5]XCP_CON15_D4!$B$1:$B$26)</f>
        <v>0.4631370551288132</v>
      </c>
      <c r="AC23" s="89">
        <f t="shared" si="3"/>
        <v>0.47013203067715381</v>
      </c>
      <c r="AD23">
        <f t="shared" si="4"/>
        <v>0.54291460425722016</v>
      </c>
      <c r="AE23">
        <f t="shared" si="5"/>
        <v>0.49288886226567719</v>
      </c>
      <c r="AF23">
        <f t="shared" ca="1" si="6"/>
        <v>1.2522334517097515</v>
      </c>
    </row>
    <row r="24" spans="1:32">
      <c r="A24" s="112">
        <v>2.1</v>
      </c>
      <c r="B24" s="87">
        <v>0.12376724</v>
      </c>
      <c r="C24" s="41">
        <f>[2]!interpol(A24,[5]CA_CON15_D0!$A$1:$A$21,[5]CA_CON15_D0!$B$1:$B$21)</f>
        <v>0.20999439025602035</v>
      </c>
      <c r="D24" s="41">
        <f>[2]!interpol(D$3,B$3:C$3,B24:C24)</f>
        <v>0.20826984725089992</v>
      </c>
      <c r="E24" s="41"/>
      <c r="F24" s="41">
        <f>[2]!interpol(A24,[5]CA_CON10_D4!$A$1:$A$20,[5]CA_CON10_D4!$B$1:$B$20)</f>
        <v>0.21051351857077899</v>
      </c>
      <c r="G24" s="41">
        <f>[2]!interpol(A24,[5]CA_CON15_D4!$A$1:$A$20,[5]CA_CON15_D4!$B$1:$B$20)</f>
        <v>0.29448159787626632</v>
      </c>
      <c r="H24" s="89">
        <f>[2]!interpol(H$3,F$3:G$3,F24:G24)</f>
        <v>0.29280223629015656</v>
      </c>
      <c r="I24" s="41">
        <f t="shared" si="0"/>
        <v>0.20826984725089992</v>
      </c>
      <c r="J24" s="112">
        <f>[2]!interpol(J$2,H$2:I$2,H24:I24)</f>
        <v>0.26637160535037951</v>
      </c>
      <c r="L24" s="87">
        <f>[2]!interpol(A24,[5]CN_CON10_D0!$A$1:$A$21,[5]CN_CON10_D0!$B$1:$B$21)</f>
        <v>1.8940728422120883</v>
      </c>
      <c r="M24" s="41">
        <f>[2]!interpol(A24,[5]CN_CON15_D0!$A$1:$A$21,[5]CN_CON15_D0!$B$1:$B$21)</f>
        <v>1.7580811524243682</v>
      </c>
      <c r="N24" s="41">
        <f>[2]!interpol(N$3,L$3:M$3,L24:M24)</f>
        <v>1.7608009862201226</v>
      </c>
      <c r="O24" s="41"/>
      <c r="P24" s="41">
        <f>[2]!interpol(A24,[5]CN_CON10_D4!$A$1:$A$20,[5]CN_CON10_D4!$B$1:$B$20)</f>
        <v>1.8287823520291706</v>
      </c>
      <c r="Q24" s="41">
        <f>[2]!interpol(A24,[5]CN_CON15_D4!$A$1:$A$20,[5]CN_CON15_D4!$B$1:$B$20)</f>
        <v>1.6901212150860616</v>
      </c>
      <c r="R24" s="89">
        <f>[2]!interpol(R$3,P$3:Q$3,P24:Q24)</f>
        <v>1.6928944378249238</v>
      </c>
      <c r="S24" s="89">
        <f t="shared" si="1"/>
        <v>1.7608009862201226</v>
      </c>
      <c r="T24" s="41">
        <f>[2]!interpol(T$2,R$2:S$2,R24:S24)</f>
        <v>1.7608009862201226</v>
      </c>
      <c r="U24" s="41">
        <f>[2]!interpol(U$2,R$2:S$2,R24:S24)</f>
        <v>1.7141266890297737</v>
      </c>
      <c r="W24" s="87">
        <f>[2]!interpol($A24,[5]XCP_CON10_D0!$A$1:$A$26,[5]XCP_CON10_D0!$B$1:$B$26)</f>
        <v>0.89038988372959216</v>
      </c>
      <c r="X24" s="41">
        <f>[2]!interpol($A24,[5]XCP_CON15_D0!$A$1:$A$26,[5]XCP_CON15_D0!$B$1:$B$26)</f>
        <v>0.53576812709704924</v>
      </c>
      <c r="Y24" s="41">
        <f t="shared" si="2"/>
        <v>0.54286056222970003</v>
      </c>
      <c r="Z24" s="41"/>
      <c r="AA24" s="41">
        <f>[2]!interpol($A24,[5]XCP_CON10_D4!$A$1:$A$26,[5]XCP_CON10_D4!$B$1:$B$26)</f>
        <v>0.79960479339163537</v>
      </c>
      <c r="AB24" s="41">
        <f>[2]!interpol($A24,[5]XCP_CON15_D4!$A$1:$A$26,[5]XCP_CON15_D4!$B$1:$B$26)</f>
        <v>0.45551374832375252</v>
      </c>
      <c r="AC24" s="89">
        <f t="shared" si="3"/>
        <v>0.4623955692251101</v>
      </c>
      <c r="AD24">
        <f t="shared" si="4"/>
        <v>0.54286056222970003</v>
      </c>
      <c r="AE24">
        <f t="shared" si="5"/>
        <v>0.48755445279444121</v>
      </c>
      <c r="AF24">
        <f t="shared" ca="1" si="6"/>
        <v>1.2610783222171635</v>
      </c>
    </row>
    <row r="25" spans="1:32">
      <c r="A25" s="112">
        <v>2.2999999999999998</v>
      </c>
      <c r="B25" s="87">
        <v>0.118820305</v>
      </c>
      <c r="C25" s="41">
        <f>[2]!interpol(A25,[5]CA_CON15_D0!$A$1:$A$21,[5]CA_CON15_D0!$B$1:$B$21)</f>
        <v>0.20460734926771279</v>
      </c>
      <c r="D25" s="41">
        <f>[2]!interpol(D$3,B$3:C$3,B25:C25)</f>
        <v>0.20289160838235853</v>
      </c>
      <c r="E25" s="41"/>
      <c r="F25" s="41">
        <f>[2]!interpol(A25,[5]CA_CON10_D4!$A$1:$A$20,[5]CA_CON10_D4!$B$1:$B$20)</f>
        <v>0.20965587644977823</v>
      </c>
      <c r="G25" s="41">
        <f>[2]!interpol(A25,[5]CA_CON15_D4!$A$1:$A$20,[5]CA_CON15_D4!$B$1:$B$20)</f>
        <v>0.29115008388126962</v>
      </c>
      <c r="H25" s="89">
        <f>[2]!interpol(H$3,F$3:G$3,F25:G25)</f>
        <v>0.28952019973263982</v>
      </c>
      <c r="I25" s="41">
        <f t="shared" si="0"/>
        <v>0.20289160838235853</v>
      </c>
      <c r="J25" s="112">
        <f>[2]!interpol(J$2,H$2:I$2,H25:I25)</f>
        <v>0.26243415197231046</v>
      </c>
      <c r="L25" s="87">
        <f>[2]!interpol(A25,[5]CN_CON10_D0!$A$1:$A$21,[5]CN_CON10_D0!$B$1:$B$21)</f>
        <v>1.8856703612731809</v>
      </c>
      <c r="M25" s="41">
        <f>[2]!interpol(A25,[5]CN_CON15_D0!$A$1:$A$21,[5]CN_CON15_D0!$B$1:$B$21)</f>
        <v>1.767661884428869</v>
      </c>
      <c r="N25" s="41">
        <f>[2]!interpol(N$3,L$3:M$3,L25:M25)</f>
        <v>1.7700220539657552</v>
      </c>
      <c r="O25" s="41"/>
      <c r="P25" s="41">
        <f>[2]!interpol(A25,[5]CN_CON10_D4!$A$1:$A$20,[5]CN_CON10_D4!$B$1:$B$20)</f>
        <v>1.78483222157816</v>
      </c>
      <c r="Q25" s="41">
        <f>[2]!interpol(A25,[5]CN_CON15_D4!$A$1:$A$20,[5]CN_CON15_D4!$B$1:$B$20)</f>
        <v>1.6509404469889912</v>
      </c>
      <c r="R25" s="89">
        <f>[2]!interpol(R$3,P$3:Q$3,P25:Q25)</f>
        <v>1.6536182824807746</v>
      </c>
      <c r="S25" s="89">
        <f t="shared" si="1"/>
        <v>1.7700220539657552</v>
      </c>
      <c r="T25" s="41">
        <f>[2]!interpol(T$2,R$2:S$2,R25:S25)</f>
        <v>1.7700220539657552</v>
      </c>
      <c r="U25" s="41">
        <f>[2]!interpol(U$2,R$2:S$2,R25:S25)</f>
        <v>1.6900140966661383</v>
      </c>
      <c r="W25" s="87">
        <f>[2]!interpol($A25,[5]XCP_CON10_D0!$A$1:$A$26,[5]XCP_CON10_D0!$B$1:$B$26)</f>
        <v>0.89663181131878367</v>
      </c>
      <c r="X25" s="41">
        <f>[2]!interpol($A25,[5]XCP_CON15_D0!$A$1:$A$26,[5]XCP_CON15_D0!$B$1:$B$26)</f>
        <v>0.53867594448609479</v>
      </c>
      <c r="Y25" s="41">
        <f t="shared" si="2"/>
        <v>0.54583506182274855</v>
      </c>
      <c r="Z25" s="41"/>
      <c r="AA25" s="41">
        <f>[2]!interpol($A25,[5]XCP_CON10_D4!$A$1:$A$26,[5]XCP_CON10_D4!$B$1:$B$26)</f>
        <v>0.78727535843990937</v>
      </c>
      <c r="AB25" s="41">
        <f>[2]!interpol($A25,[5]XCP_CON15_D4!$A$1:$A$26,[5]XCP_CON15_D4!$B$1:$B$26)</f>
        <v>0.45120128613092475</v>
      </c>
      <c r="AC25" s="89">
        <f t="shared" si="3"/>
        <v>0.45792276757710443</v>
      </c>
      <c r="AD25">
        <f t="shared" si="4"/>
        <v>0.54583506182274855</v>
      </c>
      <c r="AE25">
        <f t="shared" si="5"/>
        <v>0.48541018903394556</v>
      </c>
      <c r="AF25">
        <f t="shared" ca="1" si="6"/>
        <v>1.2708054169759437</v>
      </c>
    </row>
    <row r="26" spans="1:32">
      <c r="A26" s="112">
        <v>2.5</v>
      </c>
      <c r="B26" s="87">
        <v>0.11387337</v>
      </c>
      <c r="C26" s="41">
        <f>[2]!interpol(A26,[5]CA_CON15_D0!$A$1:$A$21,[5]CA_CON15_D0!$B$1:$B$21)</f>
        <v>0.19922030827940521</v>
      </c>
      <c r="D26" s="41">
        <f>[2]!interpol(D$3,B$3:C$3,B26:C26)</f>
        <v>0.19751336951381709</v>
      </c>
      <c r="E26" s="41"/>
      <c r="F26" s="41">
        <f>[2]!interpol(A26,[5]CA_CON10_D4!$A$1:$A$20,[5]CA_CON10_D4!$B$1:$B$20)</f>
        <v>0.2087982343287775</v>
      </c>
      <c r="G26" s="41">
        <f>[2]!interpol(A26,[5]CA_CON15_D4!$A$1:$A$20,[5]CA_CON15_D4!$B$1:$B$20)</f>
        <v>0.28780677587856718</v>
      </c>
      <c r="H26" s="89">
        <f>[2]!interpol(H$3,F$3:G$3,F26:G26)</f>
        <v>0.28622660504757141</v>
      </c>
      <c r="I26" s="41">
        <f t="shared" si="0"/>
        <v>0.19751336951381709</v>
      </c>
      <c r="J26" s="112">
        <f>[2]!interpol(J$2,H$2:I$2,H26:I26)</f>
        <v>0.25848875433123497</v>
      </c>
      <c r="L26" s="87">
        <f>[2]!interpol(A26,[5]CN_CON10_D0!$A$1:$A$21,[5]CN_CON10_D0!$B$1:$B$21)</f>
        <v>1.8772678803342733</v>
      </c>
      <c r="M26" s="41">
        <f>[2]!interpol(A26,[5]CN_CON15_D0!$A$1:$A$21,[5]CN_CON15_D0!$B$1:$B$21)</f>
        <v>1.7678768852701243</v>
      </c>
      <c r="N26" s="41">
        <f>[2]!interpol(N$3,L$3:M$3,L26:M26)</f>
        <v>1.7700647051714073</v>
      </c>
      <c r="O26" s="41"/>
      <c r="P26" s="41">
        <f>[2]!interpol(A26,[5]CN_CON10_D4!$A$1:$A$20,[5]CN_CON10_D4!$B$1:$B$20)</f>
        <v>1.7412373519129776</v>
      </c>
      <c r="Q26" s="41">
        <f>[2]!interpol(A26,[5]CN_CON15_D4!$A$1:$A$20,[5]CN_CON15_D4!$B$1:$B$20)</f>
        <v>1.6108784429951641</v>
      </c>
      <c r="R26" s="89">
        <f>[2]!interpol(R$3,P$3:Q$3,P26:Q26)</f>
        <v>1.6134856211735205</v>
      </c>
      <c r="S26" s="89">
        <f t="shared" si="1"/>
        <v>1.7700647051714073</v>
      </c>
      <c r="T26" s="41">
        <f>[2]!interpol(T$2,R$2:S$2,R26:S26)</f>
        <v>1.7700647051714073</v>
      </c>
      <c r="U26" s="41">
        <f>[2]!interpol(U$2,R$2:S$2,R26:S26)</f>
        <v>1.6624429975007717</v>
      </c>
      <c r="W26" s="87">
        <f>[2]!interpol($A26,[5]XCP_CON10_D0!$A$1:$A$26,[5]XCP_CON10_D0!$B$1:$B$26)</f>
        <v>0.90064318028537149</v>
      </c>
      <c r="X26" s="41">
        <f>[2]!interpol($A26,[5]XCP_CON15_D0!$A$1:$A$26,[5]XCP_CON15_D0!$B$1:$B$26)</f>
        <v>0.54170967644433365</v>
      </c>
      <c r="Y26" s="41">
        <f t="shared" si="2"/>
        <v>0.54888834652115448</v>
      </c>
      <c r="Z26" s="41"/>
      <c r="AA26" s="41">
        <f>[2]!interpol($A26,[5]XCP_CON10_D4!$A$1:$A$26,[5]XCP_CON10_D4!$B$1:$B$26)</f>
        <v>0.77742712325583641</v>
      </c>
      <c r="AB26" s="41">
        <f>[2]!interpol($A26,[5]XCP_CON15_D4!$A$1:$A$26,[5]XCP_CON15_D4!$B$1:$B$26)</f>
        <v>0.44736346735457705</v>
      </c>
      <c r="AC26" s="89">
        <f t="shared" si="3"/>
        <v>0.45396474047260221</v>
      </c>
      <c r="AD26">
        <f t="shared" si="4"/>
        <v>0.54888834652115448</v>
      </c>
      <c r="AE26">
        <f t="shared" si="5"/>
        <v>0.48364437957255657</v>
      </c>
      <c r="AF26">
        <f t="shared" ca="1" si="6"/>
        <v>1.2758387162929812</v>
      </c>
    </row>
    <row r="27" spans="1:32">
      <c r="A27" s="112">
        <v>2.7</v>
      </c>
      <c r="B27" s="87">
        <v>0.108926435</v>
      </c>
      <c r="C27" s="41">
        <f>[2]!interpol(A27,[5]CA_CON15_D0!$A$1:$A$21,[5]CA_CON15_D0!$B$1:$B$21)</f>
        <v>0.19750160543962084</v>
      </c>
      <c r="D27" s="41">
        <f>[2]!interpol(D$3,B$3:C$3,B27:C27)</f>
        <v>0.19573010203082841</v>
      </c>
      <c r="E27" s="41"/>
      <c r="F27" s="41">
        <f>[2]!interpol(A27,[5]CA_CON10_D4!$A$1:$A$20,[5]CA_CON10_D4!$B$1:$B$20)</f>
        <v>0.20794059220777675</v>
      </c>
      <c r="G27" s="41">
        <f>[2]!interpol(A27,[5]CA_CON15_D4!$A$1:$A$20,[5]CA_CON15_D4!$B$1:$B$20)</f>
        <v>0.28446346787586479</v>
      </c>
      <c r="H27" s="89">
        <f>[2]!interpol(H$3,F$3:G$3,F27:G27)</f>
        <v>0.28293301036250307</v>
      </c>
      <c r="I27" s="41">
        <f t="shared" si="0"/>
        <v>0.19573010203082841</v>
      </c>
      <c r="J27" s="112">
        <f>[2]!interpol(J$2,H$2:I$2,H27:I27)</f>
        <v>0.25566739166669944</v>
      </c>
      <c r="L27" s="87">
        <f>[2]!interpol(A27,[5]CN_CON10_D0!$A$1:$A$21,[5]CN_CON10_D0!$B$1:$B$21)</f>
        <v>1.8647801954585586</v>
      </c>
      <c r="M27" s="41">
        <f>[2]!interpol(A27,[5]CN_CON15_D0!$A$1:$A$21,[5]CN_CON15_D0!$B$1:$B$21)</f>
        <v>1.7664388289795654</v>
      </c>
      <c r="N27" s="41">
        <f>[2]!interpol(N$3,L$3:M$3,L27:M27)</f>
        <v>1.7684056563091453</v>
      </c>
      <c r="O27" s="41"/>
      <c r="P27" s="41">
        <f>[2]!interpol(A27,[5]CN_CON10_D4!$A$1:$A$20,[5]CN_CON10_D4!$B$1:$B$20)</f>
        <v>1.698278311319358</v>
      </c>
      <c r="Q27" s="41">
        <f>[2]!interpol(A27,[5]CN_CON15_D4!$A$1:$A$20,[5]CN_CON15_D4!$B$1:$B$20)</f>
        <v>1.5708164390013368</v>
      </c>
      <c r="R27" s="89">
        <f>[2]!interpol(R$3,P$3:Q$3,P27:Q27)</f>
        <v>1.5733656764476973</v>
      </c>
      <c r="S27" s="89">
        <f t="shared" si="1"/>
        <v>1.7684056563091453</v>
      </c>
      <c r="T27" s="41">
        <f>[2]!interpol(T$2,R$2:S$2,R27:S27)</f>
        <v>1.7684056563091453</v>
      </c>
      <c r="U27" s="41">
        <f>[2]!interpol(U$2,R$2:S$2,R27:S27)</f>
        <v>1.6343485705171585</v>
      </c>
      <c r="W27" s="87">
        <f>[2]!interpol($A27,[5]XCP_CON10_D0!$A$1:$A$26,[5]XCP_CON10_D0!$B$1:$B$26)</f>
        <v>0.90284511255569433</v>
      </c>
      <c r="X27" s="41">
        <f>[2]!interpol($A27,[5]XCP_CON15_D0!$A$1:$A$26,[5]XCP_CON15_D0!$B$1:$B$26)</f>
        <v>0.54474340840257252</v>
      </c>
      <c r="Y27" s="41">
        <f t="shared" si="2"/>
        <v>0.55190544248563489</v>
      </c>
      <c r="Z27" s="41"/>
      <c r="AA27" s="41">
        <f>[2]!interpol($A27,[5]XCP_CON10_D4!$A$1:$A$26,[5]XCP_CON10_D4!$B$1:$B$26)</f>
        <v>0.76943977873643954</v>
      </c>
      <c r="AB27" s="41">
        <f>[2]!interpol($A27,[5]XCP_CON15_D4!$A$1:$A$26,[5]XCP_CON15_D4!$B$1:$B$26)</f>
        <v>0.4435256485782294</v>
      </c>
      <c r="AC27" s="89">
        <f t="shared" si="3"/>
        <v>0.45004393118139363</v>
      </c>
      <c r="AD27">
        <f t="shared" si="4"/>
        <v>0.55190544248563489</v>
      </c>
      <c r="AE27">
        <f t="shared" si="5"/>
        <v>0.48189283599585531</v>
      </c>
      <c r="AF27">
        <f t="shared" ca="1" si="6"/>
        <v>1.2771711629164673</v>
      </c>
    </row>
    <row r="28" spans="1:32">
      <c r="A28" s="112">
        <v>2.9</v>
      </c>
      <c r="B28" s="87">
        <v>0.10709128900000001</v>
      </c>
      <c r="C28" s="41">
        <f>[2]!interpol(A28,[5]CA_CON15_D0!$A$1:$A$21,[5]CA_CON15_D0!$B$1:$B$21)</f>
        <v>0.19627169841079195</v>
      </c>
      <c r="D28" s="41">
        <f>[2]!interpol(D$3,B$3:C$3,B28:C28)</f>
        <v>0.19448809022257613</v>
      </c>
      <c r="E28" s="41"/>
      <c r="F28" s="41">
        <f>[2]!interpol(A28,[5]CA_CON10_D4!$A$1:$A$20,[5]CA_CON10_D4!$B$1:$B$20)</f>
        <v>0.20714476274477911</v>
      </c>
      <c r="G28" s="41">
        <f>[2]!interpol(A28,[5]CA_CON15_D4!$A$1:$A$20,[5]CA_CON15_D4!$B$1:$B$20)</f>
        <v>0.28215100225099482</v>
      </c>
      <c r="H28" s="89">
        <f>[2]!interpol(H$3,F$3:G$3,F28:G28)</f>
        <v>0.28065087746087047</v>
      </c>
      <c r="I28" s="41">
        <f t="shared" si="0"/>
        <v>0.19448809022257613</v>
      </c>
      <c r="J28" s="112">
        <f>[2]!interpol(J$2,H$2:I$2,H28:I28)</f>
        <v>0.25371047205980818</v>
      </c>
      <c r="L28" s="87">
        <f>[2]!interpol(A28,[5]CN_CON10_D0!$A$1:$A$21,[5]CN_CON10_D0!$B$1:$B$21)</f>
        <v>1.8511279905670606</v>
      </c>
      <c r="M28" s="41">
        <f>[2]!interpol(A28,[5]CN_CON15_D0!$A$1:$A$21,[5]CN_CON15_D0!$B$1:$B$21)</f>
        <v>1.7603420011846684</v>
      </c>
      <c r="N28" s="41">
        <f>[2]!interpol(N$3,L$3:M$3,L28:M28)</f>
        <v>1.7621577209723163</v>
      </c>
      <c r="O28" s="41"/>
      <c r="P28" s="41">
        <f>[2]!interpol(A28,[5]CN_CON10_D4!$A$1:$A$20,[5]CN_CON10_D4!$B$1:$B$20)</f>
        <v>1.6569433177107937</v>
      </c>
      <c r="Q28" s="41">
        <f>[2]!interpol(A28,[5]CN_CON15_D4!$A$1:$A$20,[5]CN_CON15_D4!$B$1:$B$20)</f>
        <v>1.5362891142144612</v>
      </c>
      <c r="R28" s="89">
        <f>[2]!interpol(R$3,P$3:Q$3,P28:Q28)</f>
        <v>1.5387021982843878</v>
      </c>
      <c r="S28" s="89">
        <f t="shared" si="1"/>
        <v>1.7621577209723163</v>
      </c>
      <c r="T28" s="41">
        <f>[2]!interpol(T$2,R$2:S$2,R28:S28)</f>
        <v>1.7621577209723163</v>
      </c>
      <c r="U28" s="41">
        <f>[2]!interpol(U$2,R$2:S$2,R28:S28)</f>
        <v>1.6085697427693408</v>
      </c>
      <c r="W28" s="87">
        <f>[2]!interpol($A28,[5]XCP_CON10_D0!$A$1:$A$26,[5]XCP_CON10_D0!$B$1:$B$26)</f>
        <v>0.90354659471169052</v>
      </c>
      <c r="X28" s="41">
        <f>[2]!interpol($A28,[5]XCP_CON15_D0!$A$1:$A$26,[5]XCP_CON15_D0!$B$1:$B$26)</f>
        <v>0.54600687077952215</v>
      </c>
      <c r="Y28" s="41">
        <f t="shared" si="2"/>
        <v>0.55315766525816557</v>
      </c>
      <c r="Z28" s="41"/>
      <c r="AA28" s="41">
        <f>[2]!interpol($A28,[5]XCP_CON10_D4!$A$1:$A$26,[5]XCP_CON10_D4!$B$1:$B$26)</f>
        <v>0.76383450770806338</v>
      </c>
      <c r="AB28" s="41">
        <f>[2]!interpol($A28,[5]XCP_CON15_D4!$A$1:$A$26,[5]XCP_CON15_D4!$B$1:$B$26)</f>
        <v>0.44074286683295766</v>
      </c>
      <c r="AC28" s="89">
        <f t="shared" si="3"/>
        <v>0.44720469965045978</v>
      </c>
      <c r="AD28">
        <f t="shared" si="4"/>
        <v>0.55315766525816557</v>
      </c>
      <c r="AE28">
        <f t="shared" si="5"/>
        <v>0.48033287410264119</v>
      </c>
      <c r="AF28">
        <f t="shared" ca="1" si="6"/>
        <v>1.2772852034768198</v>
      </c>
    </row>
    <row r="29" spans="1:32">
      <c r="A29" s="112">
        <v>3.1</v>
      </c>
      <c r="B29" s="87">
        <v>0.10618907900000001</v>
      </c>
      <c r="C29" s="41">
        <f>[2]!interpol(A29,[5]CA_CON15_D0!$A$1:$A$21,[5]CA_CON15_D0!$B$1:$B$21)</f>
        <v>0.19504179138196309</v>
      </c>
      <c r="D29" s="41">
        <f>[2]!interpol(D$3,B$3:C$3,B29:C29)</f>
        <v>0.19326473713432385</v>
      </c>
      <c r="E29" s="41"/>
      <c r="F29" s="41">
        <f>[2]!interpol(A29,[5]CA_CON10_D4!$A$1:$A$20,[5]CA_CON10_D4!$B$1:$B$20)</f>
        <v>0.20636990839030989</v>
      </c>
      <c r="G29" s="41">
        <f>[2]!interpol(A29,[5]CA_CON15_D4!$A$1:$A$20,[5]CA_CON15_D4!$B$1:$B$20)</f>
        <v>0.27989690756792385</v>
      </c>
      <c r="H29" s="89">
        <f>[2]!interpol(H$3,F$3:G$3,F29:G29)</f>
        <v>0.27842636758437156</v>
      </c>
      <c r="I29" s="41">
        <f t="shared" si="0"/>
        <v>0.19326473713432385</v>
      </c>
      <c r="J29" s="112">
        <f>[2]!interpol(J$2,H$2:I$2,H29:I29)</f>
        <v>0.25179899255999377</v>
      </c>
      <c r="L29" s="87">
        <f>[2]!interpol(A29,[5]CN_CON10_D0!$A$1:$A$21,[5]CN_CON10_D0!$B$1:$B$21)</f>
        <v>1.8448562765350145</v>
      </c>
      <c r="M29" s="41">
        <f>[2]!interpol(A29,[5]CN_CON15_D0!$A$1:$A$21,[5]CN_CON15_D0!$B$1:$B$21)</f>
        <v>1.7542451733897715</v>
      </c>
      <c r="N29" s="41">
        <f>[2]!interpol(N$3,L$3:M$3,L29:M29)</f>
        <v>1.7560573954526764</v>
      </c>
      <c r="O29" s="41"/>
      <c r="P29" s="41">
        <f>[2]!interpol(A29,[5]CN_CON10_D4!$A$1:$A$20,[5]CN_CON10_D4!$B$1:$B$20)</f>
        <v>1.6156988990033678</v>
      </c>
      <c r="Q29" s="41">
        <f>[2]!interpol(A29,[5]CN_CON15_D4!$A$1:$A$20,[5]CN_CON15_D4!$B$1:$B$20)</f>
        <v>1.5019305755779946</v>
      </c>
      <c r="R29" s="89">
        <f>[2]!interpol(R$3,P$3:Q$3,P29:Q29)</f>
        <v>1.5042059420465019</v>
      </c>
      <c r="S29" s="89">
        <f t="shared" si="1"/>
        <v>1.7560573954526764</v>
      </c>
      <c r="T29" s="41">
        <f>[2]!interpol(T$2,R$2:S$2,R29:S29)</f>
        <v>1.7560573954526764</v>
      </c>
      <c r="U29" s="41">
        <f>[2]!interpol(U$2,R$2:S$2,R29:S29)</f>
        <v>1.5829520048548504</v>
      </c>
      <c r="W29" s="87">
        <f>[2]!interpol($A29,[5]XCP_CON10_D0!$A$1:$A$26,[5]XCP_CON10_D0!$B$1:$B$26)</f>
        <v>0.90074827666350421</v>
      </c>
      <c r="X29" s="41">
        <f>[2]!interpol($A29,[5]XCP_CON15_D0!$A$1:$A$26,[5]XCP_CON15_D0!$B$1:$B$26)</f>
        <v>0.54686166190941055</v>
      </c>
      <c r="Y29" s="41">
        <f t="shared" si="2"/>
        <v>0.55393939420449234</v>
      </c>
      <c r="Z29" s="41"/>
      <c r="AA29" s="41">
        <f>[2]!interpol($A29,[5]XCP_CON10_D4!$A$1:$A$26,[5]XCP_CON10_D4!$B$1:$B$26)</f>
        <v>0.75822923667968711</v>
      </c>
      <c r="AB29" s="41">
        <f>[2]!interpol($A29,[5]XCP_CON15_D4!$A$1:$A$26,[5]XCP_CON15_D4!$B$1:$B$26)</f>
        <v>0.43830195779170417</v>
      </c>
      <c r="AC29" s="89">
        <f t="shared" si="3"/>
        <v>0.44470050336946376</v>
      </c>
      <c r="AD29">
        <f t="shared" si="4"/>
        <v>0.55393939420449234</v>
      </c>
      <c r="AE29">
        <f t="shared" si="5"/>
        <v>0.47885608374221766</v>
      </c>
      <c r="AF29">
        <f t="shared" ca="1" si="6"/>
        <v>1.2706682665438134</v>
      </c>
    </row>
    <row r="30" spans="1:32">
      <c r="A30" s="112">
        <v>3.3</v>
      </c>
      <c r="B30" s="87">
        <v>0.10528686900000001</v>
      </c>
      <c r="C30" s="41">
        <f>[2]!interpol(A30,[5]CA_CON15_D0!$A$1:$A$21,[5]CA_CON15_D0!$B$1:$B$21)</f>
        <v>0.19381188435313421</v>
      </c>
      <c r="D30" s="41">
        <f>[2]!interpol(D$3,B$3:C$3,B30:C30)</f>
        <v>0.19204138404607152</v>
      </c>
      <c r="E30" s="41"/>
      <c r="F30" s="41">
        <f>[2]!interpol(A30,[5]CA_CON10_D4!$A$1:$A$20,[5]CA_CON10_D4!$B$1:$B$20)</f>
        <v>0.20559505403584069</v>
      </c>
      <c r="G30" s="41">
        <f>[2]!interpol(A30,[5]CA_CON15_D4!$A$1:$A$20,[5]CA_CON15_D4!$B$1:$B$20)</f>
        <v>0.27764281288485293</v>
      </c>
      <c r="H30" s="89">
        <f>[2]!interpol(H$3,F$3:G$3,F30:G30)</f>
        <v>0.2762018577078727</v>
      </c>
      <c r="I30" s="41">
        <f t="shared" si="0"/>
        <v>0.19204138404607152</v>
      </c>
      <c r="J30" s="112">
        <f>[2]!interpol(J$2,H$2:I$2,H30:I30)</f>
        <v>0.24988751306017937</v>
      </c>
      <c r="L30" s="87">
        <f>[2]!interpol(A30,[5]CN_CON10_D0!$A$1:$A$21,[5]CN_CON10_D0!$B$1:$B$21)</f>
        <v>1.8447025884728057</v>
      </c>
      <c r="M30" s="41">
        <f>[2]!interpol(A30,[5]CN_CON15_D0!$A$1:$A$21,[5]CN_CON15_D0!$B$1:$B$21)</f>
        <v>1.755286227795487</v>
      </c>
      <c r="N30" s="41">
        <f>[2]!interpol(N$3,L$3:M$3,L30:M30)</f>
        <v>1.7570745550090334</v>
      </c>
      <c r="O30" s="41"/>
      <c r="P30" s="41">
        <f>[2]!interpol(A30,[5]CN_CON10_D4!$A$1:$A$20,[5]CN_CON10_D4!$B$1:$B$20)</f>
        <v>1.5759992647774281</v>
      </c>
      <c r="Q30" s="41">
        <f>[2]!interpol(A30,[5]CN_CON15_D4!$A$1:$A$20,[5]CN_CON15_D4!$B$1:$B$20)</f>
        <v>1.4671904015696184</v>
      </c>
      <c r="R30" s="89">
        <f>[2]!interpol(R$3,P$3:Q$3,P30:Q30)</f>
        <v>1.4693665788337746</v>
      </c>
      <c r="S30" s="89">
        <f t="shared" si="1"/>
        <v>1.7570745550090334</v>
      </c>
      <c r="T30" s="41">
        <f>[2]!interpol(T$2,R$2:S$2,R30:S30)</f>
        <v>1.7570745550090334</v>
      </c>
      <c r="U30" s="41">
        <f>[2]!interpol(U$2,R$2:S$2,R30:S30)</f>
        <v>1.5593238534730496</v>
      </c>
      <c r="W30" s="87">
        <f>[2]!interpol($A30,[5]XCP_CON10_D0!$A$1:$A$26,[5]XCP_CON10_D0!$B$1:$B$26)</f>
        <v>0.89709348581905823</v>
      </c>
      <c r="X30" s="41">
        <f>[2]!interpol($A30,[5]XCP_CON15_D0!$A$1:$A$26,[5]XCP_CON15_D0!$B$1:$B$26)</f>
        <v>0.54602915860081913</v>
      </c>
      <c r="Y30" s="41">
        <f t="shared" si="2"/>
        <v>0.55305044514518387</v>
      </c>
      <c r="Z30" s="41"/>
      <c r="AA30" s="41">
        <f>[2]!interpol($A30,[5]XCP_CON10_D4!$A$1:$A$26,[5]XCP_CON10_D4!$B$1:$B$26)</f>
        <v>0.75489658117692848</v>
      </c>
      <c r="AB30" s="41">
        <f>[2]!interpol($A30,[5]XCP_CON15_D4!$A$1:$A$26,[5]XCP_CON15_D4!$B$1:$B$26)</f>
        <v>0.43587661463452576</v>
      </c>
      <c r="AC30" s="89">
        <f t="shared" si="3"/>
        <v>0.44225701396537376</v>
      </c>
      <c r="AD30">
        <f t="shared" si="4"/>
        <v>0.55305044514518387</v>
      </c>
      <c r="AE30">
        <f t="shared" si="5"/>
        <v>0.47689865042385871</v>
      </c>
      <c r="AF30">
        <f t="shared" ca="1" si="6"/>
        <v>1.2640633201038298</v>
      </c>
    </row>
    <row r="31" spans="1:32">
      <c r="A31" s="112">
        <v>3.5</v>
      </c>
      <c r="B31" s="87">
        <v>0.10438466</v>
      </c>
      <c r="C31" s="41">
        <f>[2]!interpol(A31,[5]CA_CON15_D0!$A$1:$A$21,[5]CA_CON15_D0!$B$1:$B$21)</f>
        <v>0.1926565491967881</v>
      </c>
      <c r="D31" s="41">
        <f>[2]!interpol(D$3,B$3:C$3,B31:C31)</f>
        <v>0.19089111141285234</v>
      </c>
      <c r="E31" s="41"/>
      <c r="F31" s="41">
        <f>[2]!interpol(A31,[5]CA_CON10_D4!$A$1:$A$20,[5]CA_CON10_D4!$B$1:$B$20)</f>
        <v>0.20482019968137147</v>
      </c>
      <c r="G31" s="41">
        <f>[2]!interpol(A31,[5]CA_CON15_D4!$A$1:$A$20,[5]CA_CON15_D4!$B$1:$B$20)</f>
        <v>0.27642776842137007</v>
      </c>
      <c r="H31" s="89">
        <f>[2]!interpol(H$3,F$3:G$3,F31:G31)</f>
        <v>0.27499561704657011</v>
      </c>
      <c r="I31" s="41">
        <f t="shared" si="0"/>
        <v>0.19089111141285234</v>
      </c>
      <c r="J31" s="112">
        <f>[2]!interpol(J$2,H$2:I$2,H31:I31)</f>
        <v>0.24869877184863221</v>
      </c>
      <c r="L31" s="87">
        <f>[2]!interpol(A31,[5]CN_CON10_D0!$A$1:$A$21,[5]CN_CON10_D0!$B$1:$B$21)</f>
        <v>1.8465651471922933</v>
      </c>
      <c r="M31" s="41">
        <f>[2]!interpol(A31,[5]CN_CON15_D0!$A$1:$A$21,[5]CN_CON15_D0!$B$1:$B$21)</f>
        <v>1.7573885846640396</v>
      </c>
      <c r="N31" s="41">
        <f>[2]!interpol(N$3,L$3:M$3,L31:M31)</f>
        <v>1.7591721159146045</v>
      </c>
      <c r="O31" s="41"/>
      <c r="P31" s="41">
        <f>[2]!interpol(A31,[5]CN_CON10_D4!$A$1:$A$20,[5]CN_CON10_D4!$B$1:$B$20)</f>
        <v>1.5361397511809904</v>
      </c>
      <c r="Q31" s="41">
        <f>[2]!interpol(A31,[5]CN_CON15_D4!$A$1:$A$20,[5]CN_CON15_D4!$B$1:$B$20)</f>
        <v>1.429251737638874</v>
      </c>
      <c r="R31" s="89">
        <f>[2]!interpol(R$3,P$3:Q$3,P31:Q31)</f>
        <v>1.4313894979097164</v>
      </c>
      <c r="S31" s="89">
        <f t="shared" si="1"/>
        <v>1.7591721159146045</v>
      </c>
      <c r="T31" s="41">
        <f>[2]!interpol(T$2,R$2:S$2,R31:S31)</f>
        <v>1.7591721159146045</v>
      </c>
      <c r="U31" s="41">
        <f>[2]!interpol(U$2,R$2:S$2,R31:S31)</f>
        <v>1.5338768581206979</v>
      </c>
      <c r="W31" s="87">
        <f>[2]!interpol($A31,[5]XCP_CON10_D0!$A$1:$A$26,[5]XCP_CON10_D0!$B$1:$B$26)</f>
        <v>0.88953812904406926</v>
      </c>
      <c r="X31" s="41">
        <f>[2]!interpol($A31,[5]XCP_CON15_D0!$A$1:$A$26,[5]XCP_CON15_D0!$B$1:$B$26)</f>
        <v>0.54508481188825142</v>
      </c>
      <c r="Y31" s="41">
        <f t="shared" si="2"/>
        <v>0.55197387823136768</v>
      </c>
      <c r="Z31" s="41"/>
      <c r="AA31" s="41">
        <f>[2]!interpol($A31,[5]XCP_CON10_D4!$A$1:$A$26,[5]XCP_CON10_D4!$B$1:$B$26)</f>
        <v>0.75206272490138459</v>
      </c>
      <c r="AB31" s="41">
        <f>[2]!interpol($A31,[5]XCP_CON15_D4!$A$1:$A$26,[5]XCP_CON15_D4!$B$1:$B$26)</f>
        <v>0.43515095452716646</v>
      </c>
      <c r="AC31" s="89">
        <f t="shared" si="3"/>
        <v>0.44148918993465075</v>
      </c>
      <c r="AD31">
        <f t="shared" si="4"/>
        <v>0.55197387823136768</v>
      </c>
      <c r="AE31">
        <f t="shared" si="5"/>
        <v>0.47603429216180659</v>
      </c>
      <c r="AF31">
        <f t="shared" ca="1" si="6"/>
        <v>1.2495974313295202</v>
      </c>
    </row>
    <row r="32" spans="1:32">
      <c r="A32" s="112">
        <v>3.7</v>
      </c>
      <c r="B32" s="87">
        <v>0.10348245</v>
      </c>
      <c r="C32" s="41">
        <f>[2]!interpol(A32,[5]CA_CON15_D0!$A$1:$A$21,[5]CA_CON15_D0!$B$1:$B$21)</f>
        <v>0.19233005088420807</v>
      </c>
      <c r="D32" s="41">
        <f>[2]!interpol(D$3,B$3:C$3,B32:C32)</f>
        <v>0.19055309886652394</v>
      </c>
      <c r="E32" s="41"/>
      <c r="F32" s="41">
        <f>[2]!interpol(A32,[5]CA_CON10_D4!$A$1:$A$20,[5]CA_CON10_D4!$B$1:$B$20)</f>
        <v>0.20404534532690224</v>
      </c>
      <c r="G32" s="41">
        <f>[2]!interpol(A32,[5]CA_CON15_D4!$A$1:$A$20,[5]CA_CON15_D4!$B$1:$B$20)</f>
        <v>0.27535204917800027</v>
      </c>
      <c r="H32" s="89">
        <f>[2]!interpol(H$3,F$3:G$3,F32:G32)</f>
        <v>0.2739259151009783</v>
      </c>
      <c r="I32" s="41">
        <f t="shared" si="0"/>
        <v>0.19055309886652394</v>
      </c>
      <c r="J32" s="112">
        <f>[2]!interpol(J$2,H$2:I$2,H32:I32)</f>
        <v>0.24785784626550067</v>
      </c>
      <c r="L32" s="87">
        <f>[2]!interpol(A32,[5]CN_CON10_D0!$A$1:$A$21,[5]CN_CON10_D0!$B$1:$B$21)</f>
        <v>1.8484277059117811</v>
      </c>
      <c r="M32" s="41">
        <f>[2]!interpol(A32,[5]CN_CON15_D0!$A$1:$A$21,[5]CN_CON15_D0!$B$1:$B$21)</f>
        <v>1.7594909415325921</v>
      </c>
      <c r="N32" s="41">
        <f>[2]!interpol(N$3,L$3:M$3,L32:M32)</f>
        <v>1.7612696768201759</v>
      </c>
      <c r="O32" s="41"/>
      <c r="P32" s="41">
        <f>[2]!interpol(A32,[5]CN_CON10_D4!$A$1:$A$20,[5]CN_CON10_D4!$B$1:$B$20)</f>
        <v>1.4952590286688585</v>
      </c>
      <c r="Q32" s="41">
        <f>[2]!interpol(A32,[5]CN_CON15_D4!$A$1:$A$20,[5]CN_CON15_D4!$B$1:$B$20)</f>
        <v>1.4063571912728086</v>
      </c>
      <c r="R32" s="89">
        <f>[2]!interpol(R$3,P$3:Q$3,P32:Q32)</f>
        <v>1.4081352280207295</v>
      </c>
      <c r="S32" s="89">
        <f t="shared" si="1"/>
        <v>1.7612696768201759</v>
      </c>
      <c r="T32" s="41">
        <f>[2]!interpol(T$2,R$2:S$2,R32:S32)</f>
        <v>1.7612696768201759</v>
      </c>
      <c r="U32" s="41">
        <f>[2]!interpol(U$2,R$2:S$2,R32:S32)</f>
        <v>1.5185493118342757</v>
      </c>
      <c r="W32" s="87">
        <f>[2]!interpol($A32,[5]XCP_CON10_D0!$A$1:$A$26,[5]XCP_CON10_D0!$B$1:$B$26)</f>
        <v>0.88362609542829262</v>
      </c>
      <c r="X32" s="41">
        <f>[2]!interpol($A32,[5]XCP_CON15_D0!$A$1:$A$26,[5]XCP_CON15_D0!$B$1:$B$26)</f>
        <v>0.54414046517568382</v>
      </c>
      <c r="Y32" s="41">
        <f t="shared" si="2"/>
        <v>0.55093017778073605</v>
      </c>
      <c r="Z32" s="41"/>
      <c r="AA32" s="41">
        <f>[2]!interpol($A32,[5]XCP_CON10_D4!$A$1:$A$26,[5]XCP_CON10_D4!$B$1:$B$26)</f>
        <v>0.7492288686258407</v>
      </c>
      <c r="AB32" s="41">
        <f>[2]!interpol($A32,[5]XCP_CON15_D4!$A$1:$A$26,[5]XCP_CON15_D4!$B$1:$B$26)</f>
        <v>0.43442529441980721</v>
      </c>
      <c r="AC32" s="89">
        <f t="shared" si="3"/>
        <v>0.44072136590392785</v>
      </c>
      <c r="AD32">
        <f t="shared" si="4"/>
        <v>0.55093017778073605</v>
      </c>
      <c r="AE32">
        <f t="shared" si="5"/>
        <v>0.47518021021358647</v>
      </c>
      <c r="AF32">
        <f t="shared" ca="1" si="6"/>
        <v>1.2384926421464255</v>
      </c>
    </row>
    <row r="33" spans="1:32">
      <c r="A33" s="112">
        <v>3.9</v>
      </c>
      <c r="B33" s="87">
        <v>0.10258024</v>
      </c>
      <c r="C33" s="41">
        <f>[2]!interpol(A33,[5]CA_CON15_D0!$A$1:$A$21,[5]CA_CON15_D0!$B$1:$B$21)</f>
        <v>0.19200355257162807</v>
      </c>
      <c r="D33" s="41">
        <f>[2]!interpol(D$3,B$3:C$3,B33:C33)</f>
        <v>0.19021508632019551</v>
      </c>
      <c r="E33" s="41"/>
      <c r="F33" s="41">
        <f>[2]!interpol(A33,[5]CA_CON10_D4!$A$1:$A$20,[5]CA_CON10_D4!$B$1:$B$20)</f>
        <v>0.20327049097243305</v>
      </c>
      <c r="G33" s="41">
        <f>[2]!interpol(A33,[5]CA_CON15_D4!$A$1:$A$20,[5]CA_CON15_D4!$B$1:$B$20)</f>
        <v>0.27427632993463053</v>
      </c>
      <c r="H33" s="89">
        <f>[2]!interpol(H$3,F$3:G$3,F33:G33)</f>
        <v>0.27285621315538655</v>
      </c>
      <c r="I33" s="41">
        <f t="shared" si="0"/>
        <v>0.19021508632019551</v>
      </c>
      <c r="J33" s="112">
        <f>[2]!interpol(J$2,H$2:I$2,H33:I33)</f>
        <v>0.24701692068236919</v>
      </c>
      <c r="L33" s="87">
        <f>[2]!interpol(A33,[5]CN_CON10_D0!$A$1:$A$21,[5]CN_CON10_D0!$B$1:$B$21)</f>
        <v>1.8502902646312687</v>
      </c>
      <c r="M33" s="41">
        <f>[2]!interpol(A33,[5]CN_CON15_D0!$A$1:$A$21,[5]CN_CON15_D0!$B$1:$B$21)</f>
        <v>1.7674716349045485</v>
      </c>
      <c r="N33" s="41">
        <f>[2]!interpol(N$3,L$3:M$3,L33:M33)</f>
        <v>1.7691280074990829</v>
      </c>
      <c r="O33" s="41"/>
      <c r="P33" s="41">
        <f>[2]!interpol(A33,[5]CN_CON10_D4!$A$1:$A$20,[5]CN_CON10_D4!$B$1:$B$20)</f>
        <v>1.4641990978417361</v>
      </c>
      <c r="Q33" s="41">
        <f>[2]!interpol(A33,[5]CN_CON15_D4!$A$1:$A$20,[5]CN_CON15_D4!$B$1:$B$20)</f>
        <v>1.3907602299517496</v>
      </c>
      <c r="R33" s="89">
        <f>[2]!interpol(R$3,P$3:Q$3,P33:Q33)</f>
        <v>1.3922290073095493</v>
      </c>
      <c r="S33" s="89">
        <f t="shared" si="1"/>
        <v>1.7691280074990829</v>
      </c>
      <c r="T33" s="41">
        <f>[2]!interpol(T$2,R$2:S$2,R33:S33)</f>
        <v>1.7691280074990829</v>
      </c>
      <c r="U33" s="41">
        <f>[2]!interpol(U$2,R$2:S$2,R33:S33)</f>
        <v>1.5100735221611803</v>
      </c>
      <c r="W33" s="87">
        <f>[2]!interpol($A33,[5]XCP_CON10_D0!$A$1:$A$26,[5]XCP_CON10_D0!$B$1:$B$26)</f>
        <v>0.87805229408567875</v>
      </c>
      <c r="X33" s="41">
        <f>[2]!interpol($A33,[5]XCP_CON15_D0!$A$1:$A$26,[5]XCP_CON15_D0!$B$1:$B$26)</f>
        <v>0.54319611846311611</v>
      </c>
      <c r="Y33" s="41">
        <f t="shared" si="2"/>
        <v>0.54989324197556733</v>
      </c>
      <c r="Z33" s="41"/>
      <c r="AA33" s="41">
        <f>[2]!interpol($A33,[5]XCP_CON10_D4!$A$1:$A$26,[5]XCP_CON10_D4!$B$1:$B$26)</f>
        <v>0.74695746081999526</v>
      </c>
      <c r="AB33" s="41">
        <f>[2]!interpol($A33,[5]XCP_CON15_D4!$A$1:$A$26,[5]XCP_CON15_D4!$B$1:$B$26)</f>
        <v>0.43372395258413676</v>
      </c>
      <c r="AC33" s="89">
        <f t="shared" si="3"/>
        <v>0.43998862274885386</v>
      </c>
      <c r="AD33">
        <f t="shared" si="4"/>
        <v>0.54989324197556733</v>
      </c>
      <c r="AE33">
        <f t="shared" si="5"/>
        <v>0.4743523555425524</v>
      </c>
      <c r="AF33">
        <f t="shared" ca="1" si="6"/>
        <v>1.2280796416408593</v>
      </c>
    </row>
    <row r="34" spans="1:32">
      <c r="A34" s="112">
        <v>4.0999999999999996</v>
      </c>
      <c r="B34" s="87">
        <v>0.102228281</v>
      </c>
      <c r="C34" s="41">
        <f>[2]!interpol(A34,[5]CA_CON15_D0!$A$1:$A$21,[5]CA_CON15_D0!$B$1:$B$21)</f>
        <v>0.19164197849945161</v>
      </c>
      <c r="D34" s="41">
        <f>[2]!interpol(D$3,B$3:C$3,B34:C34)</f>
        <v>0.1898537045494626</v>
      </c>
      <c r="E34" s="41"/>
      <c r="F34" s="41">
        <f>[2]!interpol(A34,[5]CA_CON10_D4!$A$1:$A$20,[5]CA_CON10_D4!$B$1:$B$20)</f>
        <v>0.20284208249992317</v>
      </c>
      <c r="G34" s="41">
        <f>[2]!interpol(A34,[5]CA_CON15_D4!$A$1:$A$20,[5]CA_CON15_D4!$B$1:$B$20)</f>
        <v>0.27320061069126073</v>
      </c>
      <c r="H34" s="89">
        <f>[2]!interpol(H$3,F$3:G$3,F34:G34)</f>
        <v>0.27179344012743401</v>
      </c>
      <c r="I34" s="41">
        <f t="shared" si="0"/>
        <v>0.1898537045494626</v>
      </c>
      <c r="J34" s="112">
        <f>[2]!interpol(J$2,H$2:I$2,H34:I34)</f>
        <v>0.24617345073663935</v>
      </c>
      <c r="L34" s="87">
        <f>[2]!interpol(A34,[5]CN_CON10_D0!$A$1:$A$21,[5]CN_CON10_D0!$B$1:$B$21)</f>
        <v>1.8586946810742113</v>
      </c>
      <c r="M34" s="41">
        <f>[2]!interpol(A34,[5]CN_CON15_D0!$A$1:$A$21,[5]CN_CON15_D0!$B$1:$B$21)</f>
        <v>1.7762351095296678</v>
      </c>
      <c r="N34" s="41">
        <f>[2]!interpol(N$3,L$3:M$3,L34:M34)</f>
        <v>1.7778843009605587</v>
      </c>
      <c r="O34" s="41"/>
      <c r="P34" s="41">
        <f>[2]!interpol(A34,[5]CN_CON10_D4!$A$1:$A$20,[5]CN_CON10_D4!$B$1:$B$20)</f>
        <v>1.4376982271280527</v>
      </c>
      <c r="Q34" s="41">
        <f>[2]!interpol(A34,[5]CN_CON15_D4!$A$1:$A$20,[5]CN_CON15_D4!$B$1:$B$20)</f>
        <v>1.3802789127521875</v>
      </c>
      <c r="R34" s="89">
        <f>[2]!interpol(R$3,P$3:Q$3,P34:Q34)</f>
        <v>1.3814272990397047</v>
      </c>
      <c r="S34" s="89">
        <f t="shared" si="1"/>
        <v>1.7778843009605587</v>
      </c>
      <c r="T34" s="41">
        <f>[2]!interpol(T$2,R$2:S$2,R34:S34)</f>
        <v>1.7778843009605587</v>
      </c>
      <c r="U34" s="41">
        <f>[2]!interpol(U$2,R$2:S$2,R34:S34)</f>
        <v>1.5053869885782831</v>
      </c>
      <c r="W34" s="87">
        <f>[2]!interpol($A34,[5]XCP_CON10_D0!$A$1:$A$26,[5]XCP_CON10_D0!$B$1:$B$26)</f>
        <v>0.87520701423871772</v>
      </c>
      <c r="X34" s="41">
        <f>[2]!interpol($A34,[5]XCP_CON15_D0!$A$1:$A$26,[5]XCP_CON15_D0!$B$1:$B$26)</f>
        <v>0.5417103175098531</v>
      </c>
      <c r="Y34" s="41">
        <f t="shared" si="2"/>
        <v>0.54838025144443037</v>
      </c>
      <c r="Z34" s="41"/>
      <c r="AA34" s="41">
        <f>[2]!interpol($A34,[5]XCP_CON10_D4!$A$1:$A$26,[5]XCP_CON10_D4!$B$1:$B$26)</f>
        <v>0.74497577982788954</v>
      </c>
      <c r="AB34" s="41">
        <f>[2]!interpol($A34,[5]XCP_CON15_D4!$A$1:$A$26,[5]XCP_CON15_D4!$B$1:$B$26)</f>
        <v>0.43320795986211896</v>
      </c>
      <c r="AC34" s="89">
        <f t="shared" si="3"/>
        <v>0.43944331626143435</v>
      </c>
      <c r="AD34">
        <f t="shared" si="4"/>
        <v>0.54838025144443037</v>
      </c>
      <c r="AE34">
        <f t="shared" si="5"/>
        <v>0.47350448455747118</v>
      </c>
      <c r="AF34">
        <f t="shared" ca="1" si="6"/>
        <v>1.2238132896266203</v>
      </c>
    </row>
    <row r="35" spans="1:32">
      <c r="A35" s="112">
        <v>4.3</v>
      </c>
      <c r="B35" s="87">
        <v>0.102382397</v>
      </c>
      <c r="C35" s="41">
        <f>[2]!interpol(A35,[5]CA_CON15_D0!$A$1:$A$21,[5]CA_CON15_D0!$B$1:$B$21)</f>
        <v>0.19127793769804693</v>
      </c>
      <c r="D35" s="41">
        <f>[2]!interpol(D$3,B$3:C$3,B35:C35)</f>
        <v>0.18950002688408601</v>
      </c>
      <c r="E35" s="41"/>
      <c r="F35" s="41">
        <f>[2]!interpol(A35,[5]CA_CON10_D4!$A$1:$A$20,[5]CA_CON10_D4!$B$1:$B$20)</f>
        <v>0.20271212056647597</v>
      </c>
      <c r="G35" s="41">
        <f>[2]!interpol(A35,[5]CA_CON15_D4!$A$1:$A$20,[5]CA_CON15_D4!$B$1:$B$20)</f>
        <v>0.27212489144789093</v>
      </c>
      <c r="H35" s="89">
        <f>[2]!interpol(H$3,F$3:G$3,F35:G35)</f>
        <v>0.27073663603026266</v>
      </c>
      <c r="I35" s="41">
        <f t="shared" si="0"/>
        <v>0.18950002688408601</v>
      </c>
      <c r="J35" s="112">
        <f>[2]!interpol(J$2,H$2:I$2,H35:I35)</f>
        <v>0.24533649225644374</v>
      </c>
      <c r="L35" s="87">
        <f>[2]!interpol(A35,[5]CN_CON10_D0!$A$1:$A$21,[5]CN_CON10_D0!$B$1:$B$21)</f>
        <v>1.8692430049243534</v>
      </c>
      <c r="M35" s="41">
        <f>[2]!interpol(A35,[5]CN_CON15_D0!$A$1:$A$21,[5]CN_CON15_D0!$B$1:$B$21)</f>
        <v>1.7849985841547873</v>
      </c>
      <c r="N35" s="41">
        <f>[2]!interpol(N$3,L$3:M$3,L35:M35)</f>
        <v>1.7866834725701786</v>
      </c>
      <c r="O35" s="41"/>
      <c r="P35" s="41">
        <f>[2]!interpol(A35,[5]CN_CON10_D4!$A$1:$A$20,[5]CN_CON10_D4!$B$1:$B$20)</f>
        <v>1.4111973564143692</v>
      </c>
      <c r="Q35" s="41">
        <f>[2]!interpol(A35,[5]CN_CON15_D4!$A$1:$A$20,[5]CN_CON15_D4!$B$1:$B$20)</f>
        <v>1.3731273904452668</v>
      </c>
      <c r="R35" s="89">
        <f>[2]!interpol(R$3,P$3:Q$3,P35:Q35)</f>
        <v>1.3738887897646488</v>
      </c>
      <c r="S35" s="89">
        <f t="shared" si="1"/>
        <v>1.7866834725701786</v>
      </c>
      <c r="T35" s="41">
        <f>[2]!interpol(T$2,R$2:S$2,R35:S35)</f>
        <v>1.7866834725701786</v>
      </c>
      <c r="U35" s="41">
        <f>[2]!interpol(U$2,R$2:S$2,R35:S35)</f>
        <v>1.5029567605050536</v>
      </c>
      <c r="W35" s="87">
        <f>[2]!interpol($A35,[5]XCP_CON10_D0!$A$1:$A$26,[5]XCP_CON10_D0!$B$1:$B$26)</f>
        <v>0.87240209897558718</v>
      </c>
      <c r="X35" s="41">
        <f>[2]!interpol($A35,[5]XCP_CON15_D0!$A$1:$A$26,[5]XCP_CON15_D0!$B$1:$B$26)</f>
        <v>0.54021267039497667</v>
      </c>
      <c r="Y35" s="41">
        <f t="shared" si="2"/>
        <v>0.54685645896658885</v>
      </c>
      <c r="Z35" s="41"/>
      <c r="AA35" s="41">
        <f>[2]!interpol($A35,[5]XCP_CON10_D4!$A$1:$A$26,[5]XCP_CON10_D4!$B$1:$B$26)</f>
        <v>0.74299409883578371</v>
      </c>
      <c r="AB35" s="41">
        <f>[2]!interpol($A35,[5]XCP_CON15_D4!$A$1:$A$26,[5]XCP_CON15_D4!$B$1:$B$26)</f>
        <v>0.43270170975391942</v>
      </c>
      <c r="AC35" s="89">
        <f t="shared" si="3"/>
        <v>0.43890755753555666</v>
      </c>
      <c r="AD35">
        <f t="shared" si="4"/>
        <v>0.54685645896658885</v>
      </c>
      <c r="AE35">
        <f t="shared" si="5"/>
        <v>0.4726597986174097</v>
      </c>
      <c r="AF35">
        <f t="shared" ca="1" si="6"/>
        <v>1.2196418784294487</v>
      </c>
    </row>
    <row r="36" spans="1:32">
      <c r="A36" s="112">
        <v>4.5</v>
      </c>
      <c r="B36" s="87">
        <v>0.102536514</v>
      </c>
      <c r="C36" s="41">
        <f>[2]!interpol(A36,[5]CA_CON15_D0!$A$1:$A$21,[5]CA_CON15_D0!$B$1:$B$21)</f>
        <v>0.19091166751139069</v>
      </c>
      <c r="D36" s="41">
        <f>[2]!interpol(D$3,B$3:C$3,B36:C36)</f>
        <v>0.18914416444116289</v>
      </c>
      <c r="E36" s="41"/>
      <c r="F36" s="41">
        <f>[2]!interpol(A36,[5]CA_CON10_D4!$A$1:$A$20,[5]CA_CON10_D4!$B$1:$B$20)</f>
        <v>0.20233358631340642</v>
      </c>
      <c r="G36" s="41">
        <f>[2]!interpol(A36,[5]CA_CON15_D4!$A$1:$A$20,[5]CA_CON15_D4!$B$1:$B$20)</f>
        <v>0.27166436875808875</v>
      </c>
      <c r="H36" s="89">
        <f>[2]!interpol(H$3,F$3:G$3,F36:G36)</f>
        <v>0.27027775310919511</v>
      </c>
      <c r="I36" s="41">
        <f t="shared" si="0"/>
        <v>0.18914416444116289</v>
      </c>
      <c r="J36" s="112">
        <f>[2]!interpol(J$2,H$2:I$2,H36:I36)</f>
        <v>0.24490982061282879</v>
      </c>
      <c r="L36" s="87">
        <f>[2]!interpol(A36,[5]CN_CON10_D0!$A$1:$A$21,[5]CN_CON10_D0!$B$1:$B$21)</f>
        <v>1.8797913287744954</v>
      </c>
      <c r="M36" s="41">
        <f>[2]!interpol(A36,[5]CN_CON15_D0!$A$1:$A$21,[5]CN_CON15_D0!$B$1:$B$21)</f>
        <v>1.7985233943520931</v>
      </c>
      <c r="N36" s="41">
        <f>[2]!interpol(N$3,L$3:M$3,L36:M36)</f>
        <v>1.8001487530405411</v>
      </c>
      <c r="O36" s="41"/>
      <c r="P36" s="41">
        <f>[2]!interpol(A36,[5]CN_CON10_D4!$A$1:$A$20,[5]CN_CON10_D4!$B$1:$B$20)</f>
        <v>1.3846964857006856</v>
      </c>
      <c r="Q36" s="41">
        <f>[2]!interpol(A36,[5]CN_CON15_D4!$A$1:$A$20,[5]CN_CON15_D4!$B$1:$B$20)</f>
        <v>1.3740444754290182</v>
      </c>
      <c r="R36" s="89">
        <f>[2]!interpol(R$3,P$3:Q$3,P36:Q36)</f>
        <v>1.3742575156344516</v>
      </c>
      <c r="S36" s="89">
        <f t="shared" si="1"/>
        <v>1.8001487530405411</v>
      </c>
      <c r="T36" s="41">
        <f>[2]!interpol(T$2,R$2:S$2,R36:S36)</f>
        <v>1.8001487530405411</v>
      </c>
      <c r="U36" s="41">
        <f>[2]!interpol(U$2,R$2:S$2,R36:S36)</f>
        <v>1.5074203688827823</v>
      </c>
      <c r="W36" s="87">
        <f>[2]!interpol($A36,[5]XCP_CON10_D0!$A$1:$A$26,[5]XCP_CON10_D0!$B$1:$B$26)</f>
        <v>0.8705601644885661</v>
      </c>
      <c r="X36" s="41">
        <f>[2]!interpol($A36,[5]XCP_CON15_D0!$A$1:$A$26,[5]XCP_CON15_D0!$B$1:$B$26)</f>
        <v>0.53871502328010024</v>
      </c>
      <c r="Y36" s="41">
        <f t="shared" si="2"/>
        <v>0.54535192610426952</v>
      </c>
      <c r="Z36" s="41"/>
      <c r="AA36" s="41">
        <f>[2]!interpol($A36,[5]XCP_CON10_D4!$A$1:$A$26,[5]XCP_CON10_D4!$B$1:$B$26)</f>
        <v>0.741599817347535</v>
      </c>
      <c r="AB36" s="41">
        <f>[2]!interpol($A36,[5]XCP_CON15_D4!$A$1:$A$26,[5]XCP_CON15_D4!$B$1:$B$26)</f>
        <v>0.43269182684064295</v>
      </c>
      <c r="AC36" s="89">
        <f t="shared" si="3"/>
        <v>0.43886998665078075</v>
      </c>
      <c r="AD36">
        <f t="shared" si="4"/>
        <v>0.54535192610426952</v>
      </c>
      <c r="AE36">
        <f t="shared" si="5"/>
        <v>0.47216355465984122</v>
      </c>
      <c r="AF36">
        <f t="shared" ca="1" si="6"/>
        <v>1.2174400581035463</v>
      </c>
    </row>
    <row r="37" spans="1:32">
      <c r="A37" s="112">
        <v>4.7</v>
      </c>
      <c r="B37" s="87">
        <v>0.102690631</v>
      </c>
      <c r="C37" s="41">
        <f>[2]!interpol(A37,[5]CA_CON15_D0!$A$1:$A$21,[5]CA_CON15_D0!$B$1:$B$21)</f>
        <v>0.1904422682387395</v>
      </c>
      <c r="D37" s="41">
        <f>[2]!interpol(D$3,B$3:C$3,B37:C37)</f>
        <v>0.18868723549396471</v>
      </c>
      <c r="E37" s="41"/>
      <c r="F37" s="41">
        <f>[2]!interpol(A37,[5]CA_CON10_D4!$A$1:$A$20,[5]CA_CON10_D4!$B$1:$B$20)</f>
        <v>0.20124619609060984</v>
      </c>
      <c r="G37" s="41">
        <f>[2]!interpol(A37,[5]CA_CON15_D4!$A$1:$A$20,[5]CA_CON15_D4!$B$1:$B$20)</f>
        <v>0.27120984683439459</v>
      </c>
      <c r="H37" s="89">
        <f>[2]!interpol(H$3,F$3:G$3,F37:G37)</f>
        <v>0.2698105738195189</v>
      </c>
      <c r="I37" s="41">
        <f t="shared" si="0"/>
        <v>0.18868723549396471</v>
      </c>
      <c r="J37" s="112">
        <f>[2]!interpol(J$2,H$2:I$2,H37:I37)</f>
        <v>0.24444584628425831</v>
      </c>
      <c r="L37" s="87">
        <f>[2]!interpol(A37,[5]CN_CON10_D0!$A$1:$A$21,[5]CN_CON10_D0!$B$1:$B$21)</f>
        <v>1.8903396526246374</v>
      </c>
      <c r="M37" s="41">
        <f>[2]!interpol(A37,[5]CN_CON15_D0!$A$1:$A$21,[5]CN_CON15_D0!$B$1:$B$21)</f>
        <v>1.8121624890847188</v>
      </c>
      <c r="N37" s="41">
        <f>[2]!interpol(N$3,L$3:M$3,L37:M37)</f>
        <v>1.8137260323555171</v>
      </c>
      <c r="O37" s="41"/>
      <c r="P37" s="41">
        <f>[2]!interpol(A37,[5]CN_CON10_D4!$A$1:$A$20,[5]CN_CON10_D4!$B$1:$B$20)</f>
        <v>1.358195614987002</v>
      </c>
      <c r="Q37" s="41">
        <f>[2]!interpol(A37,[5]CN_CON15_D4!$A$1:$A$20,[5]CN_CON15_D4!$B$1:$B$20)</f>
        <v>1.380140460595543</v>
      </c>
      <c r="R37" s="89">
        <f>[2]!interpol(R$3,P$3:Q$3,P37:Q37)</f>
        <v>1.379701563683372</v>
      </c>
      <c r="S37" s="89">
        <f t="shared" si="1"/>
        <v>1.8137260323555171</v>
      </c>
      <c r="T37" s="41">
        <f>[2]!interpol(T$2,R$2:S$2,R37:S37)</f>
        <v>1.8137260323555171</v>
      </c>
      <c r="U37" s="41">
        <f>[2]!interpol(U$2,R$2:S$2,R37:S37)</f>
        <v>1.5154074236582857</v>
      </c>
      <c r="W37" s="87">
        <f>[2]!interpol($A37,[5]XCP_CON10_D0!$A$1:$A$26,[5]XCP_CON10_D0!$B$1:$B$26)</f>
        <v>0.86877279207575309</v>
      </c>
      <c r="X37" s="41">
        <f>[2]!interpol($A37,[5]XCP_CON15_D0!$A$1:$A$26,[5]XCP_CON15_D0!$B$1:$B$26)</f>
        <v>0.5372173761652238</v>
      </c>
      <c r="Y37" s="41">
        <f t="shared" si="2"/>
        <v>0.54384848448343437</v>
      </c>
      <c r="Z37" s="41"/>
      <c r="AA37" s="41">
        <f>[2]!interpol($A37,[5]XCP_CON10_D4!$A$1:$A$26,[5]XCP_CON10_D4!$B$1:$B$26)</f>
        <v>0.74041652639505917</v>
      </c>
      <c r="AB37" s="41">
        <f>[2]!interpol($A37,[5]XCP_CON15_D4!$A$1:$A$26,[5]XCP_CON15_D4!$B$1:$B$26)</f>
        <v>0.43268194392736653</v>
      </c>
      <c r="AC37" s="89">
        <f t="shared" si="3"/>
        <v>0.43883663557672037</v>
      </c>
      <c r="AD37">
        <f t="shared" si="4"/>
        <v>0.54384848448343437</v>
      </c>
      <c r="AE37">
        <f t="shared" si="5"/>
        <v>0.47167055230735999</v>
      </c>
      <c r="AF37">
        <f t="shared" ca="1" si="6"/>
        <v>1.2153498339444042</v>
      </c>
    </row>
    <row r="38" spans="1:32">
      <c r="A38" s="113">
        <v>4.9000000000000004</v>
      </c>
      <c r="B38" s="90">
        <v>0.102844747</v>
      </c>
      <c r="C38" s="92">
        <f>[2]!interpol(A38,[5]CA_CON15_D0!$A$1:$A$21,[5]CA_CON15_D0!$B$1:$B$21)</f>
        <v>0.18997286896608828</v>
      </c>
      <c r="D38" s="92">
        <f>[2]!interpol(D$3,B$3:C$3,B38:C38)</f>
        <v>0.18823030652676653</v>
      </c>
      <c r="E38" s="92"/>
      <c r="F38" s="92">
        <f>[2]!interpol(A38,[5]CA_CON10_D4!$A$1:$A$20,[5]CA_CON10_D4!$B$1:$B$20)</f>
        <v>0.20015880586781323</v>
      </c>
      <c r="G38" s="92">
        <f>[2]!interpol(A38,[5]CA_CON15_D4!$A$1:$A$20,[5]CA_CON15_D4!$B$1:$B$20)</f>
        <v>0.27075532491070042</v>
      </c>
      <c r="H38" s="93">
        <f>[2]!interpol(H$3,F$3:G$3,F38:G38)</f>
        <v>0.26934339452984268</v>
      </c>
      <c r="I38" s="41">
        <f t="shared" si="0"/>
        <v>0.18823030652676653</v>
      </c>
      <c r="J38" s="113">
        <f>[2]!interpol(J$2,H$2:I$2,H38:I38)</f>
        <v>0.24398187194943441</v>
      </c>
      <c r="L38" s="90">
        <f>[2]!interpol(A38,[5]CN_CON10_D0!$A$1:$A$21,[5]CN_CON10_D0!$B$1:$B$21)</f>
        <v>1.9047434574185795</v>
      </c>
      <c r="M38" s="92">
        <f>[2]!interpol(A38,[5]CN_CON15_D0!$A$1:$A$21,[5]CN_CON15_D0!$B$1:$B$21)</f>
        <v>1.8226635428420077</v>
      </c>
      <c r="N38" s="92">
        <f>[2]!interpol(N$3,L$3:M$3,L38:M38)</f>
        <v>1.8243051411335391</v>
      </c>
      <c r="O38" s="92"/>
      <c r="P38" s="92">
        <f>[2]!interpol(A38,[5]CN_CON10_D4!$A$1:$A$20,[5]CN_CON10_D4!$B$1:$B$20)</f>
        <v>1.3316947442733187</v>
      </c>
      <c r="Q38" s="92">
        <f>[2]!interpol(A38,[5]CN_CON15_D4!$A$1:$A$20,[5]CN_CON15_D4!$B$1:$B$20)</f>
        <v>1.3974599658705891</v>
      </c>
      <c r="R38" s="93">
        <f>[2]!interpol(R$3,P$3:Q$3,P38:Q38)</f>
        <v>1.3961446614386437</v>
      </c>
      <c r="S38" s="89">
        <f t="shared" si="1"/>
        <v>1.8243051411335391</v>
      </c>
      <c r="T38" s="41">
        <f>[2]!interpol(T$2,R$2:S$2,R38:S38)</f>
        <v>1.8243051411335391</v>
      </c>
      <c r="U38" s="41">
        <f>[2]!interpol(U$2,R$2:S$2,R38:S38)</f>
        <v>1.5300170356898708</v>
      </c>
      <c r="W38" s="90">
        <f>[2]!interpol($A38,[5]XCP_CON10_D0!$A$1:$A$26,[5]XCP_CON10_D0!$B$1:$B$26)</f>
        <v>0.86748405716500687</v>
      </c>
      <c r="X38" s="92">
        <f>[2]!interpol($A38,[5]XCP_CON15_D0!$A$1:$A$26,[5]XCP_CON15_D0!$B$1:$B$26)</f>
        <v>0.53571972905034737</v>
      </c>
      <c r="Y38" s="92">
        <f t="shared" si="2"/>
        <v>0.54235501561264055</v>
      </c>
      <c r="Z38" s="92"/>
      <c r="AA38" s="92">
        <f>[2]!interpol($A38,[5]XCP_CON10_D4!$A$1:$A$26,[5]XCP_CON10_D4!$B$1:$B$26)</f>
        <v>0.73923323544258346</v>
      </c>
      <c r="AB38" s="92">
        <f>[2]!interpol($A38,[5]XCP_CON15_D4!$A$1:$A$26,[5]XCP_CON15_D4!$B$1:$B$26)</f>
        <v>0.43267206101409006</v>
      </c>
      <c r="AC38" s="93">
        <f t="shared" si="3"/>
        <v>0.43880328450265987</v>
      </c>
      <c r="AD38">
        <f t="shared" si="4"/>
        <v>0.54235501561264055</v>
      </c>
      <c r="AE38">
        <f t="shared" si="5"/>
        <v>0.47118066812152226</v>
      </c>
      <c r="AF38">
        <f t="shared" ca="1" si="6"/>
        <v>1.2142794763251852</v>
      </c>
    </row>
    <row r="40" spans="1:32">
      <c r="A40" s="78" t="s">
        <v>243</v>
      </c>
    </row>
    <row r="41" spans="1:32">
      <c r="A41" s="104" t="s">
        <v>204</v>
      </c>
      <c r="B41" s="83">
        <v>5</v>
      </c>
      <c r="C41" s="85">
        <v>8</v>
      </c>
      <c r="D41" s="85">
        <v>10</v>
      </c>
      <c r="E41" s="85">
        <v>13</v>
      </c>
      <c r="F41" s="85">
        <v>15</v>
      </c>
      <c r="G41" s="85">
        <v>18</v>
      </c>
      <c r="H41" s="86">
        <v>20</v>
      </c>
      <c r="I41" s="86"/>
      <c r="J41" s="86"/>
      <c r="K41" s="118">
        <f>Géométrie!I96</f>
        <v>5</v>
      </c>
      <c r="L41" t="s">
        <v>245</v>
      </c>
      <c r="M41" s="80">
        <f>Géométrie!B85/2</f>
        <v>1.6</v>
      </c>
    </row>
    <row r="42" spans="1:32" ht="15.75">
      <c r="A42" s="115" t="s">
        <v>213</v>
      </c>
      <c r="B42" s="90" t="s">
        <v>244</v>
      </c>
      <c r="C42" s="92" t="s">
        <v>244</v>
      </c>
      <c r="D42" s="92" t="s">
        <v>244</v>
      </c>
      <c r="E42" s="92" t="s">
        <v>244</v>
      </c>
      <c r="F42" s="92" t="s">
        <v>244</v>
      </c>
      <c r="G42" s="92" t="s">
        <v>244</v>
      </c>
      <c r="H42" s="93" t="s">
        <v>244</v>
      </c>
      <c r="I42" s="93"/>
      <c r="J42" s="93"/>
      <c r="K42" s="117" t="s">
        <v>244</v>
      </c>
      <c r="L42" s="75" t="s">
        <v>246</v>
      </c>
      <c r="M42" s="169">
        <f>Géométrie!B113/2</f>
        <v>1.7</v>
      </c>
      <c r="N42" s="130" t="s">
        <v>206</v>
      </c>
      <c r="P42" s="173" t="s">
        <v>627</v>
      </c>
    </row>
    <row r="43" spans="1:32" ht="15.75">
      <c r="A43" s="116">
        <v>0.5</v>
      </c>
      <c r="B43" s="83">
        <v>4.8120123554382332E-2</v>
      </c>
      <c r="C43" s="85">
        <v>6.3946714130694846E-2</v>
      </c>
      <c r="D43" s="85">
        <v>5.7795449398834027E-2</v>
      </c>
      <c r="E43" s="85">
        <v>0.10501581689027148</v>
      </c>
      <c r="F43" s="85">
        <v>0.11981484834126789</v>
      </c>
      <c r="G43" s="85">
        <v>0.14125713751929028</v>
      </c>
      <c r="H43" s="86">
        <v>0.1625755492562603</v>
      </c>
      <c r="I43" s="89"/>
      <c r="J43" s="89"/>
      <c r="K43" s="112">
        <f>[2]!interpol(K$41,B$41:H$41,B43:H43)</f>
        <v>4.8120123554382332E-2</v>
      </c>
      <c r="L43" t="s">
        <v>247</v>
      </c>
      <c r="M43">
        <f>Aerodynamique!B1</f>
        <v>8.5012282604303202</v>
      </c>
      <c r="N43" s="112">
        <f>K43*PI()*(M$42^2-M$41^2)/M$43</f>
        <v>5.8682535353317619E-3</v>
      </c>
      <c r="P43" s="126">
        <f ca="1">PI()*Géométrie!B3^2/4/SIN(Géométrie!B4*PI()/180)+PI()*Géométrie!B3*(Géométrie!B2+Géométrie!B13+Géométrie!B16+Géométrie!B84-Géométrie!B72)</f>
        <v>255.8734851434499</v>
      </c>
    </row>
    <row r="44" spans="1:32">
      <c r="A44" s="112">
        <v>0.6</v>
      </c>
      <c r="B44" s="87">
        <v>5.2004385424457608E-2</v>
      </c>
      <c r="C44" s="41">
        <v>6.8533053142707037E-2</v>
      </c>
      <c r="D44" s="41">
        <v>8.0498968555217432E-2</v>
      </c>
      <c r="E44" s="41">
        <v>0.12166612083413023</v>
      </c>
      <c r="F44" s="41">
        <v>0.13350472752581211</v>
      </c>
      <c r="G44" s="41">
        <v>0.15587372462212723</v>
      </c>
      <c r="H44" s="89">
        <v>0.18183645743843155</v>
      </c>
      <c r="I44" s="89"/>
      <c r="J44" s="89"/>
      <c r="K44" s="112">
        <f>[2]!interpol(K$41,B$41:H$41,B44:H44)</f>
        <v>5.2004385424457608E-2</v>
      </c>
      <c r="N44" s="112">
        <f t="shared" ref="N44:N71" si="7">K44*PI()*(M$42^2-M$41^2)/M$43</f>
        <v>6.341939631034809E-3</v>
      </c>
    </row>
    <row r="45" spans="1:32" ht="15.75">
      <c r="A45" s="112">
        <v>0.7</v>
      </c>
      <c r="B45" s="87">
        <v>5.6633115813711006E-2</v>
      </c>
      <c r="C45" s="41">
        <v>7.5899319211984229E-2</v>
      </c>
      <c r="D45" s="41">
        <v>0.10320248771160083</v>
      </c>
      <c r="E45" s="41">
        <v>0.14455212148037203</v>
      </c>
      <c r="F45" s="41">
        <v>0.1548484857884205</v>
      </c>
      <c r="G45" s="41">
        <v>0.18043788493431853</v>
      </c>
      <c r="H45" s="89">
        <v>0.20736008858597935</v>
      </c>
      <c r="I45" s="89"/>
      <c r="J45" s="89"/>
      <c r="K45" s="112">
        <f>[2]!interpol(K$41,B$41:H$41,B45:H45)</f>
        <v>5.6633115813711006E-2</v>
      </c>
      <c r="N45" s="112">
        <f t="shared" si="7"/>
        <v>6.9064137317743132E-3</v>
      </c>
      <c r="P45" s="174" t="s">
        <v>628</v>
      </c>
    </row>
    <row r="46" spans="1:32" ht="15.75">
      <c r="A46" s="112">
        <v>0.8</v>
      </c>
      <c r="B46" s="87">
        <v>6.5477215222205815E-2</v>
      </c>
      <c r="C46" s="41">
        <v>8.5213191159939028E-2</v>
      </c>
      <c r="D46" s="41">
        <v>0.12691558989307675</v>
      </c>
      <c r="E46" s="41">
        <v>0.17069767738670524</v>
      </c>
      <c r="F46" s="41">
        <v>0.18078361219365804</v>
      </c>
      <c r="G46" s="41">
        <v>0.21038884530825336</v>
      </c>
      <c r="H46" s="89">
        <v>0.23904979432109758</v>
      </c>
      <c r="I46" s="89"/>
      <c r="J46" s="89"/>
      <c r="K46" s="112">
        <f>[2]!interpol(K$41,B$41:H$41,B46:H46)</f>
        <v>6.5477215222205815E-2</v>
      </c>
      <c r="N46" s="112">
        <f t="shared" si="7"/>
        <v>7.9849524758004321E-3</v>
      </c>
      <c r="P46" s="121">
        <f ca="1">PI()*Géométrie!B113^2/4/SIN(Géométrie!I96*PI()/180)+PI()*Géométrie!B113*(Géométrie!B139+Géométrie!B114-Géométrie!B109)</f>
        <v>266.4367355726007</v>
      </c>
    </row>
    <row r="47" spans="1:32">
      <c r="A47" s="112">
        <v>0.9</v>
      </c>
      <c r="B47" s="87">
        <v>8.3270011256288398E-2</v>
      </c>
      <c r="C47" s="41">
        <v>0.1099782720897705</v>
      </c>
      <c r="D47" s="41">
        <v>0.15987368005962221</v>
      </c>
      <c r="E47" s="41">
        <v>0.20335826757077446</v>
      </c>
      <c r="F47" s="41">
        <v>0.22469576754675286</v>
      </c>
      <c r="G47" s="41">
        <v>0.26013139157690363</v>
      </c>
      <c r="H47" s="89">
        <v>0.32305924863706714</v>
      </c>
      <c r="I47" s="89"/>
      <c r="J47" s="89"/>
      <c r="K47" s="112">
        <f>[2]!interpol(K$41,B$41:H$41,B47:H47)</f>
        <v>8.3270011256288398E-2</v>
      </c>
      <c r="N47" s="112">
        <f t="shared" si="7"/>
        <v>1.0154785604188839E-2</v>
      </c>
    </row>
    <row r="48" spans="1:32">
      <c r="A48" s="112">
        <v>0.92</v>
      </c>
      <c r="B48" s="87">
        <v>8.8486843239211882E-2</v>
      </c>
      <c r="C48" s="41">
        <v>0.11562762969869153</v>
      </c>
      <c r="D48" s="41">
        <v>0.16646529809293131</v>
      </c>
      <c r="E48" s="41">
        <v>0.21145260226049298</v>
      </c>
      <c r="F48" s="41">
        <v>0.2359308885935863</v>
      </c>
      <c r="G48" s="41">
        <v>0.28413123354507724</v>
      </c>
      <c r="H48" s="89">
        <v>0.36969972510319932</v>
      </c>
      <c r="I48" s="89"/>
      <c r="J48" s="89"/>
      <c r="K48" s="112">
        <f>[2]!interpol(K$41,B$41:H$41,B48:H48)</f>
        <v>8.8486843239211882E-2</v>
      </c>
      <c r="N48" s="112">
        <f t="shared" si="7"/>
        <v>1.0790978748880683E-2</v>
      </c>
    </row>
    <row r="49" spans="1:14">
      <c r="A49" s="112">
        <v>0.94</v>
      </c>
      <c r="B49" s="87">
        <v>9.4017609682369885E-2</v>
      </c>
      <c r="C49" s="41">
        <v>0.12374759616926223</v>
      </c>
      <c r="D49" s="41">
        <v>0.1771232657813194</v>
      </c>
      <c r="E49" s="41">
        <v>0.21954693695021146</v>
      </c>
      <c r="F49" s="41">
        <v>0.24716600964041968</v>
      </c>
      <c r="G49" s="41">
        <v>0.31122302299669485</v>
      </c>
      <c r="H49" s="89">
        <v>0.42071503481676764</v>
      </c>
      <c r="I49" s="89"/>
      <c r="J49" s="89"/>
      <c r="K49" s="112">
        <f>[2]!interpol(K$41,B$41:H$41,B49:H49)</f>
        <v>9.4017609682369885E-2</v>
      </c>
      <c r="N49" s="112">
        <f t="shared" si="7"/>
        <v>1.1465456230146425E-2</v>
      </c>
    </row>
    <row r="50" spans="1:14">
      <c r="A50" s="112">
        <v>0.96</v>
      </c>
      <c r="B50" s="87">
        <v>9.9292639526506909E-2</v>
      </c>
      <c r="C50" s="41">
        <v>0.13252922324120076</v>
      </c>
      <c r="D50" s="41">
        <v>0.18857301104585239</v>
      </c>
      <c r="E50" s="41">
        <v>0.22764127163992998</v>
      </c>
      <c r="F50" s="41">
        <v>0.26488331429341805</v>
      </c>
      <c r="G50" s="41">
        <v>0.34620649752359456</v>
      </c>
      <c r="H50" s="89">
        <v>0.46646420046318204</v>
      </c>
      <c r="I50" s="89"/>
      <c r="J50" s="89"/>
      <c r="K50" s="112">
        <f>[2]!interpol(K$41,B$41:H$41,B50:H50)</f>
        <v>9.9292639526506909E-2</v>
      </c>
      <c r="N50" s="112">
        <f t="shared" si="7"/>
        <v>1.2108746609416838E-2</v>
      </c>
    </row>
    <row r="51" spans="1:14">
      <c r="A51" s="112">
        <v>0.98</v>
      </c>
      <c r="B51" s="87">
        <v>0.10431459721411597</v>
      </c>
      <c r="C51" s="41">
        <v>0.14131085031313931</v>
      </c>
      <c r="D51" s="41">
        <v>0.20002275631038541</v>
      </c>
      <c r="E51" s="41">
        <v>0.25087856984284007</v>
      </c>
      <c r="F51" s="41">
        <v>0.29531960387451656</v>
      </c>
      <c r="G51" s="41">
        <v>0.37852771932781437</v>
      </c>
      <c r="H51" s="89">
        <v>0.50282399716551252</v>
      </c>
      <c r="I51" s="89"/>
      <c r="J51" s="89"/>
      <c r="K51" s="112">
        <f>[2]!interpol(K$41,B$41:H$41,B51:H51)</f>
        <v>0.10431459721411597</v>
      </c>
      <c r="N51" s="112">
        <f t="shared" si="7"/>
        <v>1.2721174815701326E-2</v>
      </c>
    </row>
    <row r="52" spans="1:14">
      <c r="A52" s="112">
        <v>1</v>
      </c>
      <c r="B52" s="87">
        <v>0.10985306717548897</v>
      </c>
      <c r="C52" s="41">
        <v>0.15009247738507783</v>
      </c>
      <c r="D52" s="41">
        <v>0.2115566807853837</v>
      </c>
      <c r="E52" s="41">
        <v>0.277866541414094</v>
      </c>
      <c r="F52" s="41">
        <v>0.33263689805309898</v>
      </c>
      <c r="G52" s="41">
        <v>0.40841206969712002</v>
      </c>
      <c r="H52" s="89">
        <v>0.52887181059965838</v>
      </c>
      <c r="I52" s="89"/>
      <c r="J52" s="89"/>
      <c r="K52" s="112">
        <f>[2]!interpol(K$41,B$41:H$41,B52:H52)</f>
        <v>0.10985306717548897</v>
      </c>
      <c r="N52" s="112">
        <f t="shared" si="7"/>
        <v>1.3396591741728648E-2</v>
      </c>
    </row>
    <row r="53" spans="1:14">
      <c r="A53" s="112">
        <v>1.02</v>
      </c>
      <c r="B53" s="87">
        <v>0.11669745809762203</v>
      </c>
      <c r="C53" s="41">
        <v>0.16594378598530293</v>
      </c>
      <c r="D53" s="41">
        <v>0.23184878009038876</v>
      </c>
      <c r="E53" s="41">
        <v>0.3129147778921994</v>
      </c>
      <c r="F53" s="41">
        <v>0.36341142609711574</v>
      </c>
      <c r="G53" s="41">
        <v>0.4309458534882416</v>
      </c>
      <c r="H53" s="89">
        <v>0.54618831561904768</v>
      </c>
      <c r="I53" s="89"/>
      <c r="J53" s="89"/>
      <c r="K53" s="112">
        <f>[2]!interpol(K$41,B$41:H$41,B53:H53)</f>
        <v>0.11669745809762203</v>
      </c>
      <c r="N53" s="112">
        <f t="shared" si="7"/>
        <v>1.4231265850173289E-2</v>
      </c>
    </row>
    <row r="54" spans="1:14">
      <c r="A54" s="112">
        <v>1.04</v>
      </c>
      <c r="B54" s="87">
        <v>0.12487006041637688</v>
      </c>
      <c r="C54" s="41">
        <v>0.18211583907468512</v>
      </c>
      <c r="D54" s="41">
        <v>0.25214087939539381</v>
      </c>
      <c r="E54" s="41">
        <v>0.34796301437030475</v>
      </c>
      <c r="F54" s="41">
        <v>0.38207911779291559</v>
      </c>
      <c r="G54" s="41">
        <v>0.44626885960599427</v>
      </c>
      <c r="H54" s="89">
        <v>0.55206348578674547</v>
      </c>
      <c r="I54" s="89"/>
      <c r="J54" s="89"/>
      <c r="K54" s="112">
        <f>[2]!interpol(K$41,B$41:H$41,B54:H54)</f>
        <v>0.12487006041637688</v>
      </c>
      <c r="N54" s="112">
        <f t="shared" si="7"/>
        <v>1.5227915461758211E-2</v>
      </c>
    </row>
    <row r="55" spans="1:14">
      <c r="A55" s="112">
        <v>1.06</v>
      </c>
      <c r="B55" s="87">
        <v>0.13329541785937832</v>
      </c>
      <c r="C55" s="41">
        <v>0.1975931260544142</v>
      </c>
      <c r="D55" s="41">
        <v>0.27423801823858746</v>
      </c>
      <c r="E55" s="41">
        <v>0.36808996108413183</v>
      </c>
      <c r="F55" s="41">
        <v>0.39770053101558223</v>
      </c>
      <c r="G55" s="41">
        <v>0.45830852371625375</v>
      </c>
      <c r="H55" s="89">
        <v>0.55667515737695783</v>
      </c>
      <c r="I55" s="89"/>
      <c r="J55" s="89"/>
      <c r="K55" s="112">
        <f>[2]!interpol(K$41,B$41:H$41,B55:H55)</f>
        <v>0.13329541785937832</v>
      </c>
      <c r="N55" s="112">
        <f t="shared" si="7"/>
        <v>1.6255388584212906E-2</v>
      </c>
    </row>
    <row r="56" spans="1:14">
      <c r="A56" s="112">
        <v>1.08</v>
      </c>
      <c r="B56" s="87">
        <v>0.14159304573559028</v>
      </c>
      <c r="C56" s="41">
        <v>0.2113644669473449</v>
      </c>
      <c r="D56" s="41">
        <v>0.29304861159229323</v>
      </c>
      <c r="E56" s="41">
        <v>0.38189036513849667</v>
      </c>
      <c r="F56" s="41">
        <v>0.40500651025110324</v>
      </c>
      <c r="G56" s="41">
        <v>0.46766078071642053</v>
      </c>
      <c r="H56" s="89">
        <v>0.56007772552075952</v>
      </c>
      <c r="I56" s="89"/>
      <c r="J56" s="89"/>
      <c r="K56" s="112">
        <f>[2]!interpol(K$41,B$41:H$41,B56:H56)</f>
        <v>0.14159304573559028</v>
      </c>
      <c r="N56" s="112">
        <f t="shared" si="7"/>
        <v>1.7267285074138147E-2</v>
      </c>
    </row>
    <row r="57" spans="1:14">
      <c r="A57" s="112">
        <v>1.1000000000000001</v>
      </c>
      <c r="B57" s="87">
        <v>0.15076750574675329</v>
      </c>
      <c r="C57" s="41">
        <v>0.22513580784027556</v>
      </c>
      <c r="D57" s="41">
        <v>0.30390669058371039</v>
      </c>
      <c r="E57" s="41">
        <v>0.38800368605419699</v>
      </c>
      <c r="F57" s="41">
        <v>0.40963916675866102</v>
      </c>
      <c r="G57" s="41">
        <v>0.47091972317429409</v>
      </c>
      <c r="H57" s="89">
        <v>0.56230633788645312</v>
      </c>
      <c r="I57" s="89"/>
      <c r="J57" s="89"/>
      <c r="K57" s="112">
        <f>[2]!interpol(K$41,B$41:H$41,B57:H57)</f>
        <v>0.15076750574675329</v>
      </c>
      <c r="N57" s="112">
        <f t="shared" si="7"/>
        <v>1.8386111324333095E-2</v>
      </c>
    </row>
    <row r="58" spans="1:14">
      <c r="A58" s="112">
        <v>1.3</v>
      </c>
      <c r="B58" s="87">
        <v>0.19503379648746638</v>
      </c>
      <c r="C58" s="41">
        <v>0.24002450072962742</v>
      </c>
      <c r="D58" s="41">
        <v>0.29911815658815727</v>
      </c>
      <c r="E58" s="41">
        <v>0.36769460157366873</v>
      </c>
      <c r="F58" s="41">
        <v>0.38135988059462256</v>
      </c>
      <c r="G58" s="41">
        <v>0.45059952065081815</v>
      </c>
      <c r="H58" s="89">
        <v>0.54114566398555131</v>
      </c>
      <c r="I58" s="89"/>
      <c r="J58" s="89"/>
      <c r="K58" s="112">
        <f>[2]!interpol(K$41,B$41:H$41,B58:H58)</f>
        <v>0.19503379648746638</v>
      </c>
      <c r="N58" s="112">
        <f t="shared" si="7"/>
        <v>2.3784389590215813E-2</v>
      </c>
    </row>
    <row r="59" spans="1:14">
      <c r="A59" s="112">
        <v>1.5</v>
      </c>
      <c r="B59" s="87">
        <v>0.16116089290710917</v>
      </c>
      <c r="C59" s="41">
        <v>0.19918873769384521</v>
      </c>
      <c r="D59" s="41">
        <v>0.25666287599175686</v>
      </c>
      <c r="E59" s="41">
        <v>0.31989813106481019</v>
      </c>
      <c r="F59" s="41">
        <v>0.33614422814955297</v>
      </c>
      <c r="G59" s="41">
        <v>0.41201473091280272</v>
      </c>
      <c r="H59" s="89">
        <v>0.49432552826929965</v>
      </c>
      <c r="I59" s="89"/>
      <c r="J59" s="89"/>
      <c r="K59" s="112">
        <f>[2]!interpol(K$41,B$41:H$41,B59:H59)</f>
        <v>0.16116089290710917</v>
      </c>
      <c r="N59" s="112">
        <f t="shared" si="7"/>
        <v>1.9653585853547505E-2</v>
      </c>
    </row>
    <row r="60" spans="1:14">
      <c r="A60" s="112">
        <v>1.7</v>
      </c>
      <c r="B60" s="87">
        <v>0.1333224683842795</v>
      </c>
      <c r="C60" s="41">
        <v>0.17013381800841648</v>
      </c>
      <c r="D60" s="41">
        <v>0.22292606163265308</v>
      </c>
      <c r="E60" s="41">
        <v>0.27673674419471594</v>
      </c>
      <c r="F60" s="41">
        <v>0.30238140139823366</v>
      </c>
      <c r="G60" s="41">
        <v>0.37302136242305861</v>
      </c>
      <c r="H60" s="89">
        <v>0.44631479303333538</v>
      </c>
      <c r="I60" s="89"/>
      <c r="J60" s="89"/>
      <c r="K60" s="112">
        <f>[2]!interpol(K$41,B$41:H$41,B60:H60)</f>
        <v>0.1333224683842795</v>
      </c>
      <c r="N60" s="112">
        <f t="shared" si="7"/>
        <v>1.6258687398236202E-2</v>
      </c>
    </row>
    <row r="61" spans="1:14">
      <c r="A61" s="112">
        <v>1.9</v>
      </c>
      <c r="B61" s="87">
        <v>0.11189129606215854</v>
      </c>
      <c r="C61" s="41">
        <v>0.14435857954817632</v>
      </c>
      <c r="D61" s="41">
        <v>0.1937379329582376</v>
      </c>
      <c r="E61" s="41">
        <v>0.24406880693185992</v>
      </c>
      <c r="F61" s="41">
        <v>0.2745878111005628</v>
      </c>
      <c r="G61" s="41">
        <v>0.34084583926413448</v>
      </c>
      <c r="H61" s="89">
        <v>0.4085131481309871</v>
      </c>
      <c r="I61" s="89"/>
      <c r="J61" s="89"/>
      <c r="K61" s="112">
        <f>[2]!interpol(K$41,B$41:H$41,B61:H61)</f>
        <v>0.11189129606215854</v>
      </c>
      <c r="N61" s="112">
        <f t="shared" si="7"/>
        <v>1.3645153943704226E-2</v>
      </c>
    </row>
    <row r="62" spans="1:14">
      <c r="A62" s="112">
        <v>2.1</v>
      </c>
      <c r="B62" s="87">
        <v>9.048422553846569E-2</v>
      </c>
      <c r="C62" s="41">
        <v>0.12349997493844297</v>
      </c>
      <c r="D62" s="41">
        <v>0.16873109159581498</v>
      </c>
      <c r="E62" s="41">
        <v>0.22006023535753971</v>
      </c>
      <c r="F62" s="41">
        <v>0.25196462931217017</v>
      </c>
      <c r="G62" s="41">
        <v>0.31403449567447994</v>
      </c>
      <c r="H62" s="89">
        <v>0.37786468143486773</v>
      </c>
      <c r="I62" s="89"/>
      <c r="J62" s="89"/>
      <c r="K62" s="112">
        <f>[2]!interpol(K$41,B$41:H$41,B62:H62)</f>
        <v>9.048422553846569E-2</v>
      </c>
      <c r="N62" s="112">
        <f t="shared" si="7"/>
        <v>1.1034559705728366E-2</v>
      </c>
    </row>
    <row r="63" spans="1:14">
      <c r="A63" s="112">
        <v>2.2999999999999998</v>
      </c>
      <c r="B63" s="87">
        <v>7.8397792954919887E-2</v>
      </c>
      <c r="C63" s="41">
        <v>0.10822247523287995</v>
      </c>
      <c r="D63" s="41">
        <v>0.14740647300081797</v>
      </c>
      <c r="E63" s="41">
        <v>0.19966163742182827</v>
      </c>
      <c r="F63" s="41">
        <v>0.23283599193069787</v>
      </c>
      <c r="G63" s="41">
        <v>0.29179614183891989</v>
      </c>
      <c r="H63" s="89">
        <v>0.35475671839897721</v>
      </c>
      <c r="I63" s="89"/>
      <c r="J63" s="89"/>
      <c r="K63" s="112">
        <f>[2]!interpol(K$41,B$41:H$41,B63:H63)</f>
        <v>7.8397792954919887E-2</v>
      </c>
      <c r="N63" s="112">
        <f t="shared" si="7"/>
        <v>9.5606181299594424E-3</v>
      </c>
    </row>
    <row r="64" spans="1:14">
      <c r="A64" s="112">
        <v>2.5</v>
      </c>
      <c r="B64" s="87">
        <v>6.7630735324764171E-2</v>
      </c>
      <c r="C64" s="41">
        <v>9.7287816086089454E-2</v>
      </c>
      <c r="D64" s="41">
        <v>0.13431950966916692</v>
      </c>
      <c r="E64" s="41">
        <v>0.1817957759230685</v>
      </c>
      <c r="F64" s="41">
        <v>0.21629255765214042</v>
      </c>
      <c r="G64" s="41">
        <v>0.27254880635288126</v>
      </c>
      <c r="H64" s="89">
        <v>0.3366261841518251</v>
      </c>
      <c r="I64" s="89"/>
      <c r="J64" s="89"/>
      <c r="K64" s="112">
        <f>[2]!interpol(K$41,B$41:H$41,B64:H64)</f>
        <v>6.7630735324764171E-2</v>
      </c>
      <c r="N64" s="112">
        <f t="shared" si="7"/>
        <v>8.247574452258247E-3</v>
      </c>
    </row>
    <row r="65" spans="1:25">
      <c r="A65" s="112">
        <v>2.7</v>
      </c>
      <c r="B65" s="87">
        <v>6.1778441194858501E-2</v>
      </c>
      <c r="C65" s="41">
        <v>8.95436415511561E-2</v>
      </c>
      <c r="D65" s="41">
        <v>0.12315446680068165</v>
      </c>
      <c r="E65" s="41">
        <v>0.16686335517094314</v>
      </c>
      <c r="F65" s="41">
        <v>0.20328355797968076</v>
      </c>
      <c r="G65" s="41">
        <v>0.25613868223413733</v>
      </c>
      <c r="H65" s="89">
        <v>0.32137984319787427</v>
      </c>
      <c r="I65" s="89"/>
      <c r="J65" s="89"/>
      <c r="K65" s="112">
        <f>[2]!interpol(K$41,B$41:H$41,B65:H65)</f>
        <v>6.1778441194858501E-2</v>
      </c>
      <c r="N65" s="112">
        <f t="shared" si="7"/>
        <v>7.5338866397403033E-3</v>
      </c>
    </row>
    <row r="66" spans="1:25">
      <c r="A66" s="112">
        <v>2.9</v>
      </c>
      <c r="B66" s="87">
        <v>5.5926147064952837E-2</v>
      </c>
      <c r="C66" s="41">
        <v>8.3237231152911095E-2</v>
      </c>
      <c r="D66" s="41">
        <v>0.11561769540378221</v>
      </c>
      <c r="E66" s="41">
        <v>0.15469553772626418</v>
      </c>
      <c r="F66" s="41">
        <v>0.19129548083472392</v>
      </c>
      <c r="G66" s="41">
        <v>0.24631385541010348</v>
      </c>
      <c r="H66" s="89">
        <v>0.30613350224392349</v>
      </c>
      <c r="I66" s="89"/>
      <c r="J66" s="89"/>
      <c r="K66" s="112">
        <f>[2]!interpol(K$41,B$41:H$41,B66:H66)</f>
        <v>5.5926147064952837E-2</v>
      </c>
      <c r="N66" s="112">
        <f t="shared" si="7"/>
        <v>6.8201988272223613E-3</v>
      </c>
    </row>
    <row r="67" spans="1:25">
      <c r="A67" s="112">
        <v>3.1</v>
      </c>
      <c r="B67" s="87">
        <v>5.16E-2</v>
      </c>
      <c r="C67" s="41">
        <v>7.8479770122504455E-2</v>
      </c>
      <c r="D67" s="41">
        <v>0.10928610965934743</v>
      </c>
      <c r="E67" s="41">
        <v>0.14336734277075242</v>
      </c>
      <c r="F67" s="41">
        <v>0.18144766148187291</v>
      </c>
      <c r="G67" s="41">
        <v>0.23660973668312127</v>
      </c>
      <c r="H67" s="89">
        <v>0.29373374602771507</v>
      </c>
      <c r="I67" s="89"/>
      <c r="J67" s="89"/>
      <c r="K67" s="112">
        <f>[2]!interpol(K$41,B$41:H$41,B67:H67)</f>
        <v>5.16E-2</v>
      </c>
      <c r="N67" s="112">
        <f t="shared" si="7"/>
        <v>6.2926247909756775E-3</v>
      </c>
    </row>
    <row r="68" spans="1:25">
      <c r="A68" s="112">
        <v>3.3</v>
      </c>
      <c r="B68" s="87">
        <v>4.8800000000000003E-2</v>
      </c>
      <c r="C68" s="41">
        <v>7.5213824088103218E-2</v>
      </c>
      <c r="D68" s="41">
        <v>0.10400184171337093</v>
      </c>
      <c r="E68" s="41">
        <v>0.13296751967209719</v>
      </c>
      <c r="F68" s="41">
        <v>0.17260353742980517</v>
      </c>
      <c r="G68" s="41">
        <v>0.22690561795613909</v>
      </c>
      <c r="H68" s="89">
        <v>0.28370824514775511</v>
      </c>
      <c r="I68" s="89"/>
      <c r="J68" s="89"/>
      <c r="K68" s="112">
        <f>[2]!interpol(K$41,B$41:H$41,B68:H68)</f>
        <v>4.8800000000000003E-2</v>
      </c>
      <c r="N68" s="112">
        <f t="shared" si="7"/>
        <v>5.9511645310002534E-3</v>
      </c>
    </row>
    <row r="69" spans="1:25">
      <c r="A69" s="112">
        <v>3.5</v>
      </c>
      <c r="B69" s="87">
        <v>4.5999999999999999E-2</v>
      </c>
      <c r="C69" s="41">
        <v>7.1924930935741885E-2</v>
      </c>
      <c r="D69" s="41">
        <v>9.8193540314124791E-2</v>
      </c>
      <c r="E69" s="41">
        <v>0.12612168598406501</v>
      </c>
      <c r="F69" s="41">
        <v>0.16429927892418153</v>
      </c>
      <c r="G69" s="41">
        <v>0.21963003302989095</v>
      </c>
      <c r="H69" s="89">
        <v>0.27438452032162242</v>
      </c>
      <c r="I69" s="89"/>
      <c r="J69" s="89"/>
      <c r="K69" s="112">
        <f>[2]!interpol(K$41,B$41:H$41,B69:H69)</f>
        <v>4.5999999999999999E-2</v>
      </c>
      <c r="N69" s="112">
        <f t="shared" si="7"/>
        <v>5.6097042710248285E-3</v>
      </c>
    </row>
    <row r="70" spans="1:25">
      <c r="A70" s="112">
        <v>3.7</v>
      </c>
      <c r="B70" s="87">
        <v>4.3199999999999995E-2</v>
      </c>
      <c r="C70" s="41">
        <v>6.8584848343840987E-2</v>
      </c>
      <c r="D70" s="41">
        <v>9.3214081039762656E-2</v>
      </c>
      <c r="E70" s="41">
        <v>0.11927585229603282</v>
      </c>
      <c r="F70" s="41">
        <v>0.15599502041855787</v>
      </c>
      <c r="G70" s="41">
        <v>0.21284867177907518</v>
      </c>
      <c r="H70" s="89">
        <v>0.26828723692740164</v>
      </c>
      <c r="I70" s="89"/>
      <c r="J70" s="89"/>
      <c r="K70" s="112">
        <f>[2]!interpol(K$41,B$41:H$41,B70:H70)</f>
        <v>4.3199999999999995E-2</v>
      </c>
      <c r="N70" s="112">
        <f t="shared" si="7"/>
        <v>5.2682440110494036E-3</v>
      </c>
    </row>
    <row r="71" spans="1:25">
      <c r="A71" s="113">
        <v>3.9</v>
      </c>
      <c r="B71" s="90">
        <v>4.0400000000000005E-2</v>
      </c>
      <c r="C71" s="92">
        <v>6.6146239809038068E-2</v>
      </c>
      <c r="D71" s="92">
        <v>8.9372727028022014E-2</v>
      </c>
      <c r="E71" s="92">
        <v>0.1155791084212212</v>
      </c>
      <c r="F71" s="92">
        <v>0.15172486454707337</v>
      </c>
      <c r="G71" s="92">
        <v>0.20702932347115308</v>
      </c>
      <c r="H71" s="93">
        <v>0.26218995353318081</v>
      </c>
      <c r="I71" s="93"/>
      <c r="J71" s="93"/>
      <c r="K71" s="113">
        <f>[2]!interpol(K$41,B$41:H$41,B71:H71)</f>
        <v>4.0400000000000005E-2</v>
      </c>
      <c r="N71" s="113">
        <f t="shared" si="7"/>
        <v>4.9267837510739805E-3</v>
      </c>
    </row>
    <row r="72" spans="1:25">
      <c r="S72" s="78" t="s">
        <v>659</v>
      </c>
    </row>
    <row r="73" spans="1:25">
      <c r="A73" s="78" t="s">
        <v>255</v>
      </c>
      <c r="O73" s="78" t="s">
        <v>632</v>
      </c>
      <c r="P73" s="78" t="s">
        <v>639</v>
      </c>
      <c r="Q73" s="78" t="s">
        <v>633</v>
      </c>
      <c r="R73" s="78" t="s">
        <v>634</v>
      </c>
      <c r="S73" s="78" t="s">
        <v>660</v>
      </c>
      <c r="T73" s="78" t="s">
        <v>661</v>
      </c>
      <c r="U73" s="78"/>
      <c r="V73" s="78" t="s">
        <v>243</v>
      </c>
      <c r="W73" s="78" t="s">
        <v>635</v>
      </c>
      <c r="X73" s="78" t="s">
        <v>636</v>
      </c>
      <c r="Y73" s="78" t="s">
        <v>637</v>
      </c>
    </row>
    <row r="74" spans="1:25" ht="15.75">
      <c r="A74" t="s">
        <v>251</v>
      </c>
      <c r="B74" t="s">
        <v>250</v>
      </c>
      <c r="D74" s="119" t="s">
        <v>248</v>
      </c>
      <c r="E74" s="119" t="s">
        <v>249</v>
      </c>
      <c r="G74" s="129" t="s">
        <v>254</v>
      </c>
      <c r="H74" s="121"/>
      <c r="I74" s="121"/>
      <c r="J74" s="121"/>
      <c r="K74" s="122" t="s">
        <v>213</v>
      </c>
      <c r="L74" s="123" t="s">
        <v>253</v>
      </c>
      <c r="M74" s="124" t="s">
        <v>249</v>
      </c>
      <c r="N74" s="125" t="s">
        <v>252</v>
      </c>
      <c r="O74" s="182" t="s">
        <v>206</v>
      </c>
      <c r="P74" s="125" t="s">
        <v>206</v>
      </c>
      <c r="Q74" s="125" t="s">
        <v>206</v>
      </c>
      <c r="R74" s="125" t="s">
        <v>206</v>
      </c>
      <c r="S74" s="182" t="s">
        <v>206</v>
      </c>
      <c r="T74" s="182" t="s">
        <v>206</v>
      </c>
      <c r="U74" s="125"/>
      <c r="V74" s="125" t="s">
        <v>206</v>
      </c>
      <c r="W74" s="125" t="s">
        <v>206</v>
      </c>
      <c r="X74" s="125" t="s">
        <v>206</v>
      </c>
      <c r="Y74" s="125" t="s">
        <v>206</v>
      </c>
    </row>
    <row r="75" spans="1:25" ht="15.75">
      <c r="A75">
        <v>1536</v>
      </c>
      <c r="B75">
        <v>0.5</v>
      </c>
      <c r="D75" s="119">
        <v>5</v>
      </c>
      <c r="E75" s="120">
        <v>14490000</v>
      </c>
      <c r="G75" s="172">
        <f ca="1">Géométrie!B142</f>
        <v>41.09405067393395</v>
      </c>
      <c r="H75" s="121"/>
      <c r="I75" s="121"/>
      <c r="J75" s="121"/>
      <c r="K75" s="87">
        <v>0.5</v>
      </c>
      <c r="L75" s="41">
        <f>[2]!interpol(K75,$B$75:$B$87,$A$75:$A$87)</f>
        <v>1536</v>
      </c>
      <c r="M75" s="89">
        <f>[2]!interpol(L75/1000,$D$75:$D$90,$E$75:$E$90)</f>
        <v>18652342.399999999</v>
      </c>
      <c r="N75" s="87">
        <f ca="1">M75*G$75*K75</f>
        <v>383250151.88658339</v>
      </c>
      <c r="O75" s="116">
        <f ca="1">0.445/POWER(LOG(N75),2.58)/POWER(1+0.15*K75^2,0.58)*Géométrie!$B$10/$G$79</f>
        <v>8.480419133074223E-3</v>
      </c>
      <c r="P75" s="83">
        <f ca="1">0.445/POWER(LOG(N75),2.58)/POWER(1+0.15*K75^2,0.58)*$G$82/G$79</f>
        <v>1.3453858751135521E-2</v>
      </c>
      <c r="Q75" s="85">
        <f ca="1">0.445/POWER(LOG(N75),2.58)/POWER(1+0.15*K75^2,0.58)*$G$84/G$79</f>
        <v>3.231104000997612E-3</v>
      </c>
      <c r="R75" s="85">
        <f ca="1">0.445/POWER(LOG(N75),2.58)/POWER(1+0.15*K75^2,0.58)*$G$86/G$79</f>
        <v>3.7152439824393972E-2</v>
      </c>
      <c r="S75" s="41">
        <f ca="1">0.445/POWER(LOG(N75),2.58)/POWER(1+0.15*K75^2,0.58)*$G$97/G$79</f>
        <v>0.10278499091823941</v>
      </c>
      <c r="T75" s="41">
        <f ca="1">0.445/POWER(LOG(N75),2.58)/POWER(1+0.15*K75^2,0.58)*$G$100/$G$79</f>
        <v>0.10329258158261438</v>
      </c>
      <c r="U75" s="85"/>
      <c r="V75" s="85">
        <f ca="1">0.445/POWER(LOG(N75),2.58)/POWER(1+0.15*K75^2,0.58)*$G$88/G$79</f>
        <v>2.3775034789646128E-3</v>
      </c>
      <c r="W75" s="85">
        <f ca="1">0.445/POWER(LOG(N75),2.58)/POWER(1+0.15*K75^2,0.58)*$G$90/G$79</f>
        <v>1.1543246333918625E-2</v>
      </c>
      <c r="X75" s="85">
        <f ca="1">0.445/POWER(LOG(N75),2.58)/POWER(1+0.15*K75^2,0.58)*$G$92/G$79</f>
        <v>8.6497998036366552E-3</v>
      </c>
      <c r="Y75" s="86">
        <f ca="1">0.445/POWER(LOG(N75),2.58)/POWER(1+0.15*K75^2,0.58)*$G$94/G$79</f>
        <v>1.7569044853678027E-2</v>
      </c>
    </row>
    <row r="76" spans="1:25" ht="15.75">
      <c r="A76">
        <v>2920</v>
      </c>
      <c r="B76">
        <v>0.7</v>
      </c>
      <c r="D76" s="119">
        <v>10</v>
      </c>
      <c r="E76" s="120">
        <v>8482000</v>
      </c>
      <c r="G76" s="78"/>
      <c r="H76" s="121"/>
      <c r="I76" s="121"/>
      <c r="J76" s="121"/>
      <c r="K76" s="87">
        <v>0.6</v>
      </c>
      <c r="L76" s="41">
        <f>[2]!interpol(K76,$B$75:$B$87,$A$75:$A$87)</f>
        <v>2228</v>
      </c>
      <c r="M76" s="89">
        <f>[2]!interpol(L76/1000,$D$75:$D$90,$E$75:$E$90)</f>
        <v>17820835.199999999</v>
      </c>
      <c r="N76" s="87">
        <f ca="1">M76*G$75*K76</f>
        <v>439398182.85637552</v>
      </c>
      <c r="O76" s="112">
        <f ca="1">0.445/POWER(LOG(N76),2.58)/POWER(1+0.15*K76^2,0.58)*Géométrie!$B$10/$G$79</f>
        <v>8.2550303059739632E-3</v>
      </c>
      <c r="P76" s="87">
        <f t="shared" ref="P76:P108" ca="1" si="8">0.445/POWER(LOG(N76),2.58)/POWER(1+0.15*K76^2,0.58)*$G$82/G$79</f>
        <v>1.3096288046632881E-2</v>
      </c>
      <c r="Q76" s="41">
        <f t="shared" ref="Q76:Q108" ca="1" si="9">0.445/POWER(LOG(N76),2.58)/POWER(1+0.15*K76^2,0.58)*$G$84/G$79</f>
        <v>3.1452291486352368E-3</v>
      </c>
      <c r="R76" s="41">
        <f t="shared" ref="R76:R108" ca="1" si="10">0.445/POWER(LOG(N76),2.58)/POWER(1+0.15*K76^2,0.58)*$G$86/G$79</f>
        <v>3.6165018718840945E-2</v>
      </c>
      <c r="S76" s="41">
        <f t="shared" ref="S76:S108" ca="1" si="11">0.445/POWER(LOG(N76),2.58)/POWER(1+0.15*K76^2,0.58)*$G$97/G$79</f>
        <v>0.10005321691237434</v>
      </c>
      <c r="T76" s="41">
        <f t="shared" ref="T76:T108" ca="1" si="12">0.445/POWER(LOG(N76),2.58)/POWER(1+0.15*K76^2,0.58)*$G$100/$G$79</f>
        <v>0.10054731705668239</v>
      </c>
      <c r="U76" s="41"/>
      <c r="V76" s="41">
        <f t="shared" ref="V76:V108" ca="1" si="13">0.445/POWER(LOG(N76),2.58)/POWER(1+0.15*K76^2,0.58)*$G$88/G$79</f>
        <v>2.3143152435552662E-3</v>
      </c>
      <c r="W76" s="41">
        <f t="shared" ref="W76:W108" ca="1" si="14">0.445/POWER(LOG(N76),2.58)/POWER(1+0.15*K76^2,0.58)*$G$90/G$79</f>
        <v>1.1236455040787319E-2</v>
      </c>
      <c r="X76" s="41">
        <f t="shared" ref="X76:X108" ca="1" si="15">0.445/POWER(LOG(N76),2.58)/POWER(1+0.15*K76^2,0.58)*$G$92/G$79</f>
        <v>8.4199092520257941E-3</v>
      </c>
      <c r="Y76" s="89">
        <f t="shared" ref="Y76:Y108" ca="1" si="16">0.445/POWER(LOG(N76),2.58)/POWER(1+0.15*K76^2,0.58)*$G$94/G$79</f>
        <v>1.7102102553927936E-2</v>
      </c>
    </row>
    <row r="77" spans="1:25" ht="15.75">
      <c r="A77">
        <v>5114</v>
      </c>
      <c r="B77">
        <v>0.9</v>
      </c>
      <c r="D77" s="119">
        <v>15</v>
      </c>
      <c r="E77" s="120">
        <v>4020000</v>
      </c>
      <c r="H77" s="121"/>
      <c r="I77" s="121"/>
      <c r="J77" s="121"/>
      <c r="K77" s="87">
        <v>0.7</v>
      </c>
      <c r="L77" s="41">
        <f>[2]!interpol(K77,$B$75:$B$87,$A$75:$A$87)</f>
        <v>2920</v>
      </c>
      <c r="M77" s="89">
        <f>[2]!interpol(L77/1000,$D$75:$D$90,$E$75:$E$90)</f>
        <v>16989328</v>
      </c>
      <c r="N77" s="87">
        <f t="shared" ref="N77:N108" ca="1" si="17">M77*G$75*K77</f>
        <v>488712214.02365941</v>
      </c>
      <c r="O77" s="112">
        <f ca="1">0.445/POWER(LOG(N77),2.58)/POWER(1+0.15*K77^2,0.58)*Géométrie!$B$10/$G$79</f>
        <v>8.0561616047808409E-3</v>
      </c>
      <c r="P77" s="87">
        <f t="shared" ca="1" si="8"/>
        <v>1.2780790501772251E-2</v>
      </c>
      <c r="Q77" s="41">
        <f t="shared" ca="1" si="9"/>
        <v>3.0694586653589742E-3</v>
      </c>
      <c r="R77" s="41">
        <f t="shared" ca="1" si="10"/>
        <v>3.5293781420531328E-2</v>
      </c>
      <c r="S77" s="41">
        <f t="shared" ca="1" si="11"/>
        <v>9.7642874059585744E-2</v>
      </c>
      <c r="T77" s="41">
        <f t="shared" ca="1" si="12"/>
        <v>9.8125071030881E-2</v>
      </c>
      <c r="U77" s="41"/>
      <c r="V77" s="41">
        <f t="shared" ca="1" si="13"/>
        <v>2.2585619816557659E-3</v>
      </c>
      <c r="W77" s="41">
        <f t="shared" ca="1" si="14"/>
        <v>1.0965762004280941E-2</v>
      </c>
      <c r="X77" s="41">
        <f t="shared" ca="1" si="15"/>
        <v>8.217068516734663E-3</v>
      </c>
      <c r="Y77" s="89">
        <f t="shared" ca="1" si="16"/>
        <v>1.669010250104988E-2</v>
      </c>
    </row>
    <row r="78" spans="1:25" ht="15.75">
      <c r="A78">
        <v>5713</v>
      </c>
      <c r="B78">
        <v>0.95</v>
      </c>
      <c r="D78" s="119">
        <v>20</v>
      </c>
      <c r="E78" s="120">
        <v>1827000</v>
      </c>
      <c r="G78" s="128" t="s">
        <v>247</v>
      </c>
      <c r="H78" s="121"/>
      <c r="I78" s="121"/>
      <c r="J78" s="121"/>
      <c r="K78" s="87">
        <v>0.8</v>
      </c>
      <c r="L78" s="41">
        <f>[2]!interpol(K78,$B$75:$B$87,$A$75:$A$87)</f>
        <v>4017.0000000000009</v>
      </c>
      <c r="M78" s="89">
        <f>[2]!interpol(L78/1000,$D$75:$D$90,$E$75:$E$90)</f>
        <v>15671172.799999999</v>
      </c>
      <c r="N78" s="87">
        <f t="shared" ca="1" si="17"/>
        <v>515193575.3305403</v>
      </c>
      <c r="O78" s="112">
        <f ca="1">0.445/POWER(LOG(N78),2.58)/POWER(1+0.15*K78^2,0.58)*Géométrie!$B$10/$G$79</f>
        <v>7.9059102249839832E-3</v>
      </c>
      <c r="P78" s="87">
        <f t="shared" ca="1" si="8"/>
        <v>1.2542422467217649E-2</v>
      </c>
      <c r="Q78" s="41">
        <f t="shared" ca="1" si="9"/>
        <v>3.012211750224363E-3</v>
      </c>
      <c r="R78" s="41">
        <f t="shared" ca="1" si="10"/>
        <v>3.4635535022701301E-2</v>
      </c>
      <c r="S78" s="41">
        <f t="shared" ca="1" si="11"/>
        <v>9.582178639097727E-2</v>
      </c>
      <c r="T78" s="41">
        <f t="shared" ca="1" si="12"/>
        <v>9.6294990151383125E-2</v>
      </c>
      <c r="U78" s="41"/>
      <c r="V78" s="41">
        <f t="shared" ca="1" si="13"/>
        <v>2.2164386888584714E-3</v>
      </c>
      <c r="W78" s="41">
        <f t="shared" ca="1" si="14"/>
        <v>1.0761245144702379E-2</v>
      </c>
      <c r="X78" s="41">
        <f t="shared" ca="1" si="15"/>
        <v>8.063816143819005E-3</v>
      </c>
      <c r="Y78" s="89">
        <f t="shared" ca="1" si="16"/>
        <v>1.6378823873242122E-2</v>
      </c>
    </row>
    <row r="79" spans="1:25" ht="15.75">
      <c r="A79">
        <v>6308</v>
      </c>
      <c r="B79">
        <v>1</v>
      </c>
      <c r="D79" s="119">
        <v>25</v>
      </c>
      <c r="E79" s="120">
        <v>812900</v>
      </c>
      <c r="G79" s="127">
        <f>Aerodynamique!B1</f>
        <v>8.5012282604303202</v>
      </c>
      <c r="H79" s="121"/>
      <c r="I79" s="121"/>
      <c r="J79" s="121"/>
      <c r="K79" s="87">
        <v>0.9</v>
      </c>
      <c r="L79" s="41">
        <f>[2]!interpol(K79,$B$75:$B$87,$A$75:$A$87)</f>
        <v>5114</v>
      </c>
      <c r="M79" s="89">
        <f>[2]!interpol(L79/1000,$D$75:$D$90,$E$75:$E$90)</f>
        <v>14353017.6</v>
      </c>
      <c r="N79" s="87">
        <f t="shared" ca="1" si="17"/>
        <v>530841269.32043922</v>
      </c>
      <c r="O79" s="112">
        <f ca="1">0.445/POWER(LOG(N79),2.58)/POWER(1+0.15*K79^2,0.58)*Géométrie!$B$10/$G$79</f>
        <v>7.77120606232735E-3</v>
      </c>
      <c r="P79" s="87">
        <f t="shared" ca="1" si="8"/>
        <v>1.2328719494624673E-2</v>
      </c>
      <c r="Q79" s="41">
        <f t="shared" ca="1" si="9"/>
        <v>2.960888442722567E-3</v>
      </c>
      <c r="R79" s="41">
        <f t="shared" ca="1" si="10"/>
        <v>3.4045400476440772E-2</v>
      </c>
      <c r="S79" s="41">
        <f t="shared" ca="1" si="11"/>
        <v>9.4189135230928769E-2</v>
      </c>
      <c r="T79" s="41">
        <f t="shared" ca="1" si="12"/>
        <v>9.4654276350285407E-2</v>
      </c>
      <c r="U79" s="41"/>
      <c r="V79" s="41">
        <f t="shared" ca="1" si="13"/>
        <v>2.178674091340157E-3</v>
      </c>
      <c r="W79" s="41">
        <f t="shared" ca="1" si="14"/>
        <v>1.0577890606754433E-2</v>
      </c>
      <c r="X79" s="41">
        <f t="shared" ca="1" si="15"/>
        <v>7.9264215149200436E-3</v>
      </c>
      <c r="Y79" s="89">
        <f t="shared" ca="1" si="16"/>
        <v>1.6099754709495071E-2</v>
      </c>
    </row>
    <row r="80" spans="1:25" ht="15.75">
      <c r="A80">
        <v>6992</v>
      </c>
      <c r="B80">
        <v>1.05</v>
      </c>
      <c r="D80" s="119">
        <v>30</v>
      </c>
      <c r="E80" s="120">
        <v>368300</v>
      </c>
      <c r="H80" s="121"/>
      <c r="I80" s="121"/>
      <c r="J80" s="121"/>
      <c r="K80" s="87">
        <v>0.92</v>
      </c>
      <c r="L80" s="41">
        <f>[2]!interpol(K80,$B$75:$B$87,$A$75:$A$87)</f>
        <v>5353.6</v>
      </c>
      <c r="M80" s="89">
        <f>[2]!interpol(L80/1000,$D$75:$D$90,$E$75:$E$90)</f>
        <v>14065114.24</v>
      </c>
      <c r="N80" s="87">
        <f t="shared" ca="1" si="17"/>
        <v>531753115.92817163</v>
      </c>
      <c r="O80" s="112">
        <f ca="1">0.445/POWER(LOG(N80),2.58)/POWER(1+0.15*K80^2,0.58)*Géométrie!$B$10/$G$79</f>
        <v>7.7476386654580041E-3</v>
      </c>
      <c r="P80" s="87">
        <f t="shared" ca="1" si="8"/>
        <v>1.229133072602295E-2</v>
      </c>
      <c r="Q80" s="41">
        <f t="shared" ca="1" si="9"/>
        <v>2.951909085791887E-3</v>
      </c>
      <c r="R80" s="41">
        <f t="shared" ca="1" si="10"/>
        <v>3.3942152478875276E-2</v>
      </c>
      <c r="S80" s="41">
        <f t="shared" ca="1" si="11"/>
        <v>9.3903491958447716E-2</v>
      </c>
      <c r="T80" s="41">
        <f t="shared" ca="1" si="12"/>
        <v>9.4367222464667569E-2</v>
      </c>
      <c r="U80" s="41"/>
      <c r="V80" s="41">
        <f t="shared" ca="1" si="13"/>
        <v>2.1720669216746293E-3</v>
      </c>
      <c r="W80" s="41">
        <f t="shared" ca="1" si="14"/>
        <v>1.0545811500374997E-2</v>
      </c>
      <c r="X80" s="41">
        <f t="shared" ca="1" si="15"/>
        <v>7.9023834029336125E-3</v>
      </c>
      <c r="Y80" s="89">
        <f t="shared" ca="1" si="16"/>
        <v>1.605092968726626E-2</v>
      </c>
    </row>
    <row r="81" spans="1:25" ht="15.75">
      <c r="A81">
        <v>7459</v>
      </c>
      <c r="B81">
        <v>1.1000000000000001</v>
      </c>
      <c r="D81" s="119">
        <v>35</v>
      </c>
      <c r="E81" s="120">
        <v>165500</v>
      </c>
      <c r="G81" s="180" t="s">
        <v>638</v>
      </c>
      <c r="H81" s="121"/>
      <c r="I81" s="121"/>
      <c r="J81" s="121"/>
      <c r="K81" s="87">
        <v>0.94</v>
      </c>
      <c r="L81" s="41">
        <f>[2]!interpol(K81,$B$75:$B$87,$A$75:$A$87)</f>
        <v>5593.2</v>
      </c>
      <c r="M81" s="89">
        <f>[2]!interpol(L81/1000,$D$75:$D$90,$E$75:$E$90)</f>
        <v>13777210.880000001</v>
      </c>
      <c r="N81" s="87">
        <f t="shared" ca="1" si="17"/>
        <v>532191717.92530251</v>
      </c>
      <c r="O81" s="112">
        <f ca="1">0.445/POWER(LOG(N81),2.58)/POWER(1+0.15*K81^2,0.58)*Géométrie!$B$10/$G$79</f>
        <v>7.7246578264440913E-3</v>
      </c>
      <c r="P81" s="87">
        <f t="shared" ca="1" si="8"/>
        <v>1.2254872508896635E-2</v>
      </c>
      <c r="Q81" s="41">
        <f t="shared" ca="1" si="9"/>
        <v>2.9431532118522905E-3</v>
      </c>
      <c r="R81" s="41">
        <f t="shared" ca="1" si="10"/>
        <v>3.3841474172157077E-2</v>
      </c>
      <c r="S81" s="41">
        <f t="shared" ca="1" si="11"/>
        <v>9.3624957927019206E-2</v>
      </c>
      <c r="T81" s="41">
        <f t="shared" ca="1" si="12"/>
        <v>9.4087312928189129E-2</v>
      </c>
      <c r="U81" s="41"/>
      <c r="V81" s="41">
        <f t="shared" ca="1" si="13"/>
        <v>2.1656241947471335E-3</v>
      </c>
      <c r="W81" s="41">
        <f t="shared" ca="1" si="14"/>
        <v>1.0514530795785392E-2</v>
      </c>
      <c r="X81" s="41">
        <f t="shared" ca="1" si="15"/>
        <v>7.8789435642097581E-3</v>
      </c>
      <c r="Y81" s="89">
        <f t="shared" ca="1" si="16"/>
        <v>1.6003319848050184E-2</v>
      </c>
    </row>
    <row r="82" spans="1:25" ht="15.75">
      <c r="A82">
        <v>8505</v>
      </c>
      <c r="B82">
        <v>1.2</v>
      </c>
      <c r="D82" s="119">
        <v>40</v>
      </c>
      <c r="E82" s="120">
        <v>76230</v>
      </c>
      <c r="G82" s="179">
        <f>PI()*Géométrie!B3*(Géométrie!B16+Géométrie!F14)</f>
        <v>67.312156894896603</v>
      </c>
      <c r="H82" s="121"/>
      <c r="I82" s="121"/>
      <c r="J82" s="121"/>
      <c r="K82" s="87">
        <v>0.96</v>
      </c>
      <c r="L82" s="41">
        <f>[2]!interpol(K82,$B$75:$B$87,$A$75:$A$87)</f>
        <v>5832</v>
      </c>
      <c r="M82" s="89">
        <f>[2]!interpol(L82/1000,$D$75:$D$90,$E$75:$E$90)</f>
        <v>13490268.800000001</v>
      </c>
      <c r="N82" s="87">
        <f t="shared" ca="1" si="17"/>
        <v>532194998.08530259</v>
      </c>
      <c r="O82" s="112">
        <f ca="1">0.445/POWER(LOG(N82),2.58)/POWER(1+0.15*K82^2,0.58)*Géométrie!$B$10/$G$79</f>
        <v>7.7021919342849035E-3</v>
      </c>
      <c r="P82" s="87">
        <f t="shared" ca="1" si="8"/>
        <v>1.2219231235147659E-2</v>
      </c>
      <c r="Q82" s="41">
        <f t="shared" ca="1" si="9"/>
        <v>2.9345935365694465E-3</v>
      </c>
      <c r="R82" s="41">
        <f t="shared" ca="1" si="10"/>
        <v>3.3743051830826057E-2</v>
      </c>
      <c r="S82" s="41">
        <f t="shared" ca="1" si="11"/>
        <v>9.335266519179973E-2</v>
      </c>
      <c r="T82" s="41">
        <f t="shared" ca="1" si="12"/>
        <v>9.3813675509770891E-2</v>
      </c>
      <c r="U82" s="41"/>
      <c r="V82" s="41">
        <f t="shared" ca="1" si="13"/>
        <v>2.1593258342618364E-3</v>
      </c>
      <c r="W82" s="41">
        <f t="shared" ca="1" si="14"/>
        <v>1.0483951018626342E-2</v>
      </c>
      <c r="X82" s="41">
        <f t="shared" ca="1" si="15"/>
        <v>7.8560289574506215E-3</v>
      </c>
      <c r="Y82" s="89">
        <f t="shared" ca="1" si="16"/>
        <v>1.5956776833981067E-2</v>
      </c>
    </row>
    <row r="83" spans="1:25" ht="15.75">
      <c r="A83">
        <v>11022</v>
      </c>
      <c r="B83">
        <v>1.5</v>
      </c>
      <c r="D83" s="119">
        <v>45</v>
      </c>
      <c r="E83" s="120">
        <v>36640</v>
      </c>
      <c r="G83" s="181" t="s">
        <v>629</v>
      </c>
      <c r="H83" s="121"/>
      <c r="I83" s="121"/>
      <c r="J83" s="121"/>
      <c r="K83" s="87">
        <v>0.98</v>
      </c>
      <c r="L83" s="41">
        <f>[2]!interpol(K83,$B$75:$B$87,$A$75:$A$87)</f>
        <v>6070</v>
      </c>
      <c r="M83" s="89">
        <f>[2]!interpol(L83/1000,$D$75:$D$90,$E$75:$E$90)</f>
        <v>13204288</v>
      </c>
      <c r="N83" s="87">
        <f t="shared" ca="1" si="17"/>
        <v>531765326.58151358</v>
      </c>
      <c r="O83" s="112">
        <f ca="1">0.445/POWER(LOG(N83),2.58)/POWER(1+0.15*K83^2,0.58)*Géométrie!$B$10/$G$79</f>
        <v>7.6802384402104729E-3</v>
      </c>
      <c r="P83" s="87">
        <f t="shared" ca="1" si="8"/>
        <v>1.2184402861250507E-2</v>
      </c>
      <c r="Q83" s="41">
        <f t="shared" ca="1" si="9"/>
        <v>2.9262290888426687E-3</v>
      </c>
      <c r="R83" s="41">
        <f t="shared" ca="1" si="10"/>
        <v>3.3646874288804057E-2</v>
      </c>
      <c r="S83" s="41">
        <f t="shared" ca="1" si="11"/>
        <v>9.3086582861002742E-2</v>
      </c>
      <c r="T83" s="41">
        <f t="shared" ca="1" si="12"/>
        <v>9.3546279165071078E-2</v>
      </c>
      <c r="U83" s="41"/>
      <c r="V83" s="41">
        <f t="shared" ca="1" si="13"/>
        <v>2.1531711256656746E-3</v>
      </c>
      <c r="W83" s="41">
        <f t="shared" ca="1" si="14"/>
        <v>1.0454068699602387E-2</v>
      </c>
      <c r="X83" s="41">
        <f t="shared" ca="1" si="15"/>
        <v>7.8336369829792706E-3</v>
      </c>
      <c r="Y83" s="89">
        <f t="shared" ca="1" si="16"/>
        <v>1.5911295364723924E-2</v>
      </c>
    </row>
    <row r="84" spans="1:25" ht="15.75">
      <c r="A84">
        <v>14428</v>
      </c>
      <c r="B84">
        <v>2</v>
      </c>
      <c r="D84" s="119">
        <v>50</v>
      </c>
      <c r="E84" s="120">
        <v>18920</v>
      </c>
      <c r="G84" s="179">
        <f>'Bilan Masse'!B82</f>
        <v>16.165814097053961</v>
      </c>
      <c r="H84" s="121"/>
      <c r="I84" s="121"/>
      <c r="J84" s="121"/>
      <c r="K84" s="87">
        <v>1</v>
      </c>
      <c r="L84" s="41">
        <f>[2]!interpol(K84,$B$75:$B$87,$A$75:$A$87)</f>
        <v>6308</v>
      </c>
      <c r="M84" s="89">
        <f>[2]!interpol(L84/1000,$D$75:$D$90,$E$75:$E$90)</f>
        <v>12918307.199999999</v>
      </c>
      <c r="N84" s="87">
        <f t="shared" ca="1" si="17"/>
        <v>530865570.69824576</v>
      </c>
      <c r="O84" s="112">
        <f ca="1">0.445/POWER(LOG(N84),2.58)/POWER(1+0.15*K84^2,0.58)*Géométrie!$B$10/$G$79</f>
        <v>7.6588701335074767E-3</v>
      </c>
      <c r="P84" s="87">
        <f t="shared" ca="1" si="8"/>
        <v>1.2150502864608613E-2</v>
      </c>
      <c r="Q84" s="41">
        <f t="shared" ca="1" si="9"/>
        <v>2.9180876019421777E-3</v>
      </c>
      <c r="R84" s="41">
        <f t="shared" ca="1" si="10"/>
        <v>3.3553260433583615E-2</v>
      </c>
      <c r="S84" s="41">
        <f t="shared" ca="1" si="11"/>
        <v>9.2827593160618727E-2</v>
      </c>
      <c r="T84" s="41">
        <f t="shared" ca="1" si="12"/>
        <v>9.3286010476841569E-2</v>
      </c>
      <c r="U84" s="41"/>
      <c r="V84" s="41">
        <f t="shared" ca="1" si="13"/>
        <v>2.1471804755894518E-3</v>
      </c>
      <c r="W84" s="41">
        <f t="shared" ca="1" si="14"/>
        <v>1.0424982916913956E-2</v>
      </c>
      <c r="X84" s="41">
        <f t="shared" ca="1" si="15"/>
        <v>7.8118418839136158E-3</v>
      </c>
      <c r="Y84" s="89">
        <f t="shared" ca="1" si="16"/>
        <v>1.5867026239221871E-2</v>
      </c>
    </row>
    <row r="85" spans="1:25" ht="15.75">
      <c r="A85">
        <v>22287</v>
      </c>
      <c r="B85">
        <v>3</v>
      </c>
      <c r="D85" s="119">
        <v>55</v>
      </c>
      <c r="E85" s="120">
        <v>10520</v>
      </c>
      <c r="G85" s="180" t="s">
        <v>624</v>
      </c>
      <c r="H85" s="121"/>
      <c r="I85" s="121"/>
      <c r="J85" s="121"/>
      <c r="K85" s="87">
        <v>1.02</v>
      </c>
      <c r="L85" s="41">
        <f>[2]!interpol(K85,$B$75:$B$87,$A$75:$A$87)</f>
        <v>6581.6</v>
      </c>
      <c r="M85" s="89">
        <f>[2]!interpol(L85/1000,$D$75:$D$90,$E$75:$E$90)</f>
        <v>12589549.439999999</v>
      </c>
      <c r="N85" s="87">
        <f t="shared" ca="1" si="17"/>
        <v>527702694.3023439</v>
      </c>
      <c r="O85" s="112">
        <f ca="1">0.445/POWER(LOG(N85),2.58)/POWER(1+0.15*K85^2,0.58)*Géométrie!$B$10/$G$79</f>
        <v>7.6414217838809157E-3</v>
      </c>
      <c r="P85" s="87">
        <f t="shared" ca="1" si="8"/>
        <v>1.2122821729085414E-2</v>
      </c>
      <c r="Q85" s="41">
        <f t="shared" ca="1" si="9"/>
        <v>2.911439648414821E-3</v>
      </c>
      <c r="R85" s="41">
        <f t="shared" ca="1" si="10"/>
        <v>3.3476819782554047E-2</v>
      </c>
      <c r="S85" s="41">
        <f t="shared" ca="1" si="11"/>
        <v>9.2616114408240829E-2</v>
      </c>
      <c r="T85" s="41">
        <f t="shared" ca="1" si="12"/>
        <v>9.307348736341968E-2</v>
      </c>
      <c r="U85" s="41"/>
      <c r="V85" s="41">
        <f t="shared" ca="1" si="13"/>
        <v>2.1422887937883068E-3</v>
      </c>
      <c r="W85" s="41">
        <f t="shared" ca="1" si="14"/>
        <v>1.0401232841039261E-2</v>
      </c>
      <c r="X85" s="41">
        <f t="shared" ca="1" si="15"/>
        <v>7.7940450358091424E-3</v>
      </c>
      <c r="Y85" s="89">
        <f t="shared" ca="1" si="16"/>
        <v>1.5830878163000481E-2</v>
      </c>
    </row>
    <row r="86" spans="1:25" ht="15.75">
      <c r="A86">
        <v>29924</v>
      </c>
      <c r="B86">
        <v>4</v>
      </c>
      <c r="D86" s="119">
        <v>60</v>
      </c>
      <c r="E86" s="120">
        <v>5747</v>
      </c>
      <c r="G86" s="178">
        <f ca="1">PI()*Géométrie!B85*(Géométrie!B84-Géométrie!B81+Géométrie!B72)</f>
        <v>185.88056443484965</v>
      </c>
      <c r="H86" s="121"/>
      <c r="I86" s="121"/>
      <c r="J86" s="121"/>
      <c r="K86" s="87">
        <v>1.04</v>
      </c>
      <c r="L86" s="41">
        <f>[2]!interpol(K86,$B$75:$B$87,$A$75:$A$87)</f>
        <v>6855.2</v>
      </c>
      <c r="M86" s="89">
        <f>[2]!interpol(L86/1000,$D$75:$D$90,$E$75:$E$90)</f>
        <v>12260791.68</v>
      </c>
      <c r="N86" s="87">
        <f t="shared" ca="1" si="17"/>
        <v>523999418.3844865</v>
      </c>
      <c r="O86" s="112">
        <f ca="1">0.445/POWER(LOG(N86),2.58)/POWER(1+0.15*K86^2,0.58)*Géométrie!$B$10/$G$79</f>
        <v>7.6247249210434943E-3</v>
      </c>
      <c r="P86" s="87">
        <f t="shared" ca="1" si="8"/>
        <v>1.2096332798446874E-2</v>
      </c>
      <c r="Q86" s="41">
        <f t="shared" ca="1" si="9"/>
        <v>2.9050780170530297E-3</v>
      </c>
      <c r="R86" s="41">
        <f t="shared" ca="1" si="10"/>
        <v>3.3403671370654912E-2</v>
      </c>
      <c r="S86" s="41">
        <f t="shared" ca="1" si="11"/>
        <v>9.2413743880537288E-2</v>
      </c>
      <c r="T86" s="41">
        <f t="shared" ca="1" si="12"/>
        <v>9.2870117454486562E-2</v>
      </c>
      <c r="U86" s="41"/>
      <c r="V86" s="41">
        <f t="shared" ca="1" si="13"/>
        <v>2.1376077929013411E-3</v>
      </c>
      <c r="W86" s="41">
        <f t="shared" ca="1" si="14"/>
        <v>1.0378505662380801E-2</v>
      </c>
      <c r="X86" s="41">
        <f t="shared" ca="1" si="15"/>
        <v>7.7770146840510299E-3</v>
      </c>
      <c r="Y86" s="89">
        <f t="shared" ca="1" si="16"/>
        <v>1.5796286956185915E-2</v>
      </c>
    </row>
    <row r="87" spans="1:25" ht="15.75">
      <c r="A87">
        <v>37678</v>
      </c>
      <c r="B87">
        <v>5</v>
      </c>
      <c r="D87" s="119">
        <v>65</v>
      </c>
      <c r="E87" s="120">
        <v>3033</v>
      </c>
      <c r="G87" s="181" t="s">
        <v>630</v>
      </c>
      <c r="H87" s="121"/>
      <c r="I87" s="121"/>
      <c r="J87" s="121"/>
      <c r="K87" s="87">
        <v>1.06</v>
      </c>
      <c r="L87" s="41">
        <f>[2]!interpol(K87,$B$75:$B$87,$A$75:$A$87)</f>
        <v>7085.4</v>
      </c>
      <c r="M87" s="89">
        <f>[2]!interpol(L87/1000,$D$75:$D$90,$E$75:$E$90)</f>
        <v>11984183.359999999</v>
      </c>
      <c r="N87" s="87">
        <f t="shared" ca="1" si="17"/>
        <v>522027356.57844937</v>
      </c>
      <c r="O87" s="112">
        <f ca="1">0.445/POWER(LOG(N87),2.58)/POWER(1+0.15*K87^2,0.58)*Géométrie!$B$10/$G$79</f>
        <v>7.6045396559864678E-3</v>
      </c>
      <c r="P87" s="87">
        <f t="shared" ca="1" si="8"/>
        <v>1.2064309651870034E-2</v>
      </c>
      <c r="Q87" s="41">
        <f t="shared" ca="1" si="9"/>
        <v>2.897387277991255E-3</v>
      </c>
      <c r="R87" s="41">
        <f t="shared" ca="1" si="10"/>
        <v>3.3315240382327235E-2</v>
      </c>
      <c r="S87" s="41">
        <f t="shared" ca="1" si="11"/>
        <v>9.2169092967296792E-2</v>
      </c>
      <c r="T87" s="41">
        <f t="shared" ca="1" si="12"/>
        <v>9.2624258363685485E-2</v>
      </c>
      <c r="U87" s="41"/>
      <c r="V87" s="41">
        <f t="shared" ca="1" si="13"/>
        <v>2.1319488110581276E-3</v>
      </c>
      <c r="W87" s="41">
        <f t="shared" ca="1" si="14"/>
        <v>1.0351030194103534E-2</v>
      </c>
      <c r="X87" s="41">
        <f t="shared" ca="1" si="15"/>
        <v>7.7564262556978044E-3</v>
      </c>
      <c r="Y87" s="89">
        <f t="shared" ca="1" si="16"/>
        <v>1.5754468760456983E-2</v>
      </c>
    </row>
    <row r="88" spans="1:25" ht="15.75">
      <c r="D88" s="119">
        <v>70</v>
      </c>
      <c r="E88" s="120">
        <v>1539</v>
      </c>
      <c r="G88" s="179">
        <f>PI()*(Géométrie!B113+Géométrie!B85)/2*Géométrie!B108</f>
        <v>11.89509196985745</v>
      </c>
      <c r="H88" s="121"/>
      <c r="I88" s="121"/>
      <c r="J88" s="121"/>
      <c r="K88" s="87">
        <v>1.08</v>
      </c>
      <c r="L88" s="41">
        <f>[2]!interpol(K88,$B$75:$B$87,$A$75:$A$87)</f>
        <v>7272.2</v>
      </c>
      <c r="M88" s="89">
        <f>[2]!interpol(L88/1000,$D$75:$D$90,$E$75:$E$90)</f>
        <v>11759724.48</v>
      </c>
      <c r="N88" s="87">
        <f t="shared" ca="1" si="17"/>
        <v>521915090.78803134</v>
      </c>
      <c r="O88" s="112">
        <f ca="1">0.445/POWER(LOG(N88),2.58)/POWER(1+0.15*K88^2,0.58)*Géométrie!$B$10/$G$79</f>
        <v>7.5806217208301031E-3</v>
      </c>
      <c r="P88" s="87">
        <f t="shared" ca="1" si="8"/>
        <v>1.2026364767759581E-2</v>
      </c>
      <c r="Q88" s="41">
        <f t="shared" ca="1" si="9"/>
        <v>2.8882743633149117E-3</v>
      </c>
      <c r="R88" s="41">
        <f t="shared" ca="1" si="10"/>
        <v>3.3210456687951216E-2</v>
      </c>
      <c r="S88" s="41">
        <f t="shared" ca="1" si="11"/>
        <v>9.1879201075250785E-2</v>
      </c>
      <c r="T88" s="41">
        <f t="shared" ca="1" si="12"/>
        <v>9.2332934877232875E-2</v>
      </c>
      <c r="U88" s="41"/>
      <c r="V88" s="41">
        <f t="shared" ca="1" si="13"/>
        <v>2.1252433672408364E-3</v>
      </c>
      <c r="W88" s="41">
        <f t="shared" ca="1" si="14"/>
        <v>1.031847394741617E-2</v>
      </c>
      <c r="X88" s="41">
        <f t="shared" ca="1" si="15"/>
        <v>7.7320306040710987E-3</v>
      </c>
      <c r="Y88" s="89">
        <f t="shared" ca="1" si="16"/>
        <v>1.5704917521423209E-2</v>
      </c>
    </row>
    <row r="89" spans="1:25" ht="15.75">
      <c r="D89" s="119">
        <v>75</v>
      </c>
      <c r="E89" s="120">
        <v>735.4</v>
      </c>
      <c r="G89" s="181" t="s">
        <v>625</v>
      </c>
      <c r="H89" s="121"/>
      <c r="I89" s="121"/>
      <c r="J89" s="121"/>
      <c r="K89" s="87">
        <v>1.1000000000000001</v>
      </c>
      <c r="L89" s="41">
        <f>[2]!interpol(K89,$B$75:$B$87,$A$75:$A$87)</f>
        <v>7459</v>
      </c>
      <c r="M89" s="89">
        <f>[2]!interpol(L89/1000,$D$75:$D$90,$E$75:$E$90)</f>
        <v>11535265.600000001</v>
      </c>
      <c r="N89" s="87">
        <f t="shared" ca="1" si="17"/>
        <v>521433868.01405591</v>
      </c>
      <c r="O89" s="112">
        <f ca="1">0.445/POWER(LOG(N89),2.58)/POWER(1+0.15*K89^2,0.58)*Géométrie!$B$10/$G$79</f>
        <v>7.5571517822266808E-3</v>
      </c>
      <c r="P89" s="87">
        <f t="shared" ca="1" si="8"/>
        <v>1.1989130612947967E-2</v>
      </c>
      <c r="Q89" s="41">
        <f t="shared" ca="1" si="9"/>
        <v>2.8793321387226242E-3</v>
      </c>
      <c r="R89" s="41">
        <f t="shared" ca="1" si="10"/>
        <v>3.3107635651872337E-2</v>
      </c>
      <c r="S89" s="41">
        <f t="shared" ca="1" si="11"/>
        <v>9.1594739023511382E-2</v>
      </c>
      <c r="T89" s="41">
        <f t="shared" ca="1" si="12"/>
        <v>9.2047068045665786E-2</v>
      </c>
      <c r="U89" s="41"/>
      <c r="V89" s="41">
        <f t="shared" ca="1" si="13"/>
        <v>2.1186635202067325E-3</v>
      </c>
      <c r="W89" s="41">
        <f t="shared" ca="1" si="14"/>
        <v>1.028652749777848E-2</v>
      </c>
      <c r="X89" s="41">
        <f t="shared" ca="1" si="15"/>
        <v>7.7080918968990102E-3</v>
      </c>
      <c r="Y89" s="89">
        <f t="shared" ca="1" si="16"/>
        <v>1.5656294405328817E-2</v>
      </c>
    </row>
    <row r="90" spans="1:25" ht="15.75">
      <c r="D90" s="119">
        <v>80</v>
      </c>
      <c r="E90" s="120">
        <v>337.1</v>
      </c>
      <c r="G90" s="179">
        <f ca="1">PI()*Géométrie!B113*(Géométrie!B114-Géométrie!B103-Géométrie!B109+Géométrie!B110)</f>
        <v>57.753007719037541</v>
      </c>
      <c r="H90" s="121"/>
      <c r="I90" s="121"/>
      <c r="J90" s="121"/>
      <c r="K90" s="87">
        <v>1.3</v>
      </c>
      <c r="L90" s="41">
        <f>[2]!interpol(K90,$B$75:$B$87,$A$75:$A$87)</f>
        <v>9344</v>
      </c>
      <c r="M90" s="89">
        <f>[2]!interpol(L90/1000,$D$75:$D$90,$E$75:$E$90)</f>
        <v>9270249.6000000015</v>
      </c>
      <c r="N90" s="87">
        <f t="shared" ca="1" si="17"/>
        <v>495237738.8691408</v>
      </c>
      <c r="O90" s="112">
        <f ca="1">0.445/POWER(LOG(N90),2.58)/POWER(1+0.15*K90^2,0.58)*Géométrie!$B$10/$G$79</f>
        <v>7.3508684157268557E-3</v>
      </c>
      <c r="P90" s="87">
        <f t="shared" ca="1" si="8"/>
        <v>1.1661869986786994E-2</v>
      </c>
      <c r="Q90" s="41">
        <f t="shared" ca="1" si="9"/>
        <v>2.8007366117353601E-3</v>
      </c>
      <c r="R90" s="41">
        <f t="shared" ca="1" si="10"/>
        <v>3.2203914946516123E-2</v>
      </c>
      <c r="S90" s="41">
        <f t="shared" ca="1" si="11"/>
        <v>8.9094528406612042E-2</v>
      </c>
      <c r="T90" s="41">
        <f t="shared" ca="1" si="12"/>
        <v>8.9534510455178462E-2</v>
      </c>
      <c r="U90" s="41"/>
      <c r="V90" s="41">
        <f t="shared" ca="1" si="13"/>
        <v>2.0608315411724505E-3</v>
      </c>
      <c r="W90" s="41">
        <f t="shared" ca="1" si="14"/>
        <v>1.0005741881321067E-2</v>
      </c>
      <c r="X90" s="41">
        <f t="shared" ca="1" si="15"/>
        <v>7.4976884020900364E-3</v>
      </c>
      <c r="Y90" s="89">
        <f t="shared" ca="1" si="16"/>
        <v>1.5228933249974066E-2</v>
      </c>
    </row>
    <row r="91" spans="1:25" ht="15.75">
      <c r="G91" s="181" t="s">
        <v>631</v>
      </c>
      <c r="H91" s="121"/>
      <c r="I91" s="121"/>
      <c r="J91" s="121"/>
      <c r="K91" s="87">
        <v>1.5</v>
      </c>
      <c r="L91" s="41">
        <f>[2]!interpol(K91,$B$75:$B$87,$A$75:$A$87)</f>
        <v>11022</v>
      </c>
      <c r="M91" s="89">
        <f>[2]!interpol(L91/1000,$D$75:$D$90,$E$75:$E$90)</f>
        <v>7569967.2000000002</v>
      </c>
      <c r="N91" s="87">
        <f t="shared" ca="1" si="17"/>
        <v>466620923.5752269</v>
      </c>
      <c r="O91" s="112">
        <f ca="1">0.445/POWER(LOG(N91),2.58)/POWER(1+0.15*K91^2,0.58)*Géométrie!$B$10/$G$79</f>
        <v>7.134055668128329E-3</v>
      </c>
      <c r="P91" s="87">
        <f t="shared" ca="1" si="8"/>
        <v>1.1317904902530746E-2</v>
      </c>
      <c r="Q91" s="41">
        <f t="shared" ca="1" si="9"/>
        <v>2.718129310699883E-3</v>
      </c>
      <c r="R91" s="41">
        <f t="shared" ca="1" si="10"/>
        <v>3.1254065365744786E-2</v>
      </c>
      <c r="S91" s="41">
        <f t="shared" ca="1" si="11"/>
        <v>8.6466698821402094E-2</v>
      </c>
      <c r="T91" s="41">
        <f t="shared" ca="1" si="12"/>
        <v>8.6893703666262936E-2</v>
      </c>
      <c r="U91" s="41"/>
      <c r="V91" s="41">
        <f t="shared" ca="1" si="13"/>
        <v>2.0000476278291832E-3</v>
      </c>
      <c r="W91" s="41">
        <f t="shared" ca="1" si="14"/>
        <v>9.7106240440313126E-3</v>
      </c>
      <c r="X91" s="41">
        <f t="shared" ca="1" si="15"/>
        <v>7.2765452212902202E-3</v>
      </c>
      <c r="Y91" s="89">
        <f t="shared" ca="1" si="16"/>
        <v>1.477975817647427E-2</v>
      </c>
    </row>
    <row r="92" spans="1:25" ht="15.75">
      <c r="G92" s="179">
        <f ca="1">'Bilan Masse'!B150+'Bilan Masse'!B194</f>
        <v>43.276556730811144</v>
      </c>
      <c r="H92" s="121"/>
      <c r="I92" s="121"/>
      <c r="J92" s="121"/>
      <c r="K92" s="87">
        <v>1.7</v>
      </c>
      <c r="L92" s="41">
        <f>[2]!interpol(K92,$B$75:$B$87,$A$75:$A$87)</f>
        <v>12384.4</v>
      </c>
      <c r="M92" s="89">
        <f>[2]!interpol(L92/1000,$D$75:$D$90,$E$75:$E$90)</f>
        <v>6354161.4400000004</v>
      </c>
      <c r="N92" s="87">
        <f t="shared" ca="1" si="17"/>
        <v>443900994.74971914</v>
      </c>
      <c r="O92" s="112">
        <f ca="1">0.445/POWER(LOG(N92),2.58)/POWER(1+0.15*K92^2,0.58)*Géométrie!$B$10/$G$79</f>
        <v>6.897340572352321E-3</v>
      </c>
      <c r="P92" s="87">
        <f t="shared" ca="1" si="8"/>
        <v>1.0942365508444522E-2</v>
      </c>
      <c r="Q92" s="41">
        <f t="shared" ca="1" si="9"/>
        <v>2.627939064079239E-3</v>
      </c>
      <c r="R92" s="41">
        <f t="shared" ca="1" si="10"/>
        <v>3.0217024246274114E-2</v>
      </c>
      <c r="S92" s="41">
        <f t="shared" ca="1" si="11"/>
        <v>8.3597647352630283E-2</v>
      </c>
      <c r="T92" s="41">
        <f t="shared" ca="1" si="12"/>
        <v>8.4010483750053905E-2</v>
      </c>
      <c r="U92" s="41"/>
      <c r="V92" s="41">
        <f t="shared" ca="1" si="13"/>
        <v>1.9336840489895504E-3</v>
      </c>
      <c r="W92" s="41">
        <f t="shared" ca="1" si="14"/>
        <v>9.3884158349060321E-3</v>
      </c>
      <c r="X92" s="41">
        <f t="shared" ca="1" si="15"/>
        <v>7.035102179757567E-3</v>
      </c>
      <c r="Y92" s="89">
        <f t="shared" ca="1" si="16"/>
        <v>1.4289351031500556E-2</v>
      </c>
    </row>
    <row r="93" spans="1:25" ht="15.75">
      <c r="G93" s="181" t="s">
        <v>626</v>
      </c>
      <c r="H93" s="121"/>
      <c r="I93" s="121"/>
      <c r="J93" s="121"/>
      <c r="K93" s="87">
        <v>1.9</v>
      </c>
      <c r="L93" s="41">
        <f>[2]!interpol(K93,$B$75:$B$87,$A$75:$A$87)</f>
        <v>13746.8</v>
      </c>
      <c r="M93" s="89">
        <f>[2]!interpol(L93/1000,$D$75:$D$90,$E$75:$E$90)</f>
        <v>5138355.6800000016</v>
      </c>
      <c r="N93" s="87">
        <f t="shared" ca="1" si="17"/>
        <v>401196112.51977116</v>
      </c>
      <c r="O93" s="112">
        <f ca="1">0.445/POWER(LOG(N93),2.58)/POWER(1+0.15*K93^2,0.58)*Géométrie!$B$10/$G$79</f>
        <v>6.7002620322218999E-3</v>
      </c>
      <c r="P93" s="87">
        <f t="shared" ca="1" si="8"/>
        <v>1.0629707985250439E-2</v>
      </c>
      <c r="Q93" s="41">
        <f t="shared" ca="1" si="9"/>
        <v>2.5528506457435599E-3</v>
      </c>
      <c r="R93" s="41">
        <f t="shared" ca="1" si="10"/>
        <v>2.9353629585234454E-2</v>
      </c>
      <c r="S93" s="41">
        <f t="shared" ca="1" si="11"/>
        <v>8.1209001739763975E-2</v>
      </c>
      <c r="T93" s="41">
        <f t="shared" ca="1" si="12"/>
        <v>8.1610042113247142E-2</v>
      </c>
      <c r="U93" s="41"/>
      <c r="V93" s="41">
        <f t="shared" ca="1" si="13"/>
        <v>1.8784326625383848E-3</v>
      </c>
      <c r="W93" s="41">
        <f t="shared" ca="1" si="14"/>
        <v>9.1201595022700477E-3</v>
      </c>
      <c r="X93" s="41">
        <f t="shared" ca="1" si="15"/>
        <v>6.834087360681855E-3</v>
      </c>
      <c r="Y93" s="89">
        <f t="shared" ca="1" si="16"/>
        <v>1.3881059689184133E-2</v>
      </c>
    </row>
    <row r="94" spans="1:25" ht="15.75">
      <c r="G94" s="179">
        <f ca="1">PI()*Géométrie!B138*(Géométrie!B139-Géométrie!B132)</f>
        <v>87.901198129082289</v>
      </c>
      <c r="H94" s="121"/>
      <c r="I94" s="121"/>
      <c r="J94" s="121"/>
      <c r="K94" s="87">
        <v>2.1</v>
      </c>
      <c r="L94" s="41">
        <f>[2]!interpol(K94,$B$75:$B$87,$A$75:$A$87)</f>
        <v>15213.900000000001</v>
      </c>
      <c r="M94" s="89">
        <f>[2]!interpol(L94/1000,$D$75:$D$90,$E$75:$E$90)</f>
        <v>3926183.4599999995</v>
      </c>
      <c r="N94" s="87">
        <f t="shared" ca="1" si="17"/>
        <v>338819842.32684278</v>
      </c>
      <c r="O94" s="112">
        <f ca="1">0.445/POWER(LOG(N94),2.58)/POWER(1+0.15*K94^2,0.58)*Géométrie!$B$10/$G$79</f>
        <v>6.5585477802602033E-3</v>
      </c>
      <c r="P94" s="87">
        <f t="shared" ca="1" si="8"/>
        <v>1.0404883775621508E-2</v>
      </c>
      <c r="Q94" s="41">
        <f t="shared" ca="1" si="9"/>
        <v>2.4988564410554919E-3</v>
      </c>
      <c r="R94" s="41">
        <f t="shared" ca="1" si="10"/>
        <v>2.8732784066204393E-2</v>
      </c>
      <c r="S94" s="41">
        <f t="shared" ca="1" si="11"/>
        <v>7.949138638699689E-2</v>
      </c>
      <c r="T94" s="41">
        <f t="shared" ca="1" si="12"/>
        <v>7.9883944534522133E-2</v>
      </c>
      <c r="U94" s="41"/>
      <c r="V94" s="41">
        <f t="shared" ca="1" si="13"/>
        <v>1.8387027716248844E-3</v>
      </c>
      <c r="W94" s="41">
        <f t="shared" ca="1" si="14"/>
        <v>8.9272630789033122E-3</v>
      </c>
      <c r="X94" s="41">
        <f t="shared" ca="1" si="15"/>
        <v>6.6895426289232457E-3</v>
      </c>
      <c r="Y94" s="89">
        <f t="shared" ca="1" si="16"/>
        <v>1.3587467590721672E-2</v>
      </c>
    </row>
    <row r="95" spans="1:25" ht="15.75">
      <c r="G95" s="121"/>
      <c r="H95" s="121"/>
      <c r="I95" s="121"/>
      <c r="J95" s="121"/>
      <c r="K95" s="87">
        <v>2.2999999999999998</v>
      </c>
      <c r="L95" s="41">
        <f>[2]!interpol(K95,$B$75:$B$87,$A$75:$A$87)</f>
        <v>16785.699999999997</v>
      </c>
      <c r="M95" s="89">
        <f>[2]!interpol(L95/1000,$D$75:$D$90,$E$75:$E$90)</f>
        <v>3236791.9800000004</v>
      </c>
      <c r="N95" s="87">
        <f t="shared" ca="1" si="17"/>
        <v>305929655.38833696</v>
      </c>
      <c r="O95" s="112">
        <f ca="1">0.445/POWER(LOG(N95),2.58)/POWER(1+0.15*K95^2,0.58)*Géométrie!$B$10/$G$79</f>
        <v>6.3590413613211555E-3</v>
      </c>
      <c r="P95" s="87">
        <f t="shared" ca="1" si="8"/>
        <v>1.0088374516087092E-2</v>
      </c>
      <c r="Q95" s="41">
        <f t="shared" ca="1" si="9"/>
        <v>2.4228429824818963E-3</v>
      </c>
      <c r="R95" s="41">
        <f t="shared" ca="1" si="10"/>
        <v>2.7858752947234645E-2</v>
      </c>
      <c r="S95" s="41">
        <f t="shared" ca="1" si="11"/>
        <v>7.7073314221341227E-2</v>
      </c>
      <c r="T95" s="41">
        <f t="shared" ca="1" si="12"/>
        <v>7.7453931025620662E-2</v>
      </c>
      <c r="U95" s="41"/>
      <c r="V95" s="41">
        <f t="shared" ca="1" si="13"/>
        <v>1.7827707242036139E-3</v>
      </c>
      <c r="W95" s="41">
        <f t="shared" ca="1" si="14"/>
        <v>8.6557020035751206E-3</v>
      </c>
      <c r="X95" s="41">
        <f t="shared" ca="1" si="15"/>
        <v>6.4860514386549583E-3</v>
      </c>
      <c r="Y95" s="89">
        <f t="shared" ca="1" si="16"/>
        <v>1.3174146365917284E-2</v>
      </c>
    </row>
    <row r="96" spans="1:25" ht="15.75">
      <c r="G96" s="174" t="s">
        <v>656</v>
      </c>
      <c r="H96" s="121"/>
      <c r="I96" s="121"/>
      <c r="J96" s="121"/>
      <c r="K96" s="87">
        <v>2.5</v>
      </c>
      <c r="L96" s="41">
        <f>[2]!interpol(K96,$B$75:$B$87,$A$75:$A$87)</f>
        <v>18357.5</v>
      </c>
      <c r="M96" s="89">
        <f>[2]!interpol(L96/1000,$D$75:$D$90,$E$75:$E$90)</f>
        <v>2547400.4999999991</v>
      </c>
      <c r="N96" s="87">
        <f t="shared" ca="1" si="17"/>
        <v>261707513.08451161</v>
      </c>
      <c r="O96" s="112">
        <f ca="1">0.445/POWER(LOG(N96),2.58)/POWER(1+0.15*K96^2,0.58)*Géométrie!$B$10/$G$79</f>
        <v>6.2076546891591169E-3</v>
      </c>
      <c r="P96" s="87">
        <f t="shared" ca="1" si="8"/>
        <v>9.8482053838647079E-3</v>
      </c>
      <c r="Q96" s="41">
        <f t="shared" ca="1" si="9"/>
        <v>2.3651635123466555E-3</v>
      </c>
      <c r="R96" s="41">
        <f t="shared" ca="1" si="10"/>
        <v>2.719553287055472E-2</v>
      </c>
      <c r="S96" s="41">
        <f t="shared" ca="1" si="11"/>
        <v>7.5238466499884693E-2</v>
      </c>
      <c r="T96" s="41">
        <f t="shared" ca="1" si="12"/>
        <v>7.5610022140995839E-2</v>
      </c>
      <c r="U96" s="41"/>
      <c r="V96" s="41">
        <f t="shared" ca="1" si="13"/>
        <v>1.7403291497853871E-3</v>
      </c>
      <c r="W96" s="41">
        <f t="shared" ca="1" si="14"/>
        <v>8.4496398242161729E-3</v>
      </c>
      <c r="X96" s="41">
        <f t="shared" ca="1" si="15"/>
        <v>6.331641098011132E-3</v>
      </c>
      <c r="Y96" s="89">
        <f t="shared" ca="1" si="16"/>
        <v>1.2860515731425312E-2</v>
      </c>
    </row>
    <row r="97" spans="1:25" ht="15.75">
      <c r="G97" s="121">
        <f ca="1">PI()*Géométrie!B3*(Géométrie!B142-Géométrie!B132)</f>
        <v>514.25242104203812</v>
      </c>
      <c r="H97" s="121"/>
      <c r="I97" s="121"/>
      <c r="J97" s="121"/>
      <c r="K97" s="87">
        <v>2.7</v>
      </c>
      <c r="L97" s="41">
        <f>[2]!interpol(K97,$B$75:$B$87,$A$75:$A$87)</f>
        <v>19929.300000000003</v>
      </c>
      <c r="M97" s="89">
        <f>[2]!interpol(L97/1000,$D$75:$D$90,$E$75:$E$90)</f>
        <v>1858009.0199999996</v>
      </c>
      <c r="N97" s="87">
        <f t="shared" ca="1" si="17"/>
        <v>206153415.41536713</v>
      </c>
      <c r="O97" s="112">
        <f ca="1">0.445/POWER(LOG(N97),2.58)/POWER(1+0.15*K97^2,0.58)*Géométrie!$B$10/$G$79</f>
        <v>6.127741611525757E-3</v>
      </c>
      <c r="P97" s="87">
        <f t="shared" ca="1" si="8"/>
        <v>9.7214263600951603E-3</v>
      </c>
      <c r="Q97" s="41">
        <f t="shared" ca="1" si="9"/>
        <v>2.334716023747165E-3</v>
      </c>
      <c r="R97" s="41">
        <f t="shared" ca="1" si="10"/>
        <v>2.6845436282005655E-2</v>
      </c>
      <c r="S97" s="41">
        <f t="shared" ca="1" si="11"/>
        <v>7.4269898221607178E-2</v>
      </c>
      <c r="T97" s="41">
        <f t="shared" ca="1" si="12"/>
        <v>7.4636670710903338E-2</v>
      </c>
      <c r="U97" s="41"/>
      <c r="V97" s="41">
        <f t="shared" ca="1" si="13"/>
        <v>1.7179253490879555E-3</v>
      </c>
      <c r="W97" s="41">
        <f t="shared" ca="1" si="14"/>
        <v>8.3408649717061356E-3</v>
      </c>
      <c r="X97" s="41">
        <f t="shared" ca="1" si="15"/>
        <v>6.2501319046122852E-3</v>
      </c>
      <c r="Y97" s="89">
        <f t="shared" ca="1" si="16"/>
        <v>1.2694958295724963E-2</v>
      </c>
    </row>
    <row r="98" spans="1:25" ht="15.75">
      <c r="G98" s="121"/>
      <c r="H98" s="121"/>
      <c r="I98" s="121"/>
      <c r="J98" s="121"/>
      <c r="K98" s="87">
        <v>2.9</v>
      </c>
      <c r="L98" s="41">
        <f>[2]!interpol(K98,$B$75:$B$87,$A$75:$A$87)</f>
        <v>21501.1</v>
      </c>
      <c r="M98" s="89">
        <f>[2]!interpol(L98/1000,$D$75:$D$90,$E$75:$E$90)</f>
        <v>1522546.8980000005</v>
      </c>
      <c r="N98" s="87">
        <f t="shared" ca="1" si="17"/>
        <v>181446096.20157358</v>
      </c>
      <c r="O98" s="112">
        <f ca="1">0.445/POWER(LOG(N98),2.58)/POWER(1+0.15*K98^2,0.58)*Géométrie!$B$10/$G$79</f>
        <v>5.9614739042421379E-3</v>
      </c>
      <c r="P98" s="87">
        <f t="shared" ca="1" si="8"/>
        <v>9.4576490380587127E-3</v>
      </c>
      <c r="Q98" s="41">
        <f t="shared" ca="1" si="9"/>
        <v>2.2713667663802057E-3</v>
      </c>
      <c r="R98" s="41">
        <f t="shared" ca="1" si="10"/>
        <v>2.6117022875467414E-2</v>
      </c>
      <c r="S98" s="41">
        <f t="shared" ca="1" si="11"/>
        <v>7.225468829919994E-2</v>
      </c>
      <c r="T98" s="41">
        <f t="shared" ca="1" si="12"/>
        <v>7.2611508929433508E-2</v>
      </c>
      <c r="U98" s="41"/>
      <c r="V98" s="41">
        <f t="shared" ca="1" si="13"/>
        <v>1.6713118449317079E-3</v>
      </c>
      <c r="W98" s="41">
        <f t="shared" ca="1" si="14"/>
        <v>8.1145472540988285E-3</v>
      </c>
      <c r="X98" s="41">
        <f t="shared" ca="1" si="15"/>
        <v>6.0805433077227794E-3</v>
      </c>
      <c r="Y98" s="89">
        <f t="shared" ca="1" si="16"/>
        <v>1.2350498339071243E-2</v>
      </c>
    </row>
    <row r="99" spans="1:25" ht="15.75">
      <c r="G99" s="200" t="s">
        <v>658</v>
      </c>
      <c r="H99" s="121"/>
      <c r="I99" s="121"/>
      <c r="J99" s="121"/>
      <c r="K99" s="87">
        <v>3.1</v>
      </c>
      <c r="L99" s="41">
        <f>[2]!interpol(K99,$B$75:$B$87,$A$75:$A$87)</f>
        <v>23050.7</v>
      </c>
      <c r="M99" s="89">
        <f>[2]!interpol(L99/1000,$D$75:$D$90,$E$75:$E$90)</f>
        <v>1208257.0260000001</v>
      </c>
      <c r="N99" s="87">
        <f t="shared" ca="1" si="17"/>
        <v>153921743.90610027</v>
      </c>
      <c r="O99" s="112">
        <f ca="1">0.445/POWER(LOG(N99),2.58)/POWER(1+0.15*K99^2,0.58)*Géométrie!$B$10/$G$79</f>
        <v>5.8317430187082792E-3</v>
      </c>
      <c r="P99" s="87">
        <f t="shared" ca="1" si="8"/>
        <v>9.2518359783214689E-3</v>
      </c>
      <c r="Q99" s="41">
        <f t="shared" ca="1" si="9"/>
        <v>2.221938315177056E-3</v>
      </c>
      <c r="R99" s="41">
        <f t="shared" ca="1" si="10"/>
        <v>2.5548676094190488E-2</v>
      </c>
      <c r="S99" s="41">
        <f t="shared" ca="1" si="11"/>
        <v>7.0682314613162683E-2</v>
      </c>
      <c r="T99" s="41">
        <f t="shared" ca="1" si="12"/>
        <v>7.1031370275020878E-2</v>
      </c>
      <c r="U99" s="41"/>
      <c r="V99" s="41">
        <f t="shared" ca="1" si="13"/>
        <v>1.6349415161960694E-3</v>
      </c>
      <c r="W99" s="41">
        <f t="shared" ca="1" si="14"/>
        <v>7.9379621649262547E-3</v>
      </c>
      <c r="X99" s="41">
        <f t="shared" ca="1" si="15"/>
        <v>5.9482212879490249E-3</v>
      </c>
      <c r="Y99" s="89">
        <f t="shared" ca="1" si="16"/>
        <v>1.2081732407684372E-2</v>
      </c>
    </row>
    <row r="100" spans="1:25" ht="15.75">
      <c r="G100" s="121">
        <f>PI()*Géométrie!B3*(Aerodynamique!BB3)</f>
        <v>516.79199151552098</v>
      </c>
      <c r="H100" s="121"/>
      <c r="I100" s="121"/>
      <c r="J100" s="121"/>
      <c r="K100" s="87">
        <v>3.3</v>
      </c>
      <c r="L100" s="41">
        <f>[2]!interpol(K100,$B$75:$B$87,$A$75:$A$87)</f>
        <v>24578.1</v>
      </c>
      <c r="M100" s="89">
        <f>[2]!interpol(L100/1000,$D$75:$D$90,$E$75:$E$90)</f>
        <v>898469.75800000015</v>
      </c>
      <c r="N100" s="87">
        <f t="shared" ca="1" si="17"/>
        <v>121841813.82202227</v>
      </c>
      <c r="O100" s="112">
        <f ca="1">0.445/POWER(LOG(N100),2.58)/POWER(1+0.15*K100^2,0.58)*Géométrie!$B$10/$G$79</f>
        <v>5.76378994256143E-3</v>
      </c>
      <c r="P100" s="87">
        <f t="shared" ca="1" si="8"/>
        <v>9.1440310368629419E-3</v>
      </c>
      <c r="Q100" s="41">
        <f t="shared" ca="1" si="9"/>
        <v>2.1960476778426509E-3</v>
      </c>
      <c r="R100" s="41">
        <f t="shared" ca="1" si="10"/>
        <v>2.525097588234812E-2</v>
      </c>
      <c r="S100" s="41">
        <f t="shared" ca="1" si="11"/>
        <v>6.9858704812158848E-2</v>
      </c>
      <c r="T100" s="41">
        <f t="shared" ca="1" si="12"/>
        <v>7.020369318128937E-2</v>
      </c>
      <c r="U100" s="41"/>
      <c r="V100" s="41">
        <f t="shared" ca="1" si="13"/>
        <v>1.6158907272656744E-3</v>
      </c>
      <c r="W100" s="41">
        <f t="shared" ca="1" si="14"/>
        <v>7.8454668430793188E-3</v>
      </c>
      <c r="X100" s="41">
        <f t="shared" ca="1" si="15"/>
        <v>5.8789109749222621E-3</v>
      </c>
      <c r="Y100" s="89">
        <f t="shared" ca="1" si="16"/>
        <v>1.1940952733468365E-2</v>
      </c>
    </row>
    <row r="101" spans="1:25" ht="15.75">
      <c r="G101" s="121"/>
      <c r="H101" s="121"/>
      <c r="I101" s="121"/>
      <c r="J101" s="121"/>
      <c r="K101" s="87">
        <v>3.5</v>
      </c>
      <c r="L101" s="41">
        <f>[2]!interpol(K101,$B$75:$B$87,$A$75:$A$87)</f>
        <v>26105.5</v>
      </c>
      <c r="M101" s="89">
        <f>[2]!interpol(L101/1000,$D$75:$D$90,$E$75:$E$90)</f>
        <v>714598.94000000006</v>
      </c>
      <c r="N101" s="87">
        <f t="shared" ca="1" si="17"/>
        <v>102780177.68164821</v>
      </c>
      <c r="O101" s="112">
        <f ca="1">0.445/POWER(LOG(N101),2.58)/POWER(1+0.15*K101^2,0.58)*Géométrie!$B$10/$G$79</f>
        <v>5.6519789803176216E-3</v>
      </c>
      <c r="P101" s="87">
        <f t="shared" ca="1" si="8"/>
        <v>8.9666472461267122E-3</v>
      </c>
      <c r="Q101" s="41">
        <f t="shared" ca="1" si="9"/>
        <v>2.1534468533088284E-3</v>
      </c>
      <c r="R101" s="41">
        <f t="shared" ca="1" si="10"/>
        <v>2.4761135700950766E-2</v>
      </c>
      <c r="S101" s="41">
        <f t="shared" ca="1" si="11"/>
        <v>6.8503525479811006E-2</v>
      </c>
      <c r="T101" s="41">
        <f t="shared" ca="1" si="12"/>
        <v>6.8841821467383588E-2</v>
      </c>
      <c r="U101" s="41"/>
      <c r="V101" s="41">
        <f t="shared" ca="1" si="13"/>
        <v>1.5845442870072823E-3</v>
      </c>
      <c r="W101" s="41">
        <f t="shared" ca="1" si="14"/>
        <v>7.693273719159407E-3</v>
      </c>
      <c r="X101" s="41">
        <f t="shared" ca="1" si="15"/>
        <v>5.7648667957272744E-3</v>
      </c>
      <c r="Y101" s="89">
        <f t="shared" ca="1" si="16"/>
        <v>1.1709311846388499E-2</v>
      </c>
    </row>
    <row r="102" spans="1:25" ht="15.75">
      <c r="G102" s="121"/>
      <c r="H102" s="121"/>
      <c r="I102" s="121"/>
      <c r="J102" s="121"/>
      <c r="K102" s="87">
        <v>3.7</v>
      </c>
      <c r="L102" s="41">
        <f>[2]!interpol(K102,$B$75:$B$87,$A$75:$A$87)</f>
        <v>27632.9</v>
      </c>
      <c r="M102" s="89">
        <f>[2]!interpol(L102/1000,$D$75:$D$90,$E$75:$E$90)</f>
        <v>578782.53199999977</v>
      </c>
      <c r="N102" s="87">
        <f t="shared" ca="1" si="17"/>
        <v>88002719.187024415</v>
      </c>
      <c r="O102" s="112">
        <f ca="1">0.445/POWER(LOG(N102),2.58)/POWER(1+0.15*K102^2,0.58)*Géométrie!$B$10/$G$79</f>
        <v>5.5359008122249807E-3</v>
      </c>
      <c r="P102" s="87">
        <f t="shared" ca="1" si="8"/>
        <v>8.7824936974514774E-3</v>
      </c>
      <c r="Q102" s="41">
        <f t="shared" ca="1" si="9"/>
        <v>2.1092201909862266E-3</v>
      </c>
      <c r="R102" s="41">
        <f t="shared" ca="1" si="10"/>
        <v>2.4252601029808349E-2</v>
      </c>
      <c r="S102" s="41">
        <f t="shared" ca="1" si="11"/>
        <v>6.7096626449705765E-2</v>
      </c>
      <c r="T102" s="41">
        <f t="shared" ca="1" si="12"/>
        <v>6.7427974644541103E-2</v>
      </c>
      <c r="U102" s="41"/>
      <c r="V102" s="41">
        <f t="shared" ca="1" si="13"/>
        <v>1.5520015265444453E-3</v>
      </c>
      <c r="W102" s="41">
        <f t="shared" ca="1" si="14"/>
        <v>7.5352722256886899E-3</v>
      </c>
      <c r="X102" s="41">
        <f t="shared" ca="1" si="15"/>
        <v>5.646470181147418E-3</v>
      </c>
      <c r="Y102" s="89">
        <f t="shared" ca="1" si="16"/>
        <v>1.146883050817272E-2</v>
      </c>
    </row>
    <row r="103" spans="1:25" ht="15.75">
      <c r="G103" s="121"/>
      <c r="H103" s="121"/>
      <c r="I103" s="121"/>
      <c r="J103" s="121"/>
      <c r="K103" s="87">
        <v>3.9</v>
      </c>
      <c r="L103" s="41">
        <f>[2]!interpol(K103,$B$75:$B$87,$A$75:$A$87)</f>
        <v>29160.3</v>
      </c>
      <c r="M103" s="89">
        <f>[2]!interpol(L103/1000,$D$75:$D$90,$E$75:$E$90)</f>
        <v>442966.12400000007</v>
      </c>
      <c r="N103" s="87">
        <f t="shared" ca="1" si="17"/>
        <v>70992762.151319236</v>
      </c>
      <c r="O103" s="112">
        <f ca="1">0.445/POWER(LOG(N103),2.58)/POWER(1+0.15*K103^2,0.58)*Géométrie!$B$10/$G$79</f>
        <v>5.4737291468842271E-3</v>
      </c>
      <c r="P103" s="87">
        <f t="shared" ca="1" si="8"/>
        <v>8.6838607418520154E-3</v>
      </c>
      <c r="Q103" s="41">
        <f t="shared" ca="1" si="9"/>
        <v>2.0855323150122985E-3</v>
      </c>
      <c r="R103" s="41">
        <f t="shared" ca="1" si="10"/>
        <v>2.3980228990277165E-2</v>
      </c>
      <c r="S103" s="41">
        <f t="shared" ca="1" si="11"/>
        <v>6.6343088923182053E-2</v>
      </c>
      <c r="T103" s="41">
        <f t="shared" ca="1" si="12"/>
        <v>6.6670715868345609E-2</v>
      </c>
      <c r="U103" s="41"/>
      <c r="V103" s="41">
        <f t="shared" ca="1" si="13"/>
        <v>1.534571568387757E-3</v>
      </c>
      <c r="W103" s="41">
        <f t="shared" ca="1" si="14"/>
        <v>7.4506463555805329E-3</v>
      </c>
      <c r="X103" s="41">
        <f t="shared" ca="1" si="15"/>
        <v>5.5830567519032362E-3</v>
      </c>
      <c r="Y103" s="89">
        <f t="shared" ca="1" si="16"/>
        <v>1.1340028292166732E-2</v>
      </c>
    </row>
    <row r="104" spans="1:25" ht="15.75">
      <c r="G104" s="121"/>
      <c r="H104" s="121"/>
      <c r="I104" s="121"/>
      <c r="J104" s="121"/>
      <c r="K104" s="87">
        <v>4.0999999999999996</v>
      </c>
      <c r="L104" s="41">
        <f>[2]!interpol(K104,$B$75:$B$87,$A$75:$A$87)</f>
        <v>30699.399999999998</v>
      </c>
      <c r="M104" s="41">
        <f>[2]!interpol(L104/1000,$D$75:$D$90,$E$75:$E$90)</f>
        <v>339932.33600000013</v>
      </c>
      <c r="N104" s="87">
        <f t="shared" ca="1" si="17"/>
        <v>57273706.229300261</v>
      </c>
      <c r="O104" s="112">
        <f ca="1">0.445/POWER(LOG(N104),2.58)/POWER(1+0.15*K104^2,0.58)*Géométrie!$B$10/$G$79</f>
        <v>5.4186645953003178E-3</v>
      </c>
      <c r="P104" s="87">
        <f t="shared" ca="1" si="8"/>
        <v>8.5965029488491614E-3</v>
      </c>
      <c r="Q104" s="41">
        <f t="shared" ca="1" si="9"/>
        <v>2.0645523032765561E-3</v>
      </c>
      <c r="R104" s="41">
        <f t="shared" ca="1" si="10"/>
        <v>2.3738992984476494E-2</v>
      </c>
      <c r="S104" s="41">
        <f t="shared" ca="1" si="11"/>
        <v>6.5675691552172955E-2</v>
      </c>
      <c r="T104" s="41">
        <f t="shared" ca="1" si="12"/>
        <v>6.6000022639916792E-2</v>
      </c>
      <c r="U104" s="41"/>
      <c r="V104" s="41">
        <f t="shared" ca="1" si="13"/>
        <v>1.5191341046369633E-3</v>
      </c>
      <c r="W104" s="41">
        <f t="shared" ca="1" si="14"/>
        <v>7.3756944371404587E-3</v>
      </c>
      <c r="X104" s="41">
        <f t="shared" ca="1" si="15"/>
        <v>5.5268923878542655E-3</v>
      </c>
      <c r="Y104" s="89">
        <f t="shared" ca="1" si="16"/>
        <v>1.1225950018269594E-2</v>
      </c>
    </row>
    <row r="105" spans="1:25" ht="15.75">
      <c r="G105" s="121"/>
      <c r="H105" s="121"/>
      <c r="I105" s="121"/>
      <c r="J105" s="121"/>
      <c r="K105" s="87">
        <v>4.3</v>
      </c>
      <c r="L105" s="41">
        <f>[2]!interpol(K105,$B$75:$B$87,$A$75:$A$87)</f>
        <v>32250.199999999997</v>
      </c>
      <c r="M105" s="41">
        <f>[2]!interpol(L105/1000,$D$75:$D$90,$E$75:$E$90)</f>
        <v>277031.88800000004</v>
      </c>
      <c r="N105" s="87">
        <f t="shared" ca="1" si="17"/>
        <v>48952758.50820066</v>
      </c>
      <c r="O105" s="112">
        <f ca="1">0.445/POWER(LOG(N105),2.58)/POWER(1+0.15*K105^2,0.58)*Géométrie!$B$10/$G$79</f>
        <v>5.3256556252986075E-3</v>
      </c>
      <c r="P105" s="87">
        <f t="shared" ca="1" si="8"/>
        <v>8.4489477955771563E-3</v>
      </c>
      <c r="Q105" s="41">
        <f t="shared" ca="1" si="9"/>
        <v>2.0291151803719658E-3</v>
      </c>
      <c r="R105" s="41">
        <f t="shared" ca="1" si="10"/>
        <v>2.3331523718288848E-2</v>
      </c>
      <c r="S105" s="41">
        <f t="shared" ca="1" si="11"/>
        <v>6.4548397489588669E-2</v>
      </c>
      <c r="T105" s="41">
        <f t="shared" ca="1" si="12"/>
        <v>6.486716157832749E-2</v>
      </c>
      <c r="U105" s="41"/>
      <c r="V105" s="41">
        <f t="shared" ca="1" si="13"/>
        <v>1.4930588427561485E-3</v>
      </c>
      <c r="W105" s="41">
        <f t="shared" ca="1" si="14"/>
        <v>7.2490939195072454E-3</v>
      </c>
      <c r="X105" s="41">
        <f t="shared" ca="1" si="15"/>
        <v>5.4320257358842459E-3</v>
      </c>
      <c r="Y105" s="89">
        <f t="shared" ca="1" si="16"/>
        <v>1.1033261574442399E-2</v>
      </c>
    </row>
    <row r="106" spans="1:25" ht="15.75">
      <c r="G106" s="121"/>
      <c r="H106" s="121"/>
      <c r="I106" s="121"/>
      <c r="J106" s="121"/>
      <c r="K106" s="87">
        <v>4.5</v>
      </c>
      <c r="L106" s="41">
        <f>[2]!interpol(K106,$B$75:$B$87,$A$75:$A$87)</f>
        <v>33801</v>
      </c>
      <c r="M106" s="41">
        <f>[2]!interpol(L106/1000,$D$75:$D$90,$E$75:$E$90)</f>
        <v>214131.43999999992</v>
      </c>
      <c r="N106" s="87">
        <f t="shared" ca="1" si="17"/>
        <v>39597877.108090997</v>
      </c>
      <c r="O106" s="112">
        <f ca="1">0.445/POWER(LOG(N106),2.58)/POWER(1+0.15*K106^2,0.58)*Géométrie!$B$10/$G$79</f>
        <v>5.2825211302668469E-3</v>
      </c>
      <c r="P106" s="87">
        <f t="shared" ca="1" si="8"/>
        <v>8.3805165783988021E-3</v>
      </c>
      <c r="Q106" s="41">
        <f t="shared" ca="1" si="9"/>
        <v>2.0126806106542292E-3</v>
      </c>
      <c r="R106" s="41">
        <f t="shared" ca="1" si="10"/>
        <v>2.3142552901413416E-2</v>
      </c>
      <c r="S106" s="41">
        <f t="shared" ca="1" si="11"/>
        <v>6.4025595655088419E-2</v>
      </c>
      <c r="T106" s="41">
        <f t="shared" ca="1" si="12"/>
        <v>6.4341777953157792E-2</v>
      </c>
      <c r="U106" s="41"/>
      <c r="V106" s="41">
        <f t="shared" ca="1" si="13"/>
        <v>1.4809659956465722E-3</v>
      </c>
      <c r="W106" s="41">
        <f t="shared" ca="1" si="14"/>
        <v>7.1903807717456089E-3</v>
      </c>
      <c r="X106" s="41">
        <f t="shared" ca="1" si="15"/>
        <v>5.3880297091783774E-3</v>
      </c>
      <c r="Y106" s="89">
        <f t="shared" ca="1" si="16"/>
        <v>1.0943899024542222E-2</v>
      </c>
    </row>
    <row r="107" spans="1:25" ht="15.75">
      <c r="G107" s="121"/>
      <c r="H107" s="121"/>
      <c r="I107" s="121"/>
      <c r="J107" s="121"/>
      <c r="K107" s="87">
        <v>4.7</v>
      </c>
      <c r="L107" s="41">
        <f>[2]!interpol(K107,$B$75:$B$87,$A$75:$A$87)</f>
        <v>35351.800000000003</v>
      </c>
      <c r="M107" s="41">
        <f>[2]!interpol(L107/1000,$D$75:$D$90,$E$75:$E$90)</f>
        <v>159218.96279999992</v>
      </c>
      <c r="N107" s="87">
        <f t="shared" ca="1" si="17"/>
        <v>30751874.990105689</v>
      </c>
      <c r="O107" s="112">
        <f ca="1">0.445/POWER(LOG(N107),2.58)/POWER(1+0.15*K107^2,0.58)*Géométrie!$B$10/$G$79</f>
        <v>5.2783278998160005E-3</v>
      </c>
      <c r="P107" s="87">
        <f t="shared" ca="1" si="8"/>
        <v>8.3738641795832042E-3</v>
      </c>
      <c r="Q107" s="41">
        <f t="shared" ca="1" si="9"/>
        <v>2.0110829580530748E-3</v>
      </c>
      <c r="R107" s="41">
        <f t="shared" ca="1" si="10"/>
        <v>2.3124182495475893E-2</v>
      </c>
      <c r="S107" s="41">
        <f t="shared" ca="1" si="11"/>
        <v>6.3974772559313886E-2</v>
      </c>
      <c r="T107" s="41">
        <f t="shared" ca="1" si="12"/>
        <v>6.429070387395934E-2</v>
      </c>
      <c r="U107" s="41"/>
      <c r="V107" s="41">
        <f t="shared" ca="1" si="13"/>
        <v>1.4797904146017504E-3</v>
      </c>
      <c r="W107" s="41">
        <f t="shared" ca="1" si="14"/>
        <v>7.1846730948879603E-3</v>
      </c>
      <c r="X107" s="41">
        <f t="shared" ca="1" si="15"/>
        <v>5.3837527267131041E-3</v>
      </c>
      <c r="Y107" s="89">
        <f t="shared" ca="1" si="16"/>
        <v>1.0935211829638683E-2</v>
      </c>
    </row>
    <row r="108" spans="1:25" ht="15.75">
      <c r="G108" s="121"/>
      <c r="H108" s="121"/>
      <c r="I108" s="121"/>
      <c r="J108" s="121"/>
      <c r="K108" s="90">
        <v>4.9000000000000004</v>
      </c>
      <c r="L108" s="92">
        <f>[2]!interpol(K108,$B$75:$B$87,$A$75:$A$87)</f>
        <v>36902.600000000006</v>
      </c>
      <c r="M108" s="92">
        <f>[2]!interpol(L108/1000,$D$75:$D$90,$E$75:$E$90)</f>
        <v>131530.97959999988</v>
      </c>
      <c r="N108" s="90">
        <f t="shared" ca="1" si="17"/>
        <v>26485189.630285382</v>
      </c>
      <c r="O108" s="113">
        <f ca="1">0.445/POWER(LOG(N108),2.58)/POWER(1+0.15*K108^2,0.58)*Géométrie!$B$10/$G$79</f>
        <v>5.1995427418394481E-3</v>
      </c>
      <c r="P108" s="90">
        <f t="shared" ca="1" si="8"/>
        <v>8.2488745569631958E-3</v>
      </c>
      <c r="Q108" s="92">
        <f t="shared" ca="1" si="9"/>
        <v>1.9810652153964114E-3</v>
      </c>
      <c r="R108" s="92">
        <f t="shared" ca="1" si="10"/>
        <v>2.2779027286181634E-2</v>
      </c>
      <c r="S108" s="41">
        <f t="shared" ca="1" si="11"/>
        <v>6.3019874974649767E-2</v>
      </c>
      <c r="T108" s="41">
        <f t="shared" ca="1" si="12"/>
        <v>6.333109064846984E-2</v>
      </c>
      <c r="U108" s="92"/>
      <c r="V108" s="92">
        <f t="shared" ca="1" si="13"/>
        <v>1.457702828570831E-3</v>
      </c>
      <c r="W108" s="92">
        <f t="shared" ca="1" si="14"/>
        <v>7.0774335266886495E-3</v>
      </c>
      <c r="X108" s="92">
        <f t="shared" ca="1" si="15"/>
        <v>5.3033939810778474E-3</v>
      </c>
      <c r="Y108" s="93">
        <f t="shared" ca="1" si="16"/>
        <v>1.0771991126443038E-2</v>
      </c>
    </row>
    <row r="109" spans="1:25" ht="15.75">
      <c r="G109" s="121"/>
      <c r="H109" s="121"/>
      <c r="I109" s="121"/>
      <c r="J109" s="121"/>
      <c r="K109" s="121"/>
    </row>
    <row r="110" spans="1:25" ht="15.75">
      <c r="A110" s="41"/>
      <c r="B110" s="41"/>
      <c r="C110" s="41"/>
      <c r="D110" s="41"/>
      <c r="E110" s="41"/>
      <c r="F110" s="41"/>
      <c r="G110" s="41"/>
      <c r="H110" s="41"/>
      <c r="I110" s="199"/>
      <c r="J110" s="121"/>
      <c r="K110" s="121"/>
    </row>
    <row r="111" spans="1:25" ht="15.75">
      <c r="A111" s="41"/>
      <c r="B111" s="41"/>
      <c r="C111" s="41"/>
      <c r="D111" s="41"/>
      <c r="E111" s="41"/>
      <c r="F111" s="41"/>
      <c r="G111" s="41"/>
      <c r="H111" s="41"/>
      <c r="I111" s="199"/>
      <c r="J111" s="121"/>
      <c r="K111" s="121"/>
    </row>
    <row r="112" spans="1:25" ht="15.75">
      <c r="A112" s="122" t="s">
        <v>213</v>
      </c>
      <c r="B112" s="122" t="s">
        <v>652</v>
      </c>
      <c r="C112" s="41"/>
      <c r="D112" s="41" t="s">
        <v>653</v>
      </c>
      <c r="E112" s="41">
        <f>PI()*Géométrie!B138^2/4</f>
        <v>9.0792027688745005</v>
      </c>
      <c r="F112" s="41"/>
      <c r="G112" s="41"/>
      <c r="H112" s="41"/>
      <c r="I112" s="199"/>
      <c r="J112" s="121"/>
      <c r="K112" s="121"/>
    </row>
    <row r="113" spans="1:11" ht="15.75">
      <c r="A113" s="87">
        <v>0.5</v>
      </c>
      <c r="B113" s="87">
        <f>[2]!interpol(A113,$A$150:$A$167,$B$150:$B$167)</f>
        <v>-0.15</v>
      </c>
      <c r="C113" s="41"/>
      <c r="D113" s="41" t="s">
        <v>654</v>
      </c>
      <c r="E113" s="88">
        <f ca="1">'Moteur Etage 1'!B29</f>
        <v>5.7610701472371675</v>
      </c>
      <c r="F113" s="41"/>
      <c r="G113" s="41"/>
      <c r="H113" s="41"/>
      <c r="I113" s="199"/>
      <c r="J113" s="121"/>
      <c r="K113" s="121"/>
    </row>
    <row r="114" spans="1:11" ht="15.75">
      <c r="A114" s="87">
        <v>0.6</v>
      </c>
      <c r="B114" s="87">
        <f>[2]!interpol(A114,$A$150:$A$167,$B$150:$B$167)</f>
        <v>-0.157</v>
      </c>
      <c r="C114" s="41"/>
      <c r="D114" s="41"/>
      <c r="E114" s="41"/>
      <c r="F114" s="41"/>
      <c r="G114" s="41"/>
      <c r="H114" s="41"/>
      <c r="I114" s="199"/>
      <c r="J114" s="121"/>
      <c r="K114" s="121"/>
    </row>
    <row r="115" spans="1:11" ht="15.75">
      <c r="A115" s="87">
        <v>0.7</v>
      </c>
      <c r="B115" s="87">
        <f>[2]!interpol(A115,$A$150:$A$167,$B$150:$B$167)</f>
        <v>-0.16400000000000001</v>
      </c>
      <c r="C115" s="41"/>
      <c r="D115" s="41"/>
      <c r="E115" s="41"/>
      <c r="F115" s="41"/>
      <c r="G115" s="41"/>
      <c r="H115" s="41"/>
      <c r="I115" s="199"/>
      <c r="J115" s="121"/>
      <c r="K115" s="121"/>
    </row>
    <row r="116" spans="1:11" ht="15.75">
      <c r="A116" s="87">
        <v>0.8</v>
      </c>
      <c r="B116" s="87">
        <f>[2]!interpol(A116,$A$150:$A$167,$B$150:$B$167)</f>
        <v>-0.17299999999999999</v>
      </c>
      <c r="C116" s="41"/>
      <c r="D116" s="41"/>
      <c r="E116" s="41"/>
      <c r="F116" s="41"/>
      <c r="G116" s="41"/>
      <c r="H116" s="41"/>
      <c r="I116" s="199"/>
      <c r="J116" s="121"/>
      <c r="K116" s="121"/>
    </row>
    <row r="117" spans="1:11" ht="15.75">
      <c r="A117" s="87">
        <v>0.9</v>
      </c>
      <c r="B117" s="87">
        <f>[2]!interpol(A117,$A$150:$A$167,$B$150:$B$167)</f>
        <v>-0.185</v>
      </c>
      <c r="C117" s="41"/>
      <c r="D117" s="41"/>
      <c r="E117" s="41"/>
      <c r="F117" s="41"/>
      <c r="G117" s="41"/>
      <c r="H117" s="41"/>
      <c r="I117" s="199"/>
      <c r="J117" s="121"/>
      <c r="K117" s="121"/>
    </row>
    <row r="118" spans="1:11" ht="15.75">
      <c r="A118" s="87">
        <v>0.92</v>
      </c>
      <c r="B118" s="87">
        <f>[2]!interpol(A118,$A$150:$A$167,$B$150:$B$167)</f>
        <v>-0.187</v>
      </c>
      <c r="C118" s="41"/>
      <c r="D118" s="41"/>
      <c r="E118" s="41"/>
      <c r="F118" s="41"/>
      <c r="G118" s="41"/>
      <c r="H118" s="41"/>
      <c r="I118" s="199"/>
      <c r="J118" s="121"/>
      <c r="K118" s="121"/>
    </row>
    <row r="119" spans="1:11" ht="15.75">
      <c r="A119" s="87">
        <v>0.94</v>
      </c>
      <c r="B119" s="87">
        <f>[2]!interpol(A119,$A$150:$A$167,$B$150:$B$167)</f>
        <v>-0.189</v>
      </c>
      <c r="C119" s="41"/>
      <c r="D119" s="41"/>
      <c r="E119" s="41"/>
      <c r="F119" s="41"/>
      <c r="G119" s="41"/>
      <c r="H119" s="41"/>
      <c r="I119" s="199"/>
      <c r="J119" s="121"/>
      <c r="K119" s="121"/>
    </row>
    <row r="120" spans="1:11" ht="15.75">
      <c r="A120" s="87">
        <v>0.96</v>
      </c>
      <c r="B120" s="87">
        <f>[2]!interpol(A120,$A$150:$A$167,$B$150:$B$167)</f>
        <v>-0.192</v>
      </c>
      <c r="C120" s="41"/>
      <c r="D120" s="41"/>
      <c r="E120" s="41"/>
      <c r="F120" s="41"/>
      <c r="G120" s="41"/>
      <c r="H120" s="41"/>
      <c r="I120" s="199"/>
      <c r="J120" s="121"/>
      <c r="K120" s="121"/>
    </row>
    <row r="121" spans="1:11" ht="15.75">
      <c r="A121" s="87">
        <v>0.98</v>
      </c>
      <c r="B121" s="87">
        <f>[2]!interpol(A121,$A$150:$A$167,$B$150:$B$167)</f>
        <v>-0.19600000000000001</v>
      </c>
      <c r="C121" s="41"/>
      <c r="D121" s="41"/>
      <c r="E121" s="41"/>
      <c r="F121" s="41"/>
      <c r="G121" s="41"/>
      <c r="H121" s="41"/>
      <c r="I121" s="199"/>
      <c r="J121" s="121"/>
      <c r="K121" s="121"/>
    </row>
    <row r="122" spans="1:11" ht="15.75">
      <c r="A122" s="87">
        <v>1</v>
      </c>
      <c r="B122" s="87">
        <f>[2]!interpol(A122,$A$150:$A$167,$B$150:$B$167)</f>
        <v>-0.2</v>
      </c>
      <c r="C122" s="41"/>
      <c r="D122" s="41"/>
      <c r="E122" s="41"/>
      <c r="F122" s="41"/>
      <c r="G122" s="41"/>
      <c r="H122" s="41"/>
      <c r="I122" s="199"/>
      <c r="J122" s="121"/>
      <c r="K122" s="121"/>
    </row>
    <row r="123" spans="1:11" ht="15.75">
      <c r="A123" s="87">
        <v>1.02</v>
      </c>
      <c r="B123" s="87">
        <f>[2]!interpol(A123,$A$150:$A$167,$B$150:$B$167)</f>
        <v>-0.20600000000000002</v>
      </c>
      <c r="C123" s="41"/>
      <c r="D123" s="41"/>
      <c r="E123" s="41"/>
      <c r="F123" s="41"/>
      <c r="G123" s="41"/>
      <c r="H123" s="41"/>
      <c r="I123" s="199"/>
      <c r="J123" s="121"/>
      <c r="K123" s="121"/>
    </row>
    <row r="124" spans="1:11" ht="15.75">
      <c r="A124" s="87">
        <v>1.04</v>
      </c>
      <c r="B124" s="87">
        <f>[2]!interpol(A124,$A$150:$A$167,$B$150:$B$167)</f>
        <v>-0.21199999999999999</v>
      </c>
      <c r="C124" s="41"/>
      <c r="D124" s="41"/>
      <c r="E124" s="41"/>
      <c r="F124" s="41"/>
      <c r="G124" s="41"/>
      <c r="H124" s="41"/>
      <c r="I124" s="199"/>
      <c r="J124" s="121"/>
      <c r="K124" s="121"/>
    </row>
    <row r="125" spans="1:11" ht="15.75">
      <c r="A125" s="87">
        <v>1.06</v>
      </c>
      <c r="B125" s="87">
        <f>[2]!interpol(A125,$A$150:$A$167,$B$150:$B$167)</f>
        <v>-0.218</v>
      </c>
      <c r="C125" s="41"/>
      <c r="D125" s="41"/>
      <c r="E125" s="41"/>
      <c r="F125" s="41"/>
      <c r="G125" s="41"/>
      <c r="H125" s="41"/>
      <c r="I125" s="199"/>
      <c r="J125" s="121"/>
      <c r="K125" s="121"/>
    </row>
    <row r="126" spans="1:11" ht="15.75">
      <c r="A126" s="87">
        <v>1.08</v>
      </c>
      <c r="B126" s="87">
        <f>[2]!interpol(A126,$A$150:$A$167,$B$150:$B$167)</f>
        <v>-0.224</v>
      </c>
      <c r="C126" s="41"/>
      <c r="D126" s="41"/>
      <c r="E126" s="41"/>
      <c r="F126" s="41"/>
      <c r="G126" s="41"/>
      <c r="H126" s="41"/>
      <c r="I126" s="199"/>
      <c r="J126" s="121"/>
      <c r="K126" s="121"/>
    </row>
    <row r="127" spans="1:11" ht="15.75">
      <c r="A127" s="87">
        <v>1.1000000000000001</v>
      </c>
      <c r="B127" s="87">
        <f>[2]!interpol(A127,$A$150:$A$167,$B$150:$B$167)</f>
        <v>-0.23</v>
      </c>
      <c r="C127" s="41"/>
      <c r="D127" s="41"/>
      <c r="E127" s="41"/>
      <c r="F127" s="41"/>
      <c r="G127" s="41"/>
      <c r="H127" s="41"/>
      <c r="I127" s="199"/>
      <c r="J127" s="121"/>
      <c r="K127" s="121"/>
    </row>
    <row r="128" spans="1:11" ht="15.75">
      <c r="A128" s="87">
        <v>1.3</v>
      </c>
      <c r="B128" s="87">
        <f>[2]!interpol(A128,$A$150:$A$167,$B$150:$B$167)</f>
        <v>-0.21099999999999999</v>
      </c>
      <c r="C128" s="41"/>
      <c r="D128" s="41"/>
      <c r="E128" s="41"/>
      <c r="F128" s="41"/>
      <c r="G128" s="41"/>
      <c r="H128" s="41"/>
      <c r="I128" s="199"/>
      <c r="J128" s="121"/>
      <c r="K128" s="121"/>
    </row>
    <row r="129" spans="1:9">
      <c r="A129" s="87">
        <v>1.5</v>
      </c>
      <c r="B129" s="87">
        <f>[2]!interpol(A129,$A$150:$A$167,$B$150:$B$167)</f>
        <v>-0.15</v>
      </c>
      <c r="C129" s="41"/>
      <c r="D129" s="41"/>
      <c r="E129" s="41"/>
      <c r="F129" s="41"/>
      <c r="G129" s="41"/>
      <c r="H129" s="41"/>
      <c r="I129" s="41"/>
    </row>
    <row r="130" spans="1:9">
      <c r="A130" s="87">
        <v>1.7</v>
      </c>
      <c r="B130" s="87">
        <f>[2]!interpol(A130,$A$150:$A$167,$B$150:$B$167)</f>
        <v>-0.111</v>
      </c>
      <c r="C130" s="41"/>
      <c r="D130" s="41"/>
      <c r="E130" s="41"/>
      <c r="F130" s="41"/>
      <c r="G130" s="41"/>
      <c r="H130" s="41"/>
      <c r="I130" s="41"/>
    </row>
    <row r="131" spans="1:9">
      <c r="A131" s="87">
        <v>1.9</v>
      </c>
      <c r="B131" s="87">
        <f>[2]!interpol(A131,$A$150:$A$167,$B$150:$B$167)</f>
        <v>-8.3000000000000018E-2</v>
      </c>
      <c r="C131" s="41"/>
      <c r="D131" s="41"/>
      <c r="E131" s="41"/>
      <c r="F131" s="41"/>
      <c r="G131" s="41"/>
      <c r="H131" s="41"/>
      <c r="I131" s="41"/>
    </row>
    <row r="132" spans="1:9">
      <c r="A132" s="87">
        <v>2.1</v>
      </c>
      <c r="B132" s="87">
        <f>[2]!interpol(A132,$A$150:$A$167,$B$150:$B$167)</f>
        <v>-5.8999999999999997E-2</v>
      </c>
      <c r="C132" s="41"/>
      <c r="D132" s="41"/>
      <c r="E132" s="41"/>
      <c r="F132" s="41"/>
      <c r="G132" s="41"/>
      <c r="H132" s="41"/>
      <c r="I132" s="41"/>
    </row>
    <row r="133" spans="1:9">
      <c r="A133" s="87">
        <v>2.2999999999999998</v>
      </c>
      <c r="B133" s="87">
        <f>[2]!interpol(A133,$A$150:$A$167,$B$150:$B$167)</f>
        <v>-3.9000000000000021E-2</v>
      </c>
      <c r="C133" s="41"/>
      <c r="D133" s="41"/>
      <c r="E133" s="41"/>
      <c r="F133" s="41"/>
      <c r="G133" s="41"/>
      <c r="H133" s="41"/>
      <c r="I133" s="41"/>
    </row>
    <row r="134" spans="1:9">
      <c r="A134" s="87">
        <v>2.5</v>
      </c>
      <c r="B134" s="87">
        <f>[2]!interpol(A134,$A$150:$A$167,$B$150:$B$167)</f>
        <v>-1.9E-2</v>
      </c>
      <c r="C134" s="41"/>
      <c r="D134" s="41"/>
      <c r="E134" s="41"/>
      <c r="F134" s="41"/>
      <c r="G134" s="41"/>
      <c r="H134" s="41"/>
      <c r="I134" s="41"/>
    </row>
    <row r="135" spans="1:9">
      <c r="A135" s="87">
        <v>2.7</v>
      </c>
      <c r="B135" s="87">
        <f>[2]!interpol(A135,$A$150:$A$167,$B$150:$B$167)</f>
        <v>-1.1399999999999993E-2</v>
      </c>
      <c r="C135" s="41"/>
      <c r="D135" s="41"/>
      <c r="E135" s="41"/>
      <c r="F135" s="41"/>
      <c r="G135" s="41"/>
      <c r="H135" s="41"/>
      <c r="I135" s="41"/>
    </row>
    <row r="136" spans="1:9">
      <c r="A136" s="87">
        <v>2.9</v>
      </c>
      <c r="B136" s="87">
        <f>[2]!interpol(A136,$A$150:$A$167,$B$150:$B$167)</f>
        <v>-3.800000000000003E-3</v>
      </c>
      <c r="C136" s="41"/>
      <c r="D136" s="41"/>
      <c r="E136" s="41"/>
      <c r="F136" s="41"/>
      <c r="G136" s="41"/>
      <c r="H136" s="41"/>
      <c r="I136" s="41"/>
    </row>
    <row r="137" spans="1:9">
      <c r="A137" s="87">
        <v>3.1</v>
      </c>
      <c r="B137" s="87">
        <f>[2]!interpol(A137,$A$150:$A$167,$B$150:$B$167)</f>
        <v>0</v>
      </c>
      <c r="C137" s="41"/>
      <c r="D137" s="41"/>
      <c r="E137" s="41"/>
      <c r="F137" s="41"/>
      <c r="G137" s="41"/>
      <c r="H137" s="41"/>
      <c r="I137" s="41"/>
    </row>
    <row r="138" spans="1:9">
      <c r="A138" s="87">
        <v>3.3</v>
      </c>
      <c r="B138" s="87">
        <f>[2]!interpol(A138,$A$150:$A$167,$B$150:$B$167)</f>
        <v>0</v>
      </c>
      <c r="C138" s="41"/>
      <c r="D138" s="41"/>
      <c r="E138" s="41"/>
      <c r="F138" s="41"/>
      <c r="G138" s="41"/>
      <c r="H138" s="41"/>
      <c r="I138" s="41"/>
    </row>
    <row r="139" spans="1:9">
      <c r="A139" s="87">
        <v>3.5</v>
      </c>
      <c r="B139" s="87">
        <f>[2]!interpol(A139,$A$150:$A$167,$B$150:$B$167)</f>
        <v>0</v>
      </c>
      <c r="C139" s="41"/>
      <c r="D139" s="41"/>
      <c r="E139" s="41"/>
      <c r="F139" s="41"/>
      <c r="G139" s="41"/>
      <c r="H139" s="41"/>
      <c r="I139" s="41"/>
    </row>
    <row r="140" spans="1:9">
      <c r="A140" s="87">
        <v>3.7</v>
      </c>
      <c r="B140" s="87">
        <f>[2]!interpol(A140,$A$150:$A$167,$B$150:$B$167)</f>
        <v>0</v>
      </c>
      <c r="C140" s="41"/>
      <c r="D140" s="41"/>
      <c r="E140" s="41"/>
      <c r="F140" s="41"/>
      <c r="G140" s="41"/>
      <c r="H140" s="41"/>
      <c r="I140" s="41"/>
    </row>
    <row r="141" spans="1:9">
      <c r="A141" s="87">
        <v>3.9</v>
      </c>
      <c r="B141" s="87">
        <f>[2]!interpol(A141,$A$150:$A$167,$B$150:$B$167)</f>
        <v>0</v>
      </c>
      <c r="C141" s="41"/>
      <c r="D141" s="41"/>
      <c r="E141" s="41"/>
      <c r="F141" s="41"/>
      <c r="G141" s="41"/>
      <c r="H141" s="41"/>
      <c r="I141" s="41"/>
    </row>
    <row r="142" spans="1:9">
      <c r="A142" s="87">
        <v>4.0999999999999996</v>
      </c>
      <c r="B142" s="87">
        <f>[2]!interpol(A142,$A$150:$A$167,$B$150:$B$167)</f>
        <v>0</v>
      </c>
      <c r="C142" s="41"/>
      <c r="D142" s="41"/>
      <c r="E142" s="41"/>
      <c r="F142" s="41"/>
      <c r="G142" s="41"/>
      <c r="H142" s="41"/>
      <c r="I142" s="41"/>
    </row>
    <row r="143" spans="1:9">
      <c r="A143" s="87">
        <v>4.3</v>
      </c>
      <c r="B143" s="87">
        <f>[2]!interpol(A143,$A$150:$A$167,$B$150:$B$167)</f>
        <v>0</v>
      </c>
      <c r="C143" s="41"/>
      <c r="D143" s="41"/>
      <c r="E143" s="41"/>
      <c r="F143" s="41"/>
      <c r="G143" s="41"/>
      <c r="H143" s="41"/>
      <c r="I143" s="41"/>
    </row>
    <row r="144" spans="1:9">
      <c r="A144" s="87">
        <v>4.5</v>
      </c>
      <c r="B144" s="87">
        <f>[2]!interpol(A144,$A$150:$A$167,$B$150:$B$167)</f>
        <v>0</v>
      </c>
      <c r="C144" s="41"/>
      <c r="D144" s="41"/>
      <c r="E144" s="41"/>
      <c r="F144" s="41"/>
      <c r="G144" s="41"/>
      <c r="H144" s="41"/>
      <c r="I144" s="41"/>
    </row>
    <row r="145" spans="1:9">
      <c r="A145" s="87">
        <v>4.7</v>
      </c>
      <c r="B145" s="87">
        <f>[2]!interpol(A145,$A$150:$A$167,$B$150:$B$167)</f>
        <v>0</v>
      </c>
      <c r="C145" s="41"/>
      <c r="D145" s="41"/>
      <c r="E145" s="41"/>
      <c r="F145" s="41"/>
      <c r="G145" s="41"/>
      <c r="H145" s="41"/>
      <c r="I145" s="41"/>
    </row>
    <row r="146" spans="1:9">
      <c r="A146" s="90">
        <v>4.9000000000000004</v>
      </c>
      <c r="B146" s="87">
        <f>[2]!interpol(A146,$A$150:$A$167,$B$150:$B$167)</f>
        <v>0</v>
      </c>
      <c r="C146" s="41"/>
      <c r="D146" s="41"/>
      <c r="E146" s="41"/>
      <c r="F146" s="41"/>
      <c r="G146" s="41"/>
      <c r="H146" s="41"/>
      <c r="I146" s="41"/>
    </row>
    <row r="147" spans="1:9">
      <c r="A147" s="41"/>
      <c r="B147" s="41"/>
      <c r="C147" s="41"/>
      <c r="D147" s="41"/>
      <c r="E147" s="41"/>
      <c r="F147" s="41"/>
      <c r="G147" s="41"/>
      <c r="H147" s="41"/>
      <c r="I147" s="41"/>
    </row>
    <row r="148" spans="1:9">
      <c r="A148" s="41" t="s">
        <v>651</v>
      </c>
      <c r="B148" s="41"/>
      <c r="C148" s="41"/>
      <c r="D148" s="41"/>
      <c r="E148" s="41"/>
      <c r="F148" s="41"/>
      <c r="G148" s="41"/>
      <c r="H148" s="41"/>
      <c r="I148" s="41"/>
    </row>
    <row r="150" spans="1:9">
      <c r="A150">
        <v>0.3</v>
      </c>
      <c r="B150">
        <v>-0.14499999999999999</v>
      </c>
    </row>
    <row r="151" spans="1:9">
      <c r="A151">
        <v>0.5</v>
      </c>
      <c r="B151">
        <v>-0.15</v>
      </c>
    </row>
    <row r="152" spans="1:9">
      <c r="A152">
        <v>0.7</v>
      </c>
      <c r="B152">
        <v>-0.16400000000000001</v>
      </c>
    </row>
    <row r="153" spans="1:9">
      <c r="A153">
        <v>0.8</v>
      </c>
      <c r="B153">
        <v>-0.17299999999999999</v>
      </c>
    </row>
    <row r="154" spans="1:9">
      <c r="A154">
        <v>0.9</v>
      </c>
      <c r="B154">
        <v>-0.185</v>
      </c>
    </row>
    <row r="155" spans="1:9">
      <c r="A155">
        <v>0.95</v>
      </c>
      <c r="B155">
        <v>-0.19</v>
      </c>
    </row>
    <row r="156" spans="1:9">
      <c r="A156">
        <v>1</v>
      </c>
      <c r="B156">
        <v>-0.2</v>
      </c>
    </row>
    <row r="157" spans="1:9">
      <c r="A157">
        <v>1.05</v>
      </c>
      <c r="B157">
        <v>-0.215</v>
      </c>
    </row>
    <row r="158" spans="1:9">
      <c r="A158">
        <v>1.1000000000000001</v>
      </c>
      <c r="B158">
        <v>-0.23</v>
      </c>
    </row>
    <row r="159" spans="1:9">
      <c r="A159">
        <v>1.2</v>
      </c>
      <c r="B159">
        <v>-0.23899999999999999</v>
      </c>
    </row>
    <row r="160" spans="1:9">
      <c r="A160">
        <v>1.3</v>
      </c>
      <c r="B160">
        <v>-0.21099999999999999</v>
      </c>
    </row>
    <row r="161" spans="1:2">
      <c r="A161">
        <v>1.4</v>
      </c>
      <c r="B161">
        <v>-0.17799999999999999</v>
      </c>
    </row>
    <row r="162" spans="1:2">
      <c r="A162">
        <v>1.5</v>
      </c>
      <c r="B162">
        <v>-0.15</v>
      </c>
    </row>
    <row r="163" spans="1:2">
      <c r="A163">
        <v>1.7</v>
      </c>
      <c r="B163">
        <v>-0.111</v>
      </c>
    </row>
    <row r="164" spans="1:2">
      <c r="A164">
        <v>2</v>
      </c>
      <c r="B164">
        <v>-6.9000000000000006E-2</v>
      </c>
    </row>
    <row r="165" spans="1:2">
      <c r="A165">
        <v>2.5</v>
      </c>
      <c r="B165">
        <v>-1.9E-2</v>
      </c>
    </row>
    <row r="166" spans="1:2">
      <c r="A166">
        <v>3</v>
      </c>
      <c r="B166">
        <v>0</v>
      </c>
    </row>
    <row r="167" spans="1:2">
      <c r="A167">
        <v>10</v>
      </c>
      <c r="B167">
        <v>0</v>
      </c>
    </row>
  </sheetData>
  <pageMargins left="0.78740157499999996" right="0.78740157499999996" top="0.984251969" bottom="0.984251969" header="0.5" footer="0.5"/>
  <pageSetup paperSize="9" orientation="portrait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22" enableFormatConditionsCalculation="0"/>
  <dimension ref="A1:E21"/>
  <sheetViews>
    <sheetView workbookViewId="0">
      <selection activeCell="M33" sqref="M33"/>
    </sheetView>
  </sheetViews>
  <sheetFormatPr baseColWidth="10" defaultRowHeight="12.75"/>
  <sheetData>
    <row r="1" spans="1:5">
      <c r="A1" s="78" t="s">
        <v>93</v>
      </c>
    </row>
    <row r="2" spans="1:5">
      <c r="A2" t="s">
        <v>94</v>
      </c>
      <c r="C2" t="s">
        <v>92</v>
      </c>
    </row>
    <row r="3" spans="1:5">
      <c r="A3" t="s">
        <v>90</v>
      </c>
      <c r="B3" t="s">
        <v>91</v>
      </c>
      <c r="C3" t="s">
        <v>116</v>
      </c>
      <c r="D3">
        <f ca="1">'Moteur Etage 1'!B30/2</f>
        <v>0.42822956260210443</v>
      </c>
      <c r="E3" t="s">
        <v>119</v>
      </c>
    </row>
    <row r="4" spans="1:5">
      <c r="A4">
        <v>0</v>
      </c>
      <c r="B4" s="80">
        <f ca="1">'Moteur Etage 1'!$B$16</f>
        <v>1510.8893633308166</v>
      </c>
      <c r="C4" t="s">
        <v>117</v>
      </c>
      <c r="D4">
        <f ca="1">'Moteur Etage 1'!B31/2</f>
        <v>1.3541807792403113</v>
      </c>
      <c r="E4" t="s">
        <v>120</v>
      </c>
    </row>
    <row r="5" spans="1:5">
      <c r="A5">
        <f>'Moteur Etage 1'!$B$18*('Moteur Etage 1'!B15-1/100)</f>
        <v>23.522499999999997</v>
      </c>
      <c r="B5" s="80">
        <f ca="1">'Moteur Etage 1'!$B$16</f>
        <v>1510.8893633308166</v>
      </c>
      <c r="C5" t="s">
        <v>118</v>
      </c>
      <c r="D5" s="80">
        <f ca="1">'Moteur Etage 1'!B33</f>
        <v>2.6891575955578428</v>
      </c>
      <c r="E5" t="s">
        <v>114</v>
      </c>
    </row>
    <row r="6" spans="1:5">
      <c r="A6">
        <f>'Moteur Etage 1'!$B$18*'Moteur Etage 1'!B15</f>
        <v>24.25</v>
      </c>
      <c r="B6" s="80">
        <f ca="1">'Moteur Etage 1'!$B$19</f>
        <v>1120.8511332919666</v>
      </c>
      <c r="C6" t="s">
        <v>115</v>
      </c>
      <c r="D6" t="s">
        <v>95</v>
      </c>
      <c r="E6" t="s">
        <v>96</v>
      </c>
    </row>
    <row r="7" spans="1:5">
      <c r="A7" s="80">
        <f>'Moteur Etage 1'!$B$18</f>
        <v>72.75</v>
      </c>
      <c r="B7" s="80">
        <f ca="1">'Moteur Etage 1'!$B$19</f>
        <v>1120.8511332919666</v>
      </c>
      <c r="C7" s="83">
        <f ca="1">$D$5*(D7^2-$D$3^2)/($D$4^2-$D$3^2)</f>
        <v>0</v>
      </c>
      <c r="D7" s="86">
        <f ca="1">D3</f>
        <v>0.42822956260210443</v>
      </c>
      <c r="E7">
        <f ca="1">-D7</f>
        <v>-0.42822956260210443</v>
      </c>
    </row>
    <row r="8" spans="1:5">
      <c r="C8" s="87">
        <f t="shared" ref="C8:C21" ca="1" si="0">$D$5*(D8^2-$D$3^2)/($D$4^2-$D$3^2)</f>
        <v>9.9424466322130506E-2</v>
      </c>
      <c r="D8" s="89">
        <f ca="1">D7+($D$21-$D$7)/14</f>
        <v>0.49436893521911918</v>
      </c>
      <c r="E8">
        <f ca="1">-D8</f>
        <v>-0.49436893521911918</v>
      </c>
    </row>
    <row r="9" spans="1:5">
      <c r="C9" s="87">
        <f t="shared" ca="1" si="0"/>
        <v>0.21310404327116234</v>
      </c>
      <c r="D9" s="89">
        <f t="shared" ref="D9:D20" ca="1" si="1">D8+($D$21-$D$7)/14</f>
        <v>0.56050830783613392</v>
      </c>
      <c r="E9">
        <f t="shared" ref="E9:E21" ca="1" si="2">-D9</f>
        <v>-0.56050830783613392</v>
      </c>
    </row>
    <row r="10" spans="1:5">
      <c r="C10" s="87">
        <f t="shared" ca="1" si="0"/>
        <v>0.34103873084709529</v>
      </c>
      <c r="D10" s="89">
        <f t="shared" ca="1" si="1"/>
        <v>0.62664768045314867</v>
      </c>
      <c r="E10">
        <f t="shared" ca="1" si="2"/>
        <v>-0.62664768045314867</v>
      </c>
    </row>
    <row r="11" spans="1:5">
      <c r="C11" s="87">
        <f t="shared" ca="1" si="0"/>
        <v>0.48322852904992952</v>
      </c>
      <c r="D11" s="89">
        <f t="shared" ca="1" si="1"/>
        <v>0.69278705307016342</v>
      </c>
      <c r="E11">
        <f t="shared" ca="1" si="2"/>
        <v>-0.69278705307016342</v>
      </c>
    </row>
    <row r="12" spans="1:5">
      <c r="C12" s="87">
        <f t="shared" ca="1" si="0"/>
        <v>0.63967343787966513</v>
      </c>
      <c r="D12" s="89">
        <f t="shared" ca="1" si="1"/>
        <v>0.75892642568717816</v>
      </c>
      <c r="E12">
        <f t="shared" ca="1" si="2"/>
        <v>-0.75892642568717816</v>
      </c>
    </row>
    <row r="13" spans="1:5">
      <c r="C13" s="87">
        <f t="shared" ca="1" si="0"/>
        <v>0.81037345733630195</v>
      </c>
      <c r="D13" s="89">
        <f t="shared" ca="1" si="1"/>
        <v>0.82506579830419291</v>
      </c>
      <c r="E13">
        <f t="shared" ca="1" si="2"/>
        <v>-0.82506579830419291</v>
      </c>
    </row>
    <row r="14" spans="1:5">
      <c r="C14" s="87">
        <f t="shared" ca="1" si="0"/>
        <v>0.99532858741983987</v>
      </c>
      <c r="D14" s="89">
        <f t="shared" ca="1" si="1"/>
        <v>0.89120517092120766</v>
      </c>
      <c r="E14">
        <f t="shared" ca="1" si="2"/>
        <v>-0.89120517092120766</v>
      </c>
    </row>
    <row r="15" spans="1:5">
      <c r="C15" s="87">
        <f t="shared" ca="1" si="0"/>
        <v>1.1945388281302793</v>
      </c>
      <c r="D15" s="89">
        <f t="shared" ca="1" si="1"/>
        <v>0.9573445435382224</v>
      </c>
      <c r="E15">
        <f t="shared" ca="1" si="2"/>
        <v>-0.9573445435382224</v>
      </c>
    </row>
    <row r="16" spans="1:5">
      <c r="C16" s="87">
        <f t="shared" ca="1" si="0"/>
        <v>1.4080041794676199</v>
      </c>
      <c r="D16" s="89">
        <f t="shared" ca="1" si="1"/>
        <v>1.0234839161552372</v>
      </c>
      <c r="E16">
        <f t="shared" ca="1" si="2"/>
        <v>-1.0234839161552372</v>
      </c>
    </row>
    <row r="17" spans="3:5">
      <c r="C17" s="87">
        <f t="shared" ca="1" si="0"/>
        <v>1.6357246414318614</v>
      </c>
      <c r="D17" s="89">
        <f t="shared" ca="1" si="1"/>
        <v>1.0896232887722519</v>
      </c>
      <c r="E17">
        <f t="shared" ca="1" si="2"/>
        <v>-1.0896232887722519</v>
      </c>
    </row>
    <row r="18" spans="3:5">
      <c r="C18" s="87">
        <f t="shared" ca="1" si="0"/>
        <v>1.8777002140230046</v>
      </c>
      <c r="D18" s="89">
        <f t="shared" ca="1" si="1"/>
        <v>1.1557626613892666</v>
      </c>
      <c r="E18">
        <f t="shared" ca="1" si="2"/>
        <v>-1.1557626613892666</v>
      </c>
    </row>
    <row r="19" spans="3:5">
      <c r="C19" s="87">
        <f t="shared" ca="1" si="0"/>
        <v>2.1339308972410485</v>
      </c>
      <c r="D19" s="89">
        <f t="shared" ca="1" si="1"/>
        <v>1.2219020340062814</v>
      </c>
      <c r="E19">
        <f t="shared" ca="1" si="2"/>
        <v>-1.2219020340062814</v>
      </c>
    </row>
    <row r="20" spans="3:5">
      <c r="C20" s="87">
        <f t="shared" ca="1" si="0"/>
        <v>2.4044166910859941</v>
      </c>
      <c r="D20" s="89">
        <f t="shared" ca="1" si="1"/>
        <v>1.2880414066232961</v>
      </c>
      <c r="E20">
        <f t="shared" ca="1" si="2"/>
        <v>-1.2880414066232961</v>
      </c>
    </row>
    <row r="21" spans="3:5">
      <c r="C21" s="90">
        <f t="shared" ca="1" si="0"/>
        <v>2.6891575955578428</v>
      </c>
      <c r="D21" s="93">
        <f ca="1">D4</f>
        <v>1.3541807792403113</v>
      </c>
      <c r="E21">
        <f t="shared" ca="1" si="2"/>
        <v>-1.3541807792403113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TODO</vt:lpstr>
      <vt:lpstr>Etagement</vt:lpstr>
      <vt:lpstr>Bilan Masse</vt:lpstr>
      <vt:lpstr>Moteur Etage 1</vt:lpstr>
      <vt:lpstr>Moteur Etage 2</vt:lpstr>
      <vt:lpstr>Moteur Etage 3</vt:lpstr>
      <vt:lpstr>Satellites</vt:lpstr>
      <vt:lpstr>Géométrie</vt:lpstr>
      <vt:lpstr>Aerodynamique</vt:lpstr>
      <vt:lpstr>Tableaux aéro</vt:lpstr>
      <vt:lpstr>{Calculs intermediaires}</vt:lpstr>
    </vt:vector>
  </TitlesOfParts>
  <Company>ECP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Blaudin de Thé</dc:creator>
  <cp:lastModifiedBy>Yann</cp:lastModifiedBy>
  <dcterms:created xsi:type="dcterms:W3CDTF">2010-12-07T13:30:27Z</dcterms:created>
  <dcterms:modified xsi:type="dcterms:W3CDTF">2011-03-15T02:12:44Z</dcterms:modified>
</cp:coreProperties>
</file>